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ZAS 2026\"/>
    </mc:Choice>
  </mc:AlternateContent>
  <xr:revisionPtr revIDLastSave="0" documentId="13_ncr:1_{C02C4BDD-E928-449B-8753-F0EEBA1B42A1}" xr6:coauthVersionLast="47" xr6:coauthVersionMax="47" xr10:uidLastSave="{00000000-0000-0000-0000-000000000000}"/>
  <bookViews>
    <workbookView xWindow="-120" yWindow="-120" windowWidth="20730" windowHeight="11040" xr2:uid="{7F78165B-BA7A-4F25-B9B0-7E65BD94CC00}"/>
  </bookViews>
  <sheets>
    <sheet name="Pyme" sheetId="1" r:id="rId1"/>
    <sheet name="Credito" sheetId="2" r:id="rId2"/>
    <sheet name="Efectiv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D13" i="1"/>
  <c r="G13" i="1"/>
  <c r="G8" i="1"/>
  <c r="F8" i="1"/>
  <c r="F3" i="2"/>
  <c r="F2" i="2"/>
  <c r="F6" i="1"/>
  <c r="G4" i="1"/>
  <c r="E2" i="3"/>
  <c r="E1" i="3"/>
  <c r="F11" i="1"/>
  <c r="G6" i="1" l="1"/>
  <c r="F2" i="1" l="1"/>
  <c r="G3" i="2" l="1"/>
  <c r="F4" i="2"/>
  <c r="G4" i="2" s="1"/>
  <c r="F5" i="1"/>
  <c r="F4" i="1" l="1"/>
  <c r="D11" i="1" s="1"/>
  <c r="D6" i="1"/>
  <c r="F12" i="1"/>
  <c r="E3" i="3"/>
  <c r="F3" i="1" l="1"/>
  <c r="F10" i="1" s="1"/>
  <c r="F9" i="1"/>
  <c r="F1" i="2"/>
</calcChain>
</file>

<file path=xl/sharedStrings.xml><?xml version="1.0" encoding="utf-8"?>
<sst xmlns="http://schemas.openxmlformats.org/spreadsheetml/2006/main" count="559" uniqueCount="327">
  <si>
    <t xml:space="preserve">Fecha </t>
  </si>
  <si>
    <t xml:space="preserve">Descripción </t>
  </si>
  <si>
    <t>Ingreso</t>
  </si>
  <si>
    <t xml:space="preserve">No. De factura </t>
  </si>
  <si>
    <t xml:space="preserve">Rfc </t>
  </si>
  <si>
    <t xml:space="preserve">Capital inicial </t>
  </si>
  <si>
    <t>Ingresos</t>
  </si>
  <si>
    <t>Acumulado del mes</t>
  </si>
  <si>
    <t xml:space="preserve">Egresos </t>
  </si>
  <si>
    <t>facturado</t>
  </si>
  <si>
    <t>Nomina</t>
  </si>
  <si>
    <t>Facturas credito</t>
  </si>
  <si>
    <t>capital actual</t>
  </si>
  <si>
    <t xml:space="preserve">NO FACTURADO </t>
  </si>
  <si>
    <t>Efectivo facturado</t>
  </si>
  <si>
    <t>Utilidad gravable</t>
  </si>
  <si>
    <t/>
  </si>
  <si>
    <t>Egreso</t>
  </si>
  <si>
    <t xml:space="preserve">Egreso </t>
  </si>
  <si>
    <t>No facturado</t>
  </si>
  <si>
    <t>_x0000__x0000__x0000__x0000__x0000__x0000__x0000__x0000__x0000__x0000_BMOVIL.PAGO TDC      TITULAR</t>
  </si>
  <si>
    <t xml:space="preserve">Efectivo </t>
  </si>
  <si>
    <t>SEG INB CR                     ADICIONAL</t>
  </si>
  <si>
    <t>SUPER SERVICIOS JUMM           ADICIONAL</t>
  </si>
  <si>
    <t>2026-05-28</t>
  </si>
  <si>
    <t>DOLOMITISSIME MXN</t>
  </si>
  <si>
    <t>2026-06-11</t>
  </si>
  <si>
    <t>2026-06-10</t>
  </si>
  <si>
    <t>2026-06-09</t>
  </si>
  <si>
    <t>2026-06-08</t>
  </si>
  <si>
    <t>2026-06-06</t>
  </si>
  <si>
    <t>2026-06-05</t>
  </si>
  <si>
    <t>2026-06-04</t>
  </si>
  <si>
    <t>SORIANA160 CD GUZMAN           TITULAR</t>
  </si>
  <si>
    <t>SUPER SERVICIOS JUMM           TITULAR</t>
  </si>
  <si>
    <t>OPERADO AIREPAZ CENTRO         TITULAR</t>
  </si>
  <si>
    <t>ALVA PAPELERIA                 TITULAR</t>
  </si>
  <si>
    <t>MERPAGO*MERCADOLIBRE           ADICIONAL</t>
  </si>
  <si>
    <t>COPPEL CD GUZMAN 7728          TITULAR</t>
  </si>
  <si>
    <t>REST LA CABANA BUENAVI         TITULAR</t>
  </si>
  <si>
    <t>COMBUMET 1                     TITULAR</t>
  </si>
  <si>
    <t xml:space="preserve">PAGO CUENTA DE TERCERO    /  0078929061     BNET    0121374273 pago de factura   </t>
  </si>
  <si>
    <t xml:space="preserve">PAGO CUENTA DE TERCERO    /  0014124588     BNET    0164087763 Abono Tlaloc      </t>
  </si>
  <si>
    <t>SPEI RECIBIDOBAJIO        / 0137347707  030 0000453REPARACION EQUIPO DE BOMBEO DE</t>
  </si>
  <si>
    <t xml:space="preserve">PAGO TARJETA DE CREDITO   /  9732184664     CUENTA:                  BMOV        </t>
  </si>
  <si>
    <t xml:space="preserve">SPEI ENVIADO BANAMEX      / 0098763348  002 2905260Renta Junio                   </t>
  </si>
  <si>
    <t xml:space="preserve">SPEI RECIBIDOHSBC         / 0121617931  021 5060001FACT D862D                    </t>
  </si>
  <si>
    <t xml:space="preserve">VILLARREAL DIVISION       / GUIA:7419601    REF:00000000000000000000 CIE:0794430 </t>
  </si>
  <si>
    <t xml:space="preserve">PAGO CUENTA DE TERCERO    /  0003236025     BNET    0189909435 Pago Medidro de 4 </t>
  </si>
  <si>
    <t xml:space="preserve">PAGO TARJETA DE CREDITO   /  9551920187     CUENTA:                  BMOV        </t>
  </si>
  <si>
    <t>2026-06-03</t>
  </si>
  <si>
    <t xml:space="preserve">PAGO CUENTA DE TERCERO    /  0095289088     BNET    0114211170                   </t>
  </si>
  <si>
    <t xml:space="preserve">PAGO CUENTA DE TERCERO    /  0079640073     BNET    0121374273 pago de factura   </t>
  </si>
  <si>
    <t xml:space="preserve">ORDEN DE PAGO EXTRANJERO  / 9830772.1002.01                                      </t>
  </si>
  <si>
    <t xml:space="preserve">PAGO CUENTA DE TERCERO    /  0065028673     BNET    1553279029 Dentista          </t>
  </si>
  <si>
    <t>2026-06-02</t>
  </si>
  <si>
    <t xml:space="preserve">PAGO TARJETA DE CREDITO   /  9409219740     CUENTA:                  BMOV        </t>
  </si>
  <si>
    <t>2026-06-01</t>
  </si>
  <si>
    <t xml:space="preserve">GM FINANCIAL DE MEXI00373 / GME951215 A8A   84000416030485X0009217               </t>
  </si>
  <si>
    <t xml:space="preserve">SPEI RETORNADO A PETICION / 0000064642  030                                      </t>
  </si>
  <si>
    <t>GUCA450224J31</t>
  </si>
  <si>
    <t>C0BCA7BA-454B-45D4-AEAB-329CEC1B2A9C</t>
  </si>
  <si>
    <t>2026-06-12</t>
  </si>
  <si>
    <t>2026-06-15</t>
  </si>
  <si>
    <t>2026-06-16</t>
  </si>
  <si>
    <t>MERPAGO*MERCADOLI MXN</t>
  </si>
  <si>
    <t>2026-06-14</t>
  </si>
  <si>
    <t>AMAZONVALIDACION MXN</t>
  </si>
  <si>
    <t>MERPAGO*CHINALOA               TITULAR</t>
  </si>
  <si>
    <t>HOTEL DALI PLAZA               TITULAR</t>
  </si>
  <si>
    <t>GASOL SAN ANDRES               TITULAR</t>
  </si>
  <si>
    <t>KEEPCASH FANFEST GDL           TITULAR</t>
  </si>
  <si>
    <t>2026-06-13</t>
  </si>
  <si>
    <t>AMAZON MEXICO                  ADICIONAL</t>
  </si>
  <si>
    <t>GAS GPO OCTANO APTO            ADICIONAL</t>
  </si>
  <si>
    <t>PAQUETEXPRESS CGM01            ADICIONAL</t>
  </si>
  <si>
    <t>VTA AUTO QUIOSCO AUTO          TITULAR</t>
  </si>
  <si>
    <t xml:space="preserve">SPEI ENVIADO HSBC         / 0093442944  021 0906260Anticipo rep Sterling         </t>
  </si>
  <si>
    <t>PAGO CUENTA DE TERCERO    /  0060327661     BNET    0131951068 Pago Factura Deasa</t>
  </si>
  <si>
    <t xml:space="preserve">VILLARREAL DIVISION       / GUIA:0349163    REF:00000000000000000000 CIE:0794430 </t>
  </si>
  <si>
    <t xml:space="preserve">PAGO TARJETA DE CREDITO   /  0252520193     CUENTA:                  BMOV        </t>
  </si>
  <si>
    <t xml:space="preserve">SPEI ENVIADO BANORTE      / 0079939063  072 0506260Pago Tubo de 6 Rolado         </t>
  </si>
  <si>
    <t>AAU011018EG8</t>
  </si>
  <si>
    <t>95EC053-A68A-411D-B9C6-857F6C51964C</t>
  </si>
  <si>
    <t>TEHK921106TF0</t>
  </si>
  <si>
    <t>CAAL900105672</t>
  </si>
  <si>
    <t>LIQUIDACION PAULINA</t>
  </si>
  <si>
    <t>FIJA TODO</t>
  </si>
  <si>
    <t>A162800</t>
  </si>
  <si>
    <t>GAFC760319AP4</t>
  </si>
  <si>
    <t>TRAMO CARRETERO GUADALAJARA- COLIMA</t>
  </si>
  <si>
    <t>6586493D-1AA6-5AC1-9F7E-2223CC4FF60F</t>
  </si>
  <si>
    <t>TRAMO CARRETERO GUADALAJARA- COLIMA/ FRACCIONAMIENTO ATEMAJAC</t>
  </si>
  <si>
    <t>B225643A-DF19-5B97-8FF4-FC</t>
  </si>
  <si>
    <t>TCG870817Q74</t>
  </si>
  <si>
    <t>EL TIANGUIS</t>
  </si>
  <si>
    <t>FJ81736</t>
  </si>
  <si>
    <t>ROGJ650328VA9</t>
  </si>
  <si>
    <t>OG447</t>
  </si>
  <si>
    <t>GOBJ830404924</t>
  </si>
  <si>
    <t>PRIMERA QUINCENA DE JUNIO</t>
  </si>
  <si>
    <t>SANDRA LLERENAS CONTRERAS</t>
  </si>
  <si>
    <t>2026-05-30</t>
  </si>
  <si>
    <t>10C50442-0DB4-43D4-B7BD-DB055FBCB889</t>
  </si>
  <si>
    <t>LECS810301RPA</t>
  </si>
  <si>
    <t>ESM021111HV1</t>
  </si>
  <si>
    <t>C536B58D-2487-45D7-8845-E3D8D8339A0D</t>
  </si>
  <si>
    <t>08d94bd6-1f68-4c52-8025-e7538d754729</t>
  </si>
  <si>
    <t>SIN9408027L7</t>
  </si>
  <si>
    <t xml:space="preserve"> OAC041025LXA</t>
  </si>
  <si>
    <t xml:space="preserve"> GFS000048947</t>
  </si>
  <si>
    <t>SSJ100430FU3</t>
  </si>
  <si>
    <t>26D8B498-8989-44FF-A2E4-C6614A32E0AF</t>
  </si>
  <si>
    <t>ddb04296-d158-4553-ae14-6f760c8b22c0</t>
  </si>
  <si>
    <t>STI070316581</t>
  </si>
  <si>
    <t>F7E34C2E-FCD1-4757-BAC2-DE0634CF8A45</t>
  </si>
  <si>
    <t>2026-06-19</t>
  </si>
  <si>
    <t>MADERERIA EL NOGAL- MONICA ACEVEDO TORREJIN</t>
  </si>
  <si>
    <t>92718075-D52F-4148-BAA8-50FA7A69A932</t>
  </si>
  <si>
    <t>AETM840106QL6</t>
  </si>
  <si>
    <t>2026-06-18</t>
  </si>
  <si>
    <t>FIJA TODO- CARLOS EDUARDO GALVAN FLORES</t>
  </si>
  <si>
    <t>FSL2775</t>
  </si>
  <si>
    <t>AAC0308826684A</t>
  </si>
  <si>
    <t>ACT68080665S8</t>
  </si>
  <si>
    <t>2026-06-20</t>
  </si>
  <si>
    <t>SPEI ENVIADO BANAMEX / 0085631611  002 0906260Anticipo Uvie Pilitas</t>
  </si>
  <si>
    <t>PAGO TARJETA DE CREDITO / 0948575684 CUENTA:                  BMOV</t>
  </si>
  <si>
    <t>DEP TERCERO HOST TO HOST  / 085136 00000753 0175684609POLTMPIG15D1102V7REC4164124</t>
  </si>
  <si>
    <t>DEPOSITO DE TERCERO       / REFBNTC01031236 PAGO GRABACION POZO SAUCES    BMRCASH</t>
  </si>
  <si>
    <t xml:space="preserve">SPEI ENVIADO Mercado Pago / 0078853544  722 0906260Pago Lonas                    </t>
  </si>
  <si>
    <t xml:space="preserve">PAGO CUENTA DE TERCERO    /  0063256144     BNET    0131951068 Pago Deasa        </t>
  </si>
  <si>
    <t xml:space="preserve">PAGO CUENTA DE TERCERO    /  0066641047     BNET    0478876398 Pago Tuberia de 4 </t>
  </si>
  <si>
    <t>PAGO CUENTA DE TERCERO    /  0043169415     BNET    0164087763 Pago Hidrahulica T</t>
  </si>
  <si>
    <t xml:space="preserve">ACEROS AUTLAN SA DE       / GUIA:3726603    REF:00000000016091535217 CIE:1151746 </t>
  </si>
  <si>
    <t xml:space="preserve">SPEI RECIBIDOBAJIO        / 0104094909  030 0180626Pago F 464                    </t>
  </si>
  <si>
    <t>2026-06-17</t>
  </si>
  <si>
    <t xml:space="preserve">RETIRO EN VENTANILLA      /                                                      </t>
  </si>
  <si>
    <t xml:space="preserve">PAGO TARJETA DE CREDITO   /  0622744388     CUENTA:                  BMOV        </t>
  </si>
  <si>
    <t>PAGO CUENTA DE TERCERO    /  0093887537     BNET    0446522602 Anticipo rep Bomba</t>
  </si>
  <si>
    <t xml:space="preserve">ACEROS AUTLAN SA DE       / GUIA:1890185    REF:00000000016091535217 CIE:1151746 </t>
  </si>
  <si>
    <t xml:space="preserve">PAGO SEG:    0            / P0G15D1102V7    PAGO SEGURO   X 00560544883     TMPI </t>
  </si>
  <si>
    <t>2026-06-22</t>
  </si>
  <si>
    <t>PAGO TELMEX CAT 2 MXN</t>
  </si>
  <si>
    <t>FERRPOLILAMINAS D MXN</t>
  </si>
  <si>
    <t>2026-06-21</t>
  </si>
  <si>
    <t>CINEMEX CD GUZMAN MXN</t>
  </si>
  <si>
    <t>ABTS LA ESMERALDA 1004 MXN</t>
  </si>
  <si>
    <t>SORIANA306 ZAPOTLAN MXN</t>
  </si>
  <si>
    <t>MERPAGO*MELIMAS MXN</t>
  </si>
  <si>
    <t>BMOVIL.PAGO TDC MXN</t>
  </si>
  <si>
    <t>FERRETERIA FIJA TODO           TITULAR</t>
  </si>
  <si>
    <t>GAS JOYCAR 3                   ADICIONAL</t>
  </si>
  <si>
    <t>GAS RAGONZVILL 2               ADICIONAL</t>
  </si>
  <si>
    <t>GAS CRUCERO 9879               ADICIONAL</t>
  </si>
  <si>
    <t>TRACTO ACC EL VALE             TITULAR</t>
  </si>
  <si>
    <t>D LOCAL*TDA TEMU               ADICIONAL</t>
  </si>
  <si>
    <t>MERCADO PAGO                   ADICIONAL</t>
  </si>
  <si>
    <t>ABARR CONVAQUITA               ADICIONAL</t>
  </si>
  <si>
    <t>FERRE CALZADA ZONA IND         TITULAR</t>
  </si>
  <si>
    <t>TELCEL BR5 CARGO AUTCR         TITULAR</t>
  </si>
  <si>
    <t>DONA TOTA ITESO TLAQUE         TITULAR</t>
  </si>
  <si>
    <t>GAS MEGASERVI EST 7113         TITULAR</t>
  </si>
  <si>
    <t>AUTO TRES GUERRAS CD G         TITULAR</t>
  </si>
  <si>
    <t>BMOVIL.PAGO TDC      TITULAR</t>
  </si>
  <si>
    <t>FN03357</t>
  </si>
  <si>
    <t>OOTA650803RI2</t>
  </si>
  <si>
    <t>A162897</t>
  </si>
  <si>
    <t>GAFC7603119AP4</t>
  </si>
  <si>
    <t>0948575684</t>
  </si>
  <si>
    <t>0010962</t>
  </si>
  <si>
    <t xml:space="preserve"> 6AC48F24-C209-4D4C-ABE4-A07176647CF5</t>
  </si>
  <si>
    <t xml:space="preserve">DEA840202MN6 </t>
  </si>
  <si>
    <t>NUCLEO ING COMPLEMENTO</t>
  </si>
  <si>
    <t>FALTA</t>
  </si>
  <si>
    <t>A0D71B3E-3841-4DA2-A90C-6873DD0EC21F</t>
  </si>
  <si>
    <t>VEVJ7305511EL6</t>
  </si>
  <si>
    <t>9FBAAF09-6951-4D5F-8816-B70BB6C343F3</t>
  </si>
  <si>
    <t>HTL080819CG6</t>
  </si>
  <si>
    <t>357C6358-F8CA-4624-81CA-75230BD5C347</t>
  </si>
  <si>
    <t>223761A1-E80F-4537-8D25-42E555668EFB</t>
  </si>
  <si>
    <t>IAHE870705RM2</t>
  </si>
  <si>
    <t>e773d300-378b-4f2c-80be-fcd84aea1c19</t>
  </si>
  <si>
    <t>SACE460910NI6</t>
  </si>
  <si>
    <t>FEP17833</t>
  </si>
  <si>
    <t>JECO41116CQ8</t>
  </si>
  <si>
    <t>LIQUIDACION A TORBELLINO</t>
  </si>
  <si>
    <t>AIGA661111LX3</t>
  </si>
  <si>
    <t>35844DFA-B0BC-49F3-B137-F850F35D7F5D</t>
  </si>
  <si>
    <t>SACE620713156</t>
  </si>
  <si>
    <t>5e0df302-4318-4727-bb32-b6b5fa23adc</t>
  </si>
  <si>
    <t>GFc080612KG3</t>
  </si>
  <si>
    <t>SUPER KIOSKO</t>
  </si>
  <si>
    <t>ABA94597-97C1-48B9-A55D-CBDD91F27A5B</t>
  </si>
  <si>
    <t>SKI020328NK5</t>
  </si>
  <si>
    <t>FARMACIAS GUADALAJARA</t>
  </si>
  <si>
    <t>E31142AC-11A7-4563-BE10-8F-8F10B82A996E</t>
  </si>
  <si>
    <t>FGU830930PD3</t>
  </si>
  <si>
    <t>100717B4-F8F0-465A-9C05-06795C225B99</t>
  </si>
  <si>
    <t>483d37c8-1b53-43a5-8377-a75fbdc154da</t>
  </si>
  <si>
    <t>ESC120823LVA</t>
  </si>
  <si>
    <t>SERVICIOS GAP</t>
  </si>
  <si>
    <t>POR ENVIAR</t>
  </si>
  <si>
    <t>3E422AA7-59C4-4404-A1E5-OACBE1E27AE</t>
  </si>
  <si>
    <t>CEX9809213U5</t>
  </si>
  <si>
    <t>F38D62E6-F5F1-57EABB1C-7CE7A6A2B8E2</t>
  </si>
  <si>
    <t>TRAMO CARRETERO GUADALAJARA-COLIMA</t>
  </si>
  <si>
    <t>CC521A61-2E59-5E59-5EFD-9AE8-A5D61441C6BC</t>
  </si>
  <si>
    <t>A4214ED1-0E93-55B1-97E3-F62656CF94F4</t>
  </si>
  <si>
    <t>TRAMO CARRETRO GUADALAJARA-COLIMA</t>
  </si>
  <si>
    <t>66B0737A-CA38-5BC1-863A-14583E0C163A</t>
  </si>
  <si>
    <t>SUPER SERVICOS JUMM PEMEX-GASTO JOEL WESTE  PACK</t>
  </si>
  <si>
    <t>852D1270-5F32-450D-8134-7ABDFCB1878C</t>
  </si>
  <si>
    <t>FACTURADA</t>
  </si>
  <si>
    <t>69a82ec-2c45-4d4f-9d2e-26ac2847a361</t>
  </si>
  <si>
    <t>TSO991022PB6</t>
  </si>
  <si>
    <t>25a094bd-014b-4cb5-8b45-ed1551d97a93</t>
  </si>
  <si>
    <t>39FOF1ED-57EC-4355-88D6-562D9A6E6883</t>
  </si>
  <si>
    <t>41A8869B-54DD-473E-BB0C-4363D16ED327</t>
  </si>
  <si>
    <t>GOC9303301F4</t>
  </si>
  <si>
    <t>F975807F-1D98-4690-A452-1B4BA38DF537</t>
  </si>
  <si>
    <t>07AF4DD9-709C-48FD-956B-60943DA76744</t>
  </si>
  <si>
    <t>976F7BBA-E775-4DB3-B012-51D3FAE976CD</t>
  </si>
  <si>
    <t>RAG060126770</t>
  </si>
  <si>
    <t>fc2647e1-b57d-4cc6-a385-43d360b27307</t>
  </si>
  <si>
    <t>PEC1411282LA</t>
  </si>
  <si>
    <t>1883f204-7397-4fd5-ad08-646f7f4f468d</t>
  </si>
  <si>
    <t>O´REILLY AUTOPARTES Y ACEITES</t>
  </si>
  <si>
    <t>86F31C52-635B-4BD6-B1CB-F12EDF95911A</t>
  </si>
  <si>
    <t>MAA061019087</t>
  </si>
  <si>
    <t>2026-06-24</t>
  </si>
  <si>
    <t>ACEROS ESPECIALES MAGAÑA</t>
  </si>
  <si>
    <t>D57D98D2-A6B1-4241-8246-0EDE022E106F</t>
  </si>
  <si>
    <t>MAVM660225949</t>
  </si>
  <si>
    <t>AUTOZONE DE MEXICO</t>
  </si>
  <si>
    <t>438C97E9-2CC6-4A9F-8CAE-9B9D2C519E29</t>
  </si>
  <si>
    <t>AME970109GW0</t>
  </si>
  <si>
    <t>FIJA TODO RICKY</t>
  </si>
  <si>
    <t>B39DC140-E9E7-924F-924F-8177-012DB6DE65DC</t>
  </si>
  <si>
    <t>D6C8885C-CA21-5EBA-B89F-8DDF8322868F</t>
  </si>
  <si>
    <t>2026-06-27</t>
  </si>
  <si>
    <t>Facturado</t>
  </si>
  <si>
    <t>2026-06-29</t>
  </si>
  <si>
    <t>PAGO CUENTA DE TERCERO / 0025726999 BNET    1507753118 Pago Rep Escape Gr</t>
  </si>
  <si>
    <t>SPEI ENVIADO HSBC / 0073054383  021 2206260Pago rep Winch Sterling</t>
  </si>
  <si>
    <t>2026-06-26</t>
  </si>
  <si>
    <t xml:space="preserve">PAGO TARJETA DE CREDITO   /  1475622744     CUENTA:                  BMOV        </t>
  </si>
  <si>
    <t>DEPOSITO DE TERCERO       / REFBNTC00691070 PAGO FACTURA 463              BMRCASH</t>
  </si>
  <si>
    <t>2026-06-25</t>
  </si>
  <si>
    <t xml:space="preserve">SPEI ENVIADO BANREGIO     / 0060655224  058 0906260Jorge Morales Urzua           </t>
  </si>
  <si>
    <t xml:space="preserve">TRASPASO CUENTAS PROPIAS  /  1304587100     BNET    1555918030 prestamo          </t>
  </si>
  <si>
    <t xml:space="preserve">SAT                       / GUIA:5995313    REF:04264L05460050148277 CIE:0844985 </t>
  </si>
  <si>
    <t xml:space="preserve">SPEI ENVIADO HSBC         / 0099162177  021 0906260Ant rep Grua Sterling         </t>
  </si>
  <si>
    <t>MISC EL TIANGUIS MXN</t>
  </si>
  <si>
    <t>MERPAGO*AUTOLAVAD MXN</t>
  </si>
  <si>
    <t>AUTOPARTES GARIBA MXN</t>
  </si>
  <si>
    <t>GOOGLE SPOTIFY2 MXN</t>
  </si>
  <si>
    <t>COM RAP PIZZA HUT 17 MXN</t>
  </si>
  <si>
    <t>GAS RAGONZVILL 2 MXN</t>
  </si>
  <si>
    <t>GASCOL                         ADICIONAL</t>
  </si>
  <si>
    <t>AGENCIA JAC GB                 ADICIONAL</t>
  </si>
  <si>
    <t>CF MOTOS CD GUZMAN             ADICIONAL</t>
  </si>
  <si>
    <t>GAS GPO OCTANO APTO            TITULAR</t>
  </si>
  <si>
    <t>2026-06-23</t>
  </si>
  <si>
    <t>CFE CONTIGO MU                 ADICIONAL</t>
  </si>
  <si>
    <t>4BA931E3-73CF-11F1-826A-EBF2DE657E73</t>
  </si>
  <si>
    <t>AGA190219A55</t>
  </si>
  <si>
    <t>WALDOS</t>
  </si>
  <si>
    <t>bce26102-8ffc-42d7-9f0f-894e3fb754a5</t>
  </si>
  <si>
    <t>WDM-990126-350</t>
  </si>
  <si>
    <t>6495E65D-E8DE-462A-BF95-151C2CB1DDFC</t>
  </si>
  <si>
    <t>81D6A77C-0B04-5B99-8A4A-095197389D88</t>
  </si>
  <si>
    <t>JGA210603350</t>
  </si>
  <si>
    <t>2C89D547-9B66-4E9F-A4B9-F5BE019D231E</t>
  </si>
  <si>
    <t>O3AA7CA1-8E75-4F9A-A5DF-17FBD3F87BF5</t>
  </si>
  <si>
    <t>4C1954C5-F009-48EA-A9B4-5A3DA58EA434</t>
  </si>
  <si>
    <t>GOC9303301FA</t>
  </si>
  <si>
    <t>461169-591235-119409</t>
  </si>
  <si>
    <t>d0b94514-da0-4b85-a632-a632-83dada1a43a0</t>
  </si>
  <si>
    <t>F11858E4932179-9146-8FA3-C078532AFAB6</t>
  </si>
  <si>
    <t>APA-000525-KV6</t>
  </si>
  <si>
    <t>841D9A17-5FAB-46B6-A3C717BD5DCD2A</t>
  </si>
  <si>
    <t>CFE370814QI0</t>
  </si>
  <si>
    <t>75A8E5D1-6B0294779-B8ED-5F350A67FDEE</t>
  </si>
  <si>
    <t>ABONO A MAZDA VIRY</t>
  </si>
  <si>
    <t>IMPUESTOS IVA E ISR</t>
  </si>
  <si>
    <t>VIRY ENVIA</t>
  </si>
  <si>
    <t>IMSS</t>
  </si>
  <si>
    <t>C61F5940-FA6A-4EEB-33A0E0EB84A0</t>
  </si>
  <si>
    <t>32F2467D-3CD6-425B-B1B9-38D00560B28F</t>
  </si>
  <si>
    <t>TOEA820520TZ9</t>
  </si>
  <si>
    <t>30DE36C6-6E7E-11F1-A5FF-E9675AE7C2A0</t>
  </si>
  <si>
    <t>KME9501257E0</t>
  </si>
  <si>
    <t>400F0D32-9EE1-4741-AFD8-78A77C578740</t>
  </si>
  <si>
    <t>MOUJ870619P16</t>
  </si>
  <si>
    <t>62553618-6C73-4EE7-A03F-001320B73ACA</t>
  </si>
  <si>
    <t>TDC</t>
  </si>
  <si>
    <t>02E90665D-143E-489F-A952-7275626A320D</t>
  </si>
  <si>
    <t>ZUGF040329A22</t>
  </si>
  <si>
    <t>10E8A8A2-C9CC-4B8D-BF3A-C7CF6627076D</t>
  </si>
  <si>
    <t>d6f52390-41ae-46c9-840e-441e46cd674a</t>
  </si>
  <si>
    <t>GOC130509AZ7</t>
  </si>
  <si>
    <t xml:space="preserve"> B4DC4DF8-16CF-3647-88E7-29E25D941DF3</t>
  </si>
  <si>
    <t>VDE920306EX0</t>
  </si>
  <si>
    <t>FF3C4454-5A29-9A46-B7D3-C1D80C35CFBC</t>
  </si>
  <si>
    <t xml:space="preserve"> FDEBB537-A484-45DA-8296-6430E37E2BBC</t>
  </si>
  <si>
    <t xml:space="preserve"> RAFC8203121X9</t>
  </si>
  <si>
    <t>SUPER TORNILLOS BELECHE</t>
  </si>
  <si>
    <t>16FBD869-437B-4266-BF2B-90E374A46B96</t>
  </si>
  <si>
    <t>BERC890614PR4</t>
  </si>
  <si>
    <t>2026-06-30</t>
  </si>
  <si>
    <t>ARIEL ELECTROMATERIALES</t>
  </si>
  <si>
    <t>06B77752-9077-4C96-8B85-0CF5E4934DA3</t>
  </si>
  <si>
    <t>FACA900701C13</t>
  </si>
  <si>
    <t>COMBU-EXPRESS ADICIONAL</t>
  </si>
  <si>
    <t>9799D128-713B-43E3-A5F6-F8BOFADO6DF</t>
  </si>
  <si>
    <t>SAMS' CLUB</t>
  </si>
  <si>
    <t>42C85DB4-8299-40E9-B9E6-416AB19CE03D</t>
  </si>
  <si>
    <t>NWM9709244W4</t>
  </si>
  <si>
    <t>GYSE SOLUCIONES INDUSTRIALES Y MEDICINALES</t>
  </si>
  <si>
    <t>A871434C-79BB-4660-96F9-AC184F1B879F</t>
  </si>
  <si>
    <t>ROLL811013966</t>
  </si>
  <si>
    <t>BARATA DEL VALLE</t>
  </si>
  <si>
    <t>343E4692-681E-11F1-BB05-D92D547C710A</t>
  </si>
  <si>
    <t>BVA9011218IA</t>
  </si>
  <si>
    <t>PAGO DE IMPUESTOS</t>
  </si>
  <si>
    <t>GASTOS DEDUCIBLES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</si>
</sst>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0" fillId="0" borderId="5" xfId="0" applyBorder="1"/>
    <xf numFmtId="0" fontId="6" fillId="0" borderId="1" xfId="2" applyBorder="1"/>
    <xf numFmtId="44" fontId="6" fillId="0" borderId="1" xfId="1" applyFont="1" applyBorder="1"/>
    <xf numFmtId="0" fontId="5" fillId="5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0" borderId="1" xfId="0" applyNumberFormat="1" applyBorder="1"/>
    <xf numFmtId="44" fontId="6" fillId="0" borderId="5" xfId="1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4" fontId="1" fillId="0" borderId="1" xfId="0" applyNumberFormat="1" applyFont="1" applyBorder="1"/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6" fillId="0" borderId="6" xfId="2" applyBorder="1"/>
    <xf numFmtId="44" fontId="6" fillId="0" borderId="6" xfId="1" applyFont="1" applyBorder="1"/>
    <xf numFmtId="0" fontId="0" fillId="0" borderId="7" xfId="0" applyBorder="1"/>
    <xf numFmtId="0" fontId="6" fillId="0" borderId="0" xfId="2"/>
    <xf numFmtId="44" fontId="6" fillId="0" borderId="0" xfId="1" applyFont="1" applyBorder="1"/>
    <xf numFmtId="44" fontId="0" fillId="0" borderId="0" xfId="1" applyFont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6" fillId="6" borderId="1" xfId="2" applyFill="1" applyBorder="1"/>
    <xf numFmtId="0" fontId="0" fillId="6" borderId="5" xfId="0" applyFill="1" applyBorder="1"/>
    <xf numFmtId="44" fontId="6" fillId="6" borderId="1" xfId="1" applyFont="1" applyFill="1" applyBorder="1"/>
    <xf numFmtId="44" fontId="1" fillId="6" borderId="1" xfId="1" applyFont="1" applyFill="1" applyBorder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8" fillId="0" borderId="5" xfId="0" applyFont="1" applyBorder="1"/>
    <xf numFmtId="0" fontId="5" fillId="0" borderId="1" xfId="0" applyFont="1" applyBorder="1" applyAlignment="1">
      <alignment horizontal="center"/>
    </xf>
    <xf numFmtId="44" fontId="1" fillId="7" borderId="1" xfId="0" applyNumberFormat="1" applyFont="1" applyFill="1" applyBorder="1"/>
    <xf numFmtId="44" fontId="0" fillId="7" borderId="1" xfId="0" applyNumberFormat="1" applyFill="1" applyBorder="1"/>
    <xf numFmtId="0" fontId="0" fillId="7" borderId="1" xfId="0" applyFill="1" applyBorder="1"/>
    <xf numFmtId="0" fontId="6" fillId="7" borderId="1" xfId="2" applyFill="1" applyBorder="1"/>
    <xf numFmtId="0" fontId="6" fillId="8" borderId="1" xfId="2" applyFill="1" applyBorder="1"/>
    <xf numFmtId="44" fontId="0" fillId="8" borderId="1" xfId="0" applyNumberFormat="1" applyFill="1" applyBorder="1"/>
    <xf numFmtId="44" fontId="6" fillId="8" borderId="1" xfId="1" applyFont="1" applyFill="1" applyBorder="1"/>
    <xf numFmtId="44" fontId="5" fillId="0" borderId="0" xfId="0" applyNumberFormat="1" applyFont="1"/>
    <xf numFmtId="49" fontId="0" fillId="8" borderId="0" xfId="0" applyNumberFormat="1" applyFill="1"/>
    <xf numFmtId="44" fontId="0" fillId="4" borderId="1" xfId="0" applyNumberFormat="1" applyFill="1" applyBorder="1"/>
    <xf numFmtId="44" fontId="9" fillId="7" borderId="1" xfId="0" applyNumberFormat="1" applyFont="1" applyFill="1" applyBorder="1"/>
    <xf numFmtId="44" fontId="0" fillId="9" borderId="1" xfId="0" applyNumberFormat="1" applyFill="1" applyBorder="1"/>
    <xf numFmtId="44" fontId="1" fillId="9" borderId="1" xfId="0" applyNumberFormat="1" applyFont="1" applyFill="1" applyBorder="1"/>
    <xf numFmtId="44" fontId="9" fillId="0" borderId="1" xfId="0" applyNumberFormat="1" applyFont="1" applyFill="1" applyBorder="1"/>
    <xf numFmtId="9" fontId="0" fillId="0" borderId="0" xfId="3" applyFont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44" fontId="0" fillId="0" borderId="1" xfId="0" applyNumberFormat="1" applyFill="1" applyBorder="1"/>
    <xf numFmtId="9" fontId="5" fillId="0" borderId="0" xfId="3" applyFont="1" applyAlignment="1">
      <alignment horizontal="center"/>
    </xf>
    <xf numFmtId="11" fontId="0" fillId="0" borderId="1" xfId="0" applyNumberFormat="1" applyFont="1" applyBorder="1"/>
    <xf numFmtId="0" fontId="0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6" borderId="1" xfId="0" applyFont="1" applyFill="1" applyBorder="1"/>
    <xf numFmtId="0" fontId="0" fillId="0" borderId="6" xfId="0" applyFont="1" applyBorder="1"/>
    <xf numFmtId="0" fontId="0" fillId="0" borderId="0" xfId="0" applyFont="1"/>
    <xf numFmtId="0" fontId="9" fillId="0" borderId="1" xfId="0" applyFont="1" applyBorder="1"/>
    <xf numFmtId="44" fontId="1" fillId="6" borderId="1" xfId="0" applyNumberFormat="1" applyFont="1" applyFill="1" applyBorder="1"/>
    <xf numFmtId="44" fontId="9" fillId="6" borderId="1" xfId="0" applyNumberFormat="1" applyFont="1" applyFill="1" applyBorder="1"/>
    <xf numFmtId="14" fontId="0" fillId="0" borderId="0" xfId="0" applyNumberFormat="1"/>
    <xf numFmtId="49" fontId="12" fillId="6" borderId="1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44" fontId="12" fillId="6" borderId="1" xfId="0" applyNumberFormat="1" applyFont="1" applyFill="1" applyBorder="1" applyAlignment="1">
      <alignment horizontal="center"/>
    </xf>
    <xf numFmtId="11" fontId="7" fillId="6" borderId="1" xfId="0" applyNumberFormat="1" applyFont="1" applyFill="1" applyBorder="1" applyAlignment="1">
      <alignment horizontal="center"/>
    </xf>
    <xf numFmtId="44" fontId="0" fillId="3" borderId="1" xfId="0" applyNumberFormat="1" applyFill="1" applyBorder="1"/>
    <xf numFmtId="0" fontId="0" fillId="3" borderId="1" xfId="0" applyFill="1" applyBorder="1"/>
    <xf numFmtId="0" fontId="5" fillId="0" borderId="0" xfId="0" applyFont="1" applyAlignment="1">
      <alignment horizontal="right"/>
    </xf>
    <xf numFmtId="9" fontId="5" fillId="0" borderId="0" xfId="3" applyFont="1" applyAlignment="1">
      <alignment horizontal="right"/>
    </xf>
    <xf numFmtId="44" fontId="0" fillId="0" borderId="0" xfId="0" applyNumberFormat="1" applyBorder="1"/>
    <xf numFmtId="44" fontId="0" fillId="0" borderId="0" xfId="0" applyNumberFormat="1" applyFill="1" applyBorder="1"/>
    <xf numFmtId="0" fontId="0" fillId="0" borderId="0" xfId="0" applyFill="1" applyBorder="1"/>
  </cellXfs>
  <cellStyles count="4">
    <cellStyle name="Moneda" xfId="1" builtinId="4"/>
    <cellStyle name="Normal" xfId="0" builtinId="0"/>
    <cellStyle name="Normal 2" xfId="2" xr:uid="{94E18902-BAC6-4639-B91A-568DF9E859E4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1053811</xdr:colOff>
      <xdr:row>8</xdr:row>
      <xdr:rowOff>65809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0126C-9F8C-43A5-8F0B-6C1E9627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02161" cy="1599334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</xdr:col>
      <xdr:colOff>1</xdr:colOff>
      <xdr:row>8</xdr:row>
      <xdr:rowOff>75334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627DE5-B019-4B92-8D4E-0D71F798A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5848350" cy="159933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759D-A4E3-4BBC-AE88-225604B00D2A}">
  <dimension ref="A1:J61"/>
  <sheetViews>
    <sheetView tabSelected="1" topLeftCell="B1" zoomScale="105" workbookViewId="0">
      <selection activeCell="H7" sqref="H7"/>
    </sheetView>
  </sheetViews>
  <sheetFormatPr baseColWidth="10" defaultRowHeight="15" x14ac:dyDescent="0.25"/>
  <cols>
    <col min="2" max="2" width="57.28515625" customWidth="1"/>
    <col min="3" max="3" width="19" customWidth="1"/>
    <col min="4" max="4" width="16.140625" customWidth="1"/>
    <col min="5" max="5" width="42.140625" customWidth="1"/>
    <col min="6" max="6" width="19.42578125" customWidth="1"/>
    <col min="7" max="7" width="19.7109375" customWidth="1"/>
    <col min="8" max="8" width="12.5703125" bestFit="1" customWidth="1"/>
    <col min="9" max="9" width="6.28515625" customWidth="1"/>
  </cols>
  <sheetData>
    <row r="1" spans="1:10" x14ac:dyDescent="0.25">
      <c r="E1" s="4" t="s">
        <v>5</v>
      </c>
      <c r="F1" s="8">
        <v>136095.51999999999</v>
      </c>
    </row>
    <row r="2" spans="1:10" x14ac:dyDescent="0.25">
      <c r="E2" s="5" t="s">
        <v>6</v>
      </c>
      <c r="F2" s="8">
        <f>SUM(C19:C55)</f>
        <v>682865.52</v>
      </c>
    </row>
    <row r="3" spans="1:10" x14ac:dyDescent="0.25">
      <c r="E3" s="5" t="s">
        <v>7</v>
      </c>
      <c r="F3" s="8">
        <f>F2+F1</f>
        <v>818961.04</v>
      </c>
    </row>
    <row r="4" spans="1:10" x14ac:dyDescent="0.25">
      <c r="D4" s="80"/>
      <c r="E4" s="5" t="s">
        <v>8</v>
      </c>
      <c r="F4" s="15">
        <f>G4-F5</f>
        <v>555649.65999999992</v>
      </c>
      <c r="G4" s="8">
        <f>SUM(D16:D58,D15)</f>
        <v>700793.94</v>
      </c>
    </row>
    <row r="5" spans="1:10" x14ac:dyDescent="0.25">
      <c r="D5" s="80"/>
      <c r="E5" s="5" t="s">
        <v>296</v>
      </c>
      <c r="F5" s="8">
        <f>SUM(D18+D25+D35+D42+D47+D52+D57)</f>
        <v>145144.28</v>
      </c>
    </row>
    <row r="6" spans="1:10" x14ac:dyDescent="0.25">
      <c r="D6" s="81">
        <f>F6/F4</f>
        <v>0.88630128919722551</v>
      </c>
      <c r="E6" s="5" t="s">
        <v>9</v>
      </c>
      <c r="F6" s="8">
        <f>SUM(D17,D20,D23:D24,D28:D32,D36:D37,D39:D40,D43,D45,D48,D51,D56,D41,D50,D16,D15)</f>
        <v>492473.00999999995</v>
      </c>
      <c r="G6" s="14">
        <f>F6+Credito!F3+Efectivo!E2</f>
        <v>612347.36999999988</v>
      </c>
      <c r="H6" s="14"/>
      <c r="I6" s="14"/>
    </row>
    <row r="7" spans="1:10" x14ac:dyDescent="0.25">
      <c r="D7" s="80"/>
      <c r="E7" s="5" t="s">
        <v>10</v>
      </c>
      <c r="F7" s="8">
        <v>18902.400000000001</v>
      </c>
      <c r="G7" s="78" t="s">
        <v>325</v>
      </c>
      <c r="H7" s="15">
        <v>35819</v>
      </c>
      <c r="I7" s="79" t="s">
        <v>287</v>
      </c>
      <c r="J7" s="15">
        <v>9160.7800000000007</v>
      </c>
    </row>
    <row r="8" spans="1:10" x14ac:dyDescent="0.25">
      <c r="D8" s="80"/>
      <c r="E8" s="5" t="s">
        <v>326</v>
      </c>
      <c r="F8" s="8">
        <f>SUM(F7,H7,J7)</f>
        <v>63882.18</v>
      </c>
      <c r="G8" s="58">
        <f>F8+G6</f>
        <v>676229.54999999993</v>
      </c>
      <c r="H8" s="83"/>
      <c r="I8" s="84"/>
      <c r="J8" s="82"/>
    </row>
    <row r="9" spans="1:10" x14ac:dyDescent="0.25">
      <c r="D9" s="80"/>
      <c r="E9" s="5" t="s">
        <v>11</v>
      </c>
      <c r="F9" s="8">
        <f>Credito!F3</f>
        <v>113490.02999999998</v>
      </c>
    </row>
    <row r="10" spans="1:10" x14ac:dyDescent="0.25">
      <c r="D10" s="80"/>
      <c r="E10" s="5" t="s">
        <v>12</v>
      </c>
      <c r="F10" s="8">
        <f>SUM(F3-F4)</f>
        <v>263311.38000000012</v>
      </c>
    </row>
    <row r="11" spans="1:10" x14ac:dyDescent="0.25">
      <c r="D11" s="81">
        <f>F11/F4</f>
        <v>0.11369871080277456</v>
      </c>
      <c r="E11" s="5" t="s">
        <v>13</v>
      </c>
      <c r="F11" s="8">
        <f>SUM(D21+D22+D34+D38+D55+D58)</f>
        <v>63176.65</v>
      </c>
    </row>
    <row r="12" spans="1:10" x14ac:dyDescent="0.25">
      <c r="E12" s="5" t="s">
        <v>14</v>
      </c>
      <c r="F12" s="8">
        <f>Efectivo!E2</f>
        <v>6384.33</v>
      </c>
    </row>
    <row r="13" spans="1:10" ht="15.75" thickBot="1" x14ac:dyDescent="0.3">
      <c r="D13" s="54">
        <f>F13/F3</f>
        <v>8.102912929777573E-3</v>
      </c>
      <c r="E13" s="6" t="s">
        <v>15</v>
      </c>
      <c r="F13" s="8">
        <f>F2-G8</f>
        <v>6635.9700000000885</v>
      </c>
      <c r="G13" s="14">
        <f>F13*30%</f>
        <v>1990.7910000000265</v>
      </c>
    </row>
    <row r="14" spans="1:10" ht="15.75" x14ac:dyDescent="0.25">
      <c r="A14" s="1" t="s">
        <v>0</v>
      </c>
      <c r="B14" s="2" t="s">
        <v>1</v>
      </c>
      <c r="C14" s="1" t="s">
        <v>2</v>
      </c>
      <c r="D14" s="1" t="s">
        <v>17</v>
      </c>
      <c r="E14" s="3" t="s">
        <v>3</v>
      </c>
      <c r="F14" s="3" t="s">
        <v>4</v>
      </c>
    </row>
    <row r="15" spans="1:10" ht="15.75" x14ac:dyDescent="0.25">
      <c r="A15" s="72" t="s">
        <v>310</v>
      </c>
      <c r="B15" s="73" t="s">
        <v>316</v>
      </c>
      <c r="C15" s="74"/>
      <c r="D15" s="76">
        <v>2806</v>
      </c>
      <c r="E15" s="75" t="s">
        <v>317</v>
      </c>
      <c r="F15" s="75" t="s">
        <v>318</v>
      </c>
    </row>
    <row r="16" spans="1:10" x14ac:dyDescent="0.25">
      <c r="A16" s="7" t="s">
        <v>242</v>
      </c>
      <c r="B16" s="7" t="s">
        <v>243</v>
      </c>
      <c r="C16" s="7" t="s">
        <v>16</v>
      </c>
      <c r="D16" s="70">
        <v>7500</v>
      </c>
      <c r="E16" s="7" t="s">
        <v>305</v>
      </c>
      <c r="F16" s="7" t="s">
        <v>306</v>
      </c>
    </row>
    <row r="17" spans="1:9" x14ac:dyDescent="0.25">
      <c r="A17" s="7" t="s">
        <v>240</v>
      </c>
      <c r="B17" s="7" t="s">
        <v>244</v>
      </c>
      <c r="C17" s="7" t="s">
        <v>16</v>
      </c>
      <c r="D17" s="15">
        <v>6900</v>
      </c>
      <c r="E17" s="7" t="s">
        <v>270</v>
      </c>
      <c r="F17" s="7" t="s">
        <v>181</v>
      </c>
    </row>
    <row r="18" spans="1:9" x14ac:dyDescent="0.25">
      <c r="A18" s="7" t="s">
        <v>245</v>
      </c>
      <c r="B18" s="7" t="s">
        <v>246</v>
      </c>
      <c r="C18" s="7" t="s">
        <v>16</v>
      </c>
      <c r="D18" s="51">
        <v>20000</v>
      </c>
      <c r="E18" s="22">
        <v>1475622744</v>
      </c>
      <c r="F18" s="7"/>
    </row>
    <row r="19" spans="1:9" x14ac:dyDescent="0.25">
      <c r="A19" s="7" t="s">
        <v>245</v>
      </c>
      <c r="B19" s="7" t="s">
        <v>247</v>
      </c>
      <c r="C19" s="15">
        <v>7308</v>
      </c>
      <c r="D19" s="15" t="s">
        <v>16</v>
      </c>
      <c r="E19" s="7"/>
      <c r="F19" s="7"/>
    </row>
    <row r="20" spans="1:9" x14ac:dyDescent="0.25">
      <c r="A20" s="7" t="s">
        <v>248</v>
      </c>
      <c r="B20" s="7" t="s">
        <v>249</v>
      </c>
      <c r="C20" s="7" t="s">
        <v>16</v>
      </c>
      <c r="D20" s="15">
        <v>35700</v>
      </c>
      <c r="E20" s="7" t="s">
        <v>293</v>
      </c>
      <c r="F20" s="7" t="s">
        <v>294</v>
      </c>
    </row>
    <row r="21" spans="1:9" x14ac:dyDescent="0.25">
      <c r="A21" s="7" t="s">
        <v>230</v>
      </c>
      <c r="B21" s="7" t="s">
        <v>250</v>
      </c>
      <c r="C21" s="7" t="s">
        <v>16</v>
      </c>
      <c r="D21" s="41">
        <v>7500</v>
      </c>
      <c r="E21" s="7" t="s">
        <v>284</v>
      </c>
      <c r="F21" s="7"/>
    </row>
    <row r="22" spans="1:9" x14ac:dyDescent="0.25">
      <c r="A22" s="7" t="s">
        <v>230</v>
      </c>
      <c r="B22" s="7" t="s">
        <v>251</v>
      </c>
      <c r="C22" s="7" t="s">
        <v>16</v>
      </c>
      <c r="D22" s="41">
        <v>35819</v>
      </c>
      <c r="E22" s="7" t="s">
        <v>285</v>
      </c>
      <c r="F22" s="7"/>
    </row>
    <row r="23" spans="1:9" ht="16.5" customHeight="1" x14ac:dyDescent="0.25">
      <c r="A23" s="7" t="s">
        <v>142</v>
      </c>
      <c r="B23" s="7" t="s">
        <v>252</v>
      </c>
      <c r="C23" s="7" t="s">
        <v>16</v>
      </c>
      <c r="D23" s="15">
        <v>10000</v>
      </c>
      <c r="E23" s="7" t="s">
        <v>288</v>
      </c>
      <c r="F23" s="7" t="s">
        <v>181</v>
      </c>
    </row>
    <row r="24" spans="1:9" x14ac:dyDescent="0.25">
      <c r="A24" s="7" t="s">
        <v>125</v>
      </c>
      <c r="B24" s="7" t="s">
        <v>126</v>
      </c>
      <c r="C24" s="15" t="s">
        <v>16</v>
      </c>
      <c r="D24" s="15">
        <v>15000</v>
      </c>
      <c r="E24" s="7" t="s">
        <v>278</v>
      </c>
      <c r="F24" s="7" t="s">
        <v>187</v>
      </c>
    </row>
    <row r="25" spans="1:9" x14ac:dyDescent="0.25">
      <c r="A25" s="7" t="s">
        <v>125</v>
      </c>
      <c r="B25" s="7" t="s">
        <v>127</v>
      </c>
      <c r="C25" s="15" t="s">
        <v>16</v>
      </c>
      <c r="D25" s="51">
        <v>15000</v>
      </c>
      <c r="E25" s="37" t="s">
        <v>169</v>
      </c>
      <c r="F25" s="7"/>
      <c r="I25" s="14"/>
    </row>
    <row r="26" spans="1:9" x14ac:dyDescent="0.25">
      <c r="A26" s="7" t="s">
        <v>116</v>
      </c>
      <c r="B26" s="7" t="s">
        <v>128</v>
      </c>
      <c r="C26" s="15">
        <v>655.42</v>
      </c>
      <c r="D26" s="15" t="s">
        <v>16</v>
      </c>
      <c r="E26" s="18"/>
      <c r="F26" s="18"/>
    </row>
    <row r="27" spans="1:9" x14ac:dyDescent="0.25">
      <c r="A27" s="7" t="s">
        <v>116</v>
      </c>
      <c r="B27" s="7" t="s">
        <v>129</v>
      </c>
      <c r="C27" s="15">
        <v>8468</v>
      </c>
      <c r="D27" s="15" t="s">
        <v>16</v>
      </c>
      <c r="F27" s="18"/>
    </row>
    <row r="28" spans="1:9" x14ac:dyDescent="0.25">
      <c r="A28" s="7" t="s">
        <v>116</v>
      </c>
      <c r="B28" s="7" t="s">
        <v>130</v>
      </c>
      <c r="C28" s="15" t="s">
        <v>16</v>
      </c>
      <c r="D28" s="15">
        <v>5011.2</v>
      </c>
      <c r="E28" s="7" t="s">
        <v>289</v>
      </c>
      <c r="F28" s="7" t="s">
        <v>290</v>
      </c>
    </row>
    <row r="29" spans="1:9" x14ac:dyDescent="0.25">
      <c r="A29" s="7" t="s">
        <v>116</v>
      </c>
      <c r="B29" s="7" t="s">
        <v>131</v>
      </c>
      <c r="C29" s="15" t="s">
        <v>16</v>
      </c>
      <c r="D29" s="15">
        <v>19102.78</v>
      </c>
      <c r="E29" s="18" t="s">
        <v>171</v>
      </c>
      <c r="F29" s="18" t="s">
        <v>172</v>
      </c>
    </row>
    <row r="30" spans="1:9" x14ac:dyDescent="0.25">
      <c r="A30" s="7" t="s">
        <v>116</v>
      </c>
      <c r="B30" s="7" t="s">
        <v>132</v>
      </c>
      <c r="C30" s="15" t="s">
        <v>16</v>
      </c>
      <c r="D30" s="15">
        <v>43500</v>
      </c>
      <c r="E30" s="7" t="s">
        <v>188</v>
      </c>
      <c r="F30" s="7" t="s">
        <v>189</v>
      </c>
    </row>
    <row r="31" spans="1:9" x14ac:dyDescent="0.25">
      <c r="A31" s="7" t="s">
        <v>116</v>
      </c>
      <c r="B31" s="7" t="s">
        <v>133</v>
      </c>
      <c r="C31" s="15" t="s">
        <v>16</v>
      </c>
      <c r="D31" s="15">
        <v>28127.8</v>
      </c>
      <c r="E31" s="19" t="s">
        <v>179</v>
      </c>
      <c r="F31" s="18" t="s">
        <v>178</v>
      </c>
    </row>
    <row r="32" spans="1:9" x14ac:dyDescent="0.25">
      <c r="A32" s="7" t="s">
        <v>116</v>
      </c>
      <c r="B32" s="7" t="s">
        <v>134</v>
      </c>
      <c r="C32" s="15" t="s">
        <v>16</v>
      </c>
      <c r="D32" s="15">
        <v>1599.99</v>
      </c>
      <c r="E32" s="36">
        <v>11003</v>
      </c>
      <c r="F32" s="18" t="s">
        <v>82</v>
      </c>
    </row>
    <row r="33" spans="1:6" x14ac:dyDescent="0.25">
      <c r="A33" s="7" t="s">
        <v>116</v>
      </c>
      <c r="B33" s="7" t="s">
        <v>135</v>
      </c>
      <c r="C33" s="15">
        <v>225000</v>
      </c>
      <c r="D33" s="15" t="s">
        <v>16</v>
      </c>
      <c r="F33" s="18"/>
    </row>
    <row r="34" spans="1:6" x14ac:dyDescent="0.25">
      <c r="A34" s="7" t="s">
        <v>136</v>
      </c>
      <c r="B34" s="7" t="s">
        <v>137</v>
      </c>
      <c r="C34" s="15" t="s">
        <v>16</v>
      </c>
      <c r="D34" s="41">
        <v>9160.7800000000007</v>
      </c>
      <c r="E34" s="22" t="s">
        <v>287</v>
      </c>
      <c r="F34" s="18"/>
    </row>
    <row r="35" spans="1:6" x14ac:dyDescent="0.25">
      <c r="A35" s="7" t="s">
        <v>64</v>
      </c>
      <c r="B35" s="7" t="s">
        <v>138</v>
      </c>
      <c r="C35" s="15" t="s">
        <v>16</v>
      </c>
      <c r="D35" s="51">
        <v>15000</v>
      </c>
      <c r="E35" s="19">
        <v>354574137</v>
      </c>
      <c r="F35" s="18"/>
    </row>
    <row r="36" spans="1:6" x14ac:dyDescent="0.25">
      <c r="A36" s="7" t="s">
        <v>64</v>
      </c>
      <c r="B36" s="7" t="s">
        <v>139</v>
      </c>
      <c r="C36" s="15" t="s">
        <v>16</v>
      </c>
      <c r="D36" s="15">
        <v>65000</v>
      </c>
      <c r="E36" s="37" t="s">
        <v>291</v>
      </c>
      <c r="F36" s="7" t="s">
        <v>292</v>
      </c>
    </row>
    <row r="37" spans="1:6" x14ac:dyDescent="0.25">
      <c r="A37" s="7" t="s">
        <v>64</v>
      </c>
      <c r="B37" s="7" t="s">
        <v>140</v>
      </c>
      <c r="C37" s="15" t="s">
        <v>16</v>
      </c>
      <c r="D37" s="15">
        <v>929.16</v>
      </c>
      <c r="E37" s="36" t="s">
        <v>170</v>
      </c>
      <c r="F37" s="18" t="s">
        <v>82</v>
      </c>
    </row>
    <row r="38" spans="1:6" x14ac:dyDescent="0.25">
      <c r="A38" s="7" t="s">
        <v>64</v>
      </c>
      <c r="B38" s="7" t="s">
        <v>141</v>
      </c>
      <c r="C38" s="15" t="s">
        <v>16</v>
      </c>
      <c r="D38" s="41">
        <v>655.41</v>
      </c>
      <c r="E38" s="18"/>
      <c r="F38" s="18"/>
    </row>
    <row r="39" spans="1:6" x14ac:dyDescent="0.25">
      <c r="A39" s="7" t="s">
        <v>72</v>
      </c>
      <c r="B39" s="7" t="s">
        <v>77</v>
      </c>
      <c r="C39" s="15" t="s">
        <v>16</v>
      </c>
      <c r="D39" s="15">
        <v>15000</v>
      </c>
      <c r="E39" s="18" t="s">
        <v>180</v>
      </c>
      <c r="F39" s="18" t="s">
        <v>181</v>
      </c>
    </row>
    <row r="40" spans="1:6" x14ac:dyDescent="0.25">
      <c r="A40" s="7" t="s">
        <v>62</v>
      </c>
      <c r="B40" s="7" t="s">
        <v>78</v>
      </c>
      <c r="C40" s="15" t="s">
        <v>16</v>
      </c>
      <c r="D40" s="15">
        <v>17668.87</v>
      </c>
      <c r="E40" s="22" t="s">
        <v>295</v>
      </c>
      <c r="F40" s="7" t="s">
        <v>172</v>
      </c>
    </row>
    <row r="41" spans="1:6" ht="30" x14ac:dyDescent="0.25">
      <c r="A41" s="30" t="s">
        <v>62</v>
      </c>
      <c r="B41" s="31" t="s">
        <v>79</v>
      </c>
      <c r="C41" s="35" t="s">
        <v>16</v>
      </c>
      <c r="D41" s="35">
        <v>19875.25</v>
      </c>
      <c r="E41" s="19" t="s">
        <v>302</v>
      </c>
      <c r="F41" s="30" t="s">
        <v>303</v>
      </c>
    </row>
    <row r="42" spans="1:6" x14ac:dyDescent="0.25">
      <c r="A42" s="18" t="s">
        <v>62</v>
      </c>
      <c r="B42" s="18" t="s">
        <v>80</v>
      </c>
      <c r="C42" s="20" t="s">
        <v>16</v>
      </c>
      <c r="D42" s="52">
        <v>25939.77</v>
      </c>
      <c r="E42" s="19">
        <v>252520193</v>
      </c>
      <c r="F42" s="18"/>
    </row>
    <row r="43" spans="1:6" x14ac:dyDescent="0.25">
      <c r="A43" s="18" t="s">
        <v>26</v>
      </c>
      <c r="B43" s="18" t="s">
        <v>81</v>
      </c>
      <c r="C43" s="20" t="s">
        <v>16</v>
      </c>
      <c r="D43" s="20">
        <v>7168.8</v>
      </c>
      <c r="E43" s="7" t="s">
        <v>61</v>
      </c>
      <c r="F43" s="7" t="s">
        <v>60</v>
      </c>
    </row>
    <row r="44" spans="1:6" x14ac:dyDescent="0.25">
      <c r="A44" s="18" t="s">
        <v>27</v>
      </c>
      <c r="B44" s="18" t="s">
        <v>41</v>
      </c>
      <c r="C44" s="20">
        <v>5104</v>
      </c>
      <c r="D44" s="20" t="s">
        <v>16</v>
      </c>
      <c r="E44" s="18"/>
      <c r="F44" s="18"/>
    </row>
    <row r="45" spans="1:6" x14ac:dyDescent="0.25">
      <c r="A45" s="18" t="s">
        <v>29</v>
      </c>
      <c r="B45" s="18" t="s">
        <v>42</v>
      </c>
      <c r="C45" s="20" t="s">
        <v>16</v>
      </c>
      <c r="D45" s="20">
        <v>100000</v>
      </c>
      <c r="E45" s="19" t="s">
        <v>177</v>
      </c>
      <c r="F45" s="18" t="s">
        <v>178</v>
      </c>
    </row>
    <row r="46" spans="1:6" x14ac:dyDescent="0.25">
      <c r="A46" s="18" t="s">
        <v>29</v>
      </c>
      <c r="B46" s="18" t="s">
        <v>43</v>
      </c>
      <c r="C46" s="20">
        <v>140360</v>
      </c>
      <c r="D46" s="20" t="s">
        <v>16</v>
      </c>
      <c r="E46" s="18"/>
      <c r="F46" s="18"/>
    </row>
    <row r="47" spans="1:6" x14ac:dyDescent="0.25">
      <c r="A47" s="18" t="s">
        <v>30</v>
      </c>
      <c r="B47" s="18" t="s">
        <v>44</v>
      </c>
      <c r="C47" s="20" t="s">
        <v>16</v>
      </c>
      <c r="D47" s="52">
        <v>20000</v>
      </c>
      <c r="E47" s="19"/>
      <c r="F47" s="18"/>
    </row>
    <row r="48" spans="1:6" x14ac:dyDescent="0.25">
      <c r="A48" s="18" t="s">
        <v>31</v>
      </c>
      <c r="B48" s="18" t="s">
        <v>45</v>
      </c>
      <c r="C48" s="20" t="s">
        <v>16</v>
      </c>
      <c r="D48" s="20">
        <v>11600</v>
      </c>
      <c r="E48" s="18" t="s">
        <v>175</v>
      </c>
      <c r="F48" s="7" t="s">
        <v>176</v>
      </c>
    </row>
    <row r="49" spans="1:6" x14ac:dyDescent="0.25">
      <c r="A49" s="18" t="s">
        <v>31</v>
      </c>
      <c r="B49" s="18" t="s">
        <v>46</v>
      </c>
      <c r="C49" s="20">
        <v>129868.06</v>
      </c>
      <c r="D49" s="20" t="s">
        <v>16</v>
      </c>
      <c r="E49" s="18"/>
      <c r="F49" s="18"/>
    </row>
    <row r="50" spans="1:6" x14ac:dyDescent="0.25">
      <c r="A50" s="18" t="s">
        <v>31</v>
      </c>
      <c r="B50" s="18" t="s">
        <v>47</v>
      </c>
      <c r="C50" s="20" t="s">
        <v>16</v>
      </c>
      <c r="D50" s="69">
        <v>47977.75</v>
      </c>
      <c r="E50" s="68" t="s">
        <v>304</v>
      </c>
      <c r="F50" s="18" t="s">
        <v>303</v>
      </c>
    </row>
    <row r="51" spans="1:6" x14ac:dyDescent="0.25">
      <c r="A51" s="18" t="s">
        <v>31</v>
      </c>
      <c r="B51" s="18" t="s">
        <v>48</v>
      </c>
      <c r="C51" s="20" t="s">
        <v>16</v>
      </c>
      <c r="D51" s="20">
        <v>31005.41</v>
      </c>
      <c r="E51" s="18" t="s">
        <v>106</v>
      </c>
      <c r="F51" s="18" t="s">
        <v>105</v>
      </c>
    </row>
    <row r="52" spans="1:6" x14ac:dyDescent="0.25">
      <c r="A52" s="18" t="s">
        <v>32</v>
      </c>
      <c r="B52" s="18" t="s">
        <v>49</v>
      </c>
      <c r="C52" s="20" t="s">
        <v>16</v>
      </c>
      <c r="D52" s="52">
        <v>24204.51</v>
      </c>
      <c r="E52" s="18"/>
      <c r="F52" s="18"/>
    </row>
    <row r="53" spans="1:6" x14ac:dyDescent="0.25">
      <c r="A53" s="18" t="s">
        <v>50</v>
      </c>
      <c r="B53" s="18" t="s">
        <v>51</v>
      </c>
      <c r="C53" s="20">
        <v>57388.15</v>
      </c>
      <c r="D53" s="20" t="s">
        <v>16</v>
      </c>
      <c r="E53" s="18"/>
      <c r="F53" s="18"/>
    </row>
    <row r="54" spans="1:6" x14ac:dyDescent="0.25">
      <c r="A54" s="18" t="s">
        <v>50</v>
      </c>
      <c r="B54" s="18" t="s">
        <v>52</v>
      </c>
      <c r="C54" s="20">
        <v>108713.89</v>
      </c>
      <c r="D54" s="20" t="s">
        <v>16</v>
      </c>
      <c r="E54" s="39" t="s">
        <v>186</v>
      </c>
      <c r="F54" s="7"/>
    </row>
    <row r="55" spans="1:6" x14ac:dyDescent="0.25">
      <c r="A55" s="18" t="s">
        <v>50</v>
      </c>
      <c r="B55" s="18" t="s">
        <v>53</v>
      </c>
      <c r="C55" s="20" t="s">
        <v>16</v>
      </c>
      <c r="D55" s="40">
        <v>730.13</v>
      </c>
      <c r="E55" s="18"/>
      <c r="F55" s="18"/>
    </row>
    <row r="56" spans="1:6" x14ac:dyDescent="0.25">
      <c r="A56" s="18" t="s">
        <v>50</v>
      </c>
      <c r="B56" s="18" t="s">
        <v>54</v>
      </c>
      <c r="C56" s="20" t="s">
        <v>16</v>
      </c>
      <c r="D56" s="20">
        <v>1000</v>
      </c>
      <c r="E56" s="19">
        <v>12929</v>
      </c>
      <c r="F56" s="18" t="s">
        <v>85</v>
      </c>
    </row>
    <row r="57" spans="1:6" x14ac:dyDescent="0.25">
      <c r="A57" s="18" t="s">
        <v>55</v>
      </c>
      <c r="B57" s="18" t="s">
        <v>56</v>
      </c>
      <c r="C57" s="20" t="s">
        <v>16</v>
      </c>
      <c r="D57" s="52">
        <v>25000</v>
      </c>
      <c r="E57" s="19"/>
      <c r="F57" s="18"/>
    </row>
    <row r="58" spans="1:6" x14ac:dyDescent="0.25">
      <c r="A58" s="18" t="s">
        <v>57</v>
      </c>
      <c r="B58" s="18" t="s">
        <v>58</v>
      </c>
      <c r="C58" s="20" t="s">
        <v>16</v>
      </c>
      <c r="D58" s="40">
        <v>9311.33</v>
      </c>
      <c r="E58" s="18"/>
      <c r="F58" s="18"/>
    </row>
    <row r="59" spans="1:6" x14ac:dyDescent="0.25">
      <c r="A59" s="18" t="s">
        <v>57</v>
      </c>
      <c r="B59" s="18" t="s">
        <v>59</v>
      </c>
      <c r="C59" s="20" t="s">
        <v>16</v>
      </c>
      <c r="D59" s="20">
        <v>5441.86</v>
      </c>
      <c r="E59" s="18"/>
      <c r="F59" s="18"/>
    </row>
    <row r="60" spans="1:6" x14ac:dyDescent="0.25">
      <c r="A60" s="18"/>
      <c r="B60" s="18"/>
      <c r="C60" s="18"/>
      <c r="D60" s="20"/>
      <c r="E60" s="18"/>
      <c r="F60" s="18"/>
    </row>
    <row r="61" spans="1:6" x14ac:dyDescent="0.25">
      <c r="A61" s="23"/>
      <c r="B61" s="7"/>
      <c r="C61" s="15"/>
      <c r="D61" s="7"/>
      <c r="E61" s="22"/>
      <c r="F61" s="7"/>
    </row>
  </sheetData>
  <sortState xmlns:xlrd2="http://schemas.microsoft.com/office/spreadsheetml/2017/richdata2" ref="A25:F40">
    <sortCondition ref="A25:A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3A20-A849-428C-A0E2-F6697538B5E2}">
  <dimension ref="A1:H129"/>
  <sheetViews>
    <sheetView workbookViewId="0">
      <selection activeCell="F4" sqref="F4"/>
    </sheetView>
  </sheetViews>
  <sheetFormatPr baseColWidth="10" defaultRowHeight="15" x14ac:dyDescent="0.25"/>
  <cols>
    <col min="2" max="2" width="57.28515625" customWidth="1"/>
    <col min="3" max="3" width="19" customWidth="1"/>
    <col min="4" max="4" width="16.140625" customWidth="1"/>
    <col min="5" max="5" width="42.140625" customWidth="1"/>
    <col min="6" max="6" width="19.42578125" customWidth="1"/>
    <col min="8" max="8" width="12.5703125" bestFit="1" customWidth="1"/>
  </cols>
  <sheetData>
    <row r="1" spans="1:8" x14ac:dyDescent="0.25">
      <c r="E1" s="55" t="s">
        <v>6</v>
      </c>
      <c r="F1" s="8">
        <f>SUM(D51:D131)</f>
        <v>-60939.770000000004</v>
      </c>
    </row>
    <row r="2" spans="1:8" x14ac:dyDescent="0.25">
      <c r="E2" s="56" t="s">
        <v>8</v>
      </c>
      <c r="F2" s="8">
        <f>SUM(C16:C90,C12:C15)</f>
        <v>141299.98000000001</v>
      </c>
      <c r="G2" s="14"/>
      <c r="H2" s="14"/>
    </row>
    <row r="3" spans="1:8" x14ac:dyDescent="0.25">
      <c r="E3" s="56" t="s">
        <v>9</v>
      </c>
      <c r="F3" s="15">
        <f>SUM(C17:C18,C23,C25,C27:C31,C34,C42:C44,C47,C49:C51,C53,C60:C61,C66,C72:C78,C81:C82,C84,C87,C90,C21,C24,C65,C86,C89,C12:C15)</f>
        <v>113490.02999999998</v>
      </c>
      <c r="G3" s="59">
        <f>F3/F2</f>
        <v>0.80318503937509389</v>
      </c>
    </row>
    <row r="4" spans="1:8" ht="15.75" thickBot="1" x14ac:dyDescent="0.3">
      <c r="E4" s="57" t="s">
        <v>19</v>
      </c>
      <c r="F4" s="15">
        <f>F2-F3</f>
        <v>27809.950000000026</v>
      </c>
      <c r="G4" s="59">
        <f>F4/F2</f>
        <v>0.19681496062490614</v>
      </c>
    </row>
    <row r="6" spans="1:8" x14ac:dyDescent="0.25">
      <c r="E6" s="14"/>
      <c r="F6" s="14"/>
    </row>
    <row r="7" spans="1:8" x14ac:dyDescent="0.25">
      <c r="E7" s="14"/>
      <c r="F7" s="14"/>
      <c r="G7" s="14"/>
      <c r="H7" s="14"/>
    </row>
    <row r="8" spans="1:8" x14ac:dyDescent="0.25">
      <c r="E8" s="14"/>
      <c r="F8" s="14"/>
      <c r="G8" s="14"/>
    </row>
    <row r="9" spans="1:8" x14ac:dyDescent="0.25">
      <c r="E9" s="14"/>
      <c r="F9" s="47"/>
      <c r="G9" s="47"/>
      <c r="H9" s="14"/>
    </row>
    <row r="10" spans="1:8" x14ac:dyDescent="0.25">
      <c r="E10" s="14"/>
      <c r="F10" s="14"/>
    </row>
    <row r="11" spans="1:8" ht="15.75" x14ac:dyDescent="0.25">
      <c r="A11" s="1" t="s">
        <v>0</v>
      </c>
      <c r="B11" s="2" t="s">
        <v>1</v>
      </c>
      <c r="C11" s="1" t="s">
        <v>18</v>
      </c>
      <c r="D11" s="1" t="s">
        <v>2</v>
      </c>
      <c r="E11" s="3" t="s">
        <v>3</v>
      </c>
      <c r="F11" s="3" t="s">
        <v>4</v>
      </c>
    </row>
    <row r="12" spans="1:8" ht="15.75" x14ac:dyDescent="0.25">
      <c r="A12" s="72" t="s">
        <v>66</v>
      </c>
      <c r="B12" s="73" t="s">
        <v>322</v>
      </c>
      <c r="C12" s="76">
        <v>2470</v>
      </c>
      <c r="D12" s="76"/>
      <c r="E12" s="77" t="s">
        <v>323</v>
      </c>
      <c r="F12" s="75" t="s">
        <v>324</v>
      </c>
    </row>
    <row r="13" spans="1:8" ht="15.75" x14ac:dyDescent="0.25">
      <c r="A13" s="72" t="s">
        <v>120</v>
      </c>
      <c r="B13" s="73" t="s">
        <v>319</v>
      </c>
      <c r="C13" s="76">
        <v>6105</v>
      </c>
      <c r="D13" s="76"/>
      <c r="E13" s="75" t="s">
        <v>320</v>
      </c>
      <c r="F13" s="75" t="s">
        <v>321</v>
      </c>
    </row>
    <row r="14" spans="1:8" ht="15.75" x14ac:dyDescent="0.25">
      <c r="A14" s="72" t="s">
        <v>310</v>
      </c>
      <c r="B14" s="73" t="s">
        <v>314</v>
      </c>
      <c r="C14" s="76">
        <v>1390.03</v>
      </c>
      <c r="D14" s="76"/>
      <c r="E14" s="75" t="s">
        <v>315</v>
      </c>
      <c r="F14" s="75" t="s">
        <v>204</v>
      </c>
    </row>
    <row r="15" spans="1:8" ht="15.75" x14ac:dyDescent="0.25">
      <c r="A15" s="72" t="s">
        <v>310</v>
      </c>
      <c r="B15" s="73" t="s">
        <v>311</v>
      </c>
      <c r="C15" s="76">
        <v>2000</v>
      </c>
      <c r="D15" s="76"/>
      <c r="E15" s="75" t="s">
        <v>312</v>
      </c>
      <c r="F15" s="75" t="s">
        <v>313</v>
      </c>
    </row>
    <row r="16" spans="1:8" x14ac:dyDescent="0.25">
      <c r="A16" s="7" t="s">
        <v>242</v>
      </c>
      <c r="B16" s="7" t="s">
        <v>253</v>
      </c>
      <c r="C16" s="15">
        <v>1166.6099999999999</v>
      </c>
      <c r="D16" s="7"/>
      <c r="E16" s="7"/>
      <c r="F16" s="7"/>
    </row>
    <row r="17" spans="1:8" x14ac:dyDescent="0.25">
      <c r="A17" s="7" t="s">
        <v>242</v>
      </c>
      <c r="B17" s="7" t="s">
        <v>254</v>
      </c>
      <c r="C17" s="15">
        <v>250</v>
      </c>
      <c r="D17" s="7"/>
      <c r="E17" s="60" t="s">
        <v>297</v>
      </c>
      <c r="F17" s="61" t="s">
        <v>298</v>
      </c>
    </row>
    <row r="18" spans="1:8" x14ac:dyDescent="0.25">
      <c r="A18" s="7" t="s">
        <v>242</v>
      </c>
      <c r="B18" s="7" t="s">
        <v>255</v>
      </c>
      <c r="C18" s="15">
        <v>4296</v>
      </c>
      <c r="D18" s="7"/>
      <c r="E18" s="61" t="s">
        <v>265</v>
      </c>
      <c r="F18" s="61" t="s">
        <v>266</v>
      </c>
    </row>
    <row r="19" spans="1:8" x14ac:dyDescent="0.25">
      <c r="A19" s="7" t="s">
        <v>245</v>
      </c>
      <c r="B19" s="7" t="s">
        <v>256</v>
      </c>
      <c r="C19" s="15">
        <v>239</v>
      </c>
      <c r="D19" s="7"/>
      <c r="E19" s="61"/>
      <c r="F19" s="61"/>
    </row>
    <row r="20" spans="1:8" x14ac:dyDescent="0.25">
      <c r="A20" s="7" t="s">
        <v>240</v>
      </c>
      <c r="B20" s="7" t="s">
        <v>257</v>
      </c>
      <c r="C20" s="15">
        <v>439</v>
      </c>
      <c r="D20" s="7"/>
      <c r="E20" s="61" t="s">
        <v>286</v>
      </c>
      <c r="F20" s="61"/>
    </row>
    <row r="21" spans="1:8" x14ac:dyDescent="0.25">
      <c r="A21" s="7" t="s">
        <v>240</v>
      </c>
      <c r="B21" s="7" t="s">
        <v>258</v>
      </c>
      <c r="C21" s="15">
        <v>1800.84</v>
      </c>
      <c r="D21" s="7"/>
      <c r="E21" s="61" t="s">
        <v>299</v>
      </c>
      <c r="F21" s="61" t="s">
        <v>223</v>
      </c>
      <c r="H21" s="14"/>
    </row>
    <row r="22" spans="1:8" x14ac:dyDescent="0.25">
      <c r="A22" s="7" t="s">
        <v>245</v>
      </c>
      <c r="B22" s="7" t="s">
        <v>20</v>
      </c>
      <c r="D22" s="49">
        <v>-20000</v>
      </c>
      <c r="E22" s="61"/>
      <c r="F22" s="61"/>
      <c r="H22" s="14"/>
    </row>
    <row r="23" spans="1:8" x14ac:dyDescent="0.25">
      <c r="A23" s="7" t="s">
        <v>248</v>
      </c>
      <c r="B23" s="7" t="s">
        <v>36</v>
      </c>
      <c r="C23" s="15">
        <v>157.99</v>
      </c>
      <c r="D23" s="7"/>
      <c r="E23" s="61" t="s">
        <v>279</v>
      </c>
      <c r="F23" s="61" t="s">
        <v>280</v>
      </c>
      <c r="H23" s="14"/>
    </row>
    <row r="24" spans="1:8" x14ac:dyDescent="0.25">
      <c r="A24" s="7" t="s">
        <v>248</v>
      </c>
      <c r="B24" s="7" t="s">
        <v>259</v>
      </c>
      <c r="C24" s="53">
        <v>1547.42</v>
      </c>
      <c r="D24" s="7"/>
      <c r="E24" s="61" t="s">
        <v>300</v>
      </c>
      <c r="F24" s="61" t="s">
        <v>301</v>
      </c>
    </row>
    <row r="25" spans="1:8" x14ac:dyDescent="0.25">
      <c r="A25" s="7" t="s">
        <v>248</v>
      </c>
      <c r="B25" s="7" t="s">
        <v>260</v>
      </c>
      <c r="C25" s="15">
        <v>1461.99</v>
      </c>
      <c r="D25" s="7"/>
      <c r="E25" s="61" t="s">
        <v>271</v>
      </c>
      <c r="F25" s="61" t="s">
        <v>272</v>
      </c>
    </row>
    <row r="26" spans="1:8" x14ac:dyDescent="0.25">
      <c r="A26" s="7" t="s">
        <v>230</v>
      </c>
      <c r="B26" s="7" t="s">
        <v>261</v>
      </c>
      <c r="C26" s="50">
        <v>350</v>
      </c>
      <c r="D26" s="7"/>
      <c r="E26" s="61"/>
      <c r="F26" s="61"/>
    </row>
    <row r="27" spans="1:8" x14ac:dyDescent="0.25">
      <c r="A27" s="7" t="s">
        <v>230</v>
      </c>
      <c r="B27" s="7" t="s">
        <v>262</v>
      </c>
      <c r="C27" s="15">
        <v>1807.01</v>
      </c>
      <c r="D27" s="7"/>
      <c r="E27" s="61" t="s">
        <v>275</v>
      </c>
      <c r="F27" s="61" t="s">
        <v>276</v>
      </c>
    </row>
    <row r="28" spans="1:8" x14ac:dyDescent="0.25">
      <c r="A28" s="7" t="s">
        <v>263</v>
      </c>
      <c r="B28" s="7" t="s">
        <v>154</v>
      </c>
      <c r="C28" s="15">
        <v>983.6</v>
      </c>
      <c r="D28" s="7"/>
      <c r="E28" s="61" t="s">
        <v>273</v>
      </c>
      <c r="F28" s="61" t="s">
        <v>204</v>
      </c>
    </row>
    <row r="29" spans="1:8" x14ac:dyDescent="0.25">
      <c r="A29" s="7" t="s">
        <v>263</v>
      </c>
      <c r="B29" s="7" t="s">
        <v>154</v>
      </c>
      <c r="C29" s="15">
        <v>1795.81</v>
      </c>
      <c r="D29" s="7"/>
      <c r="E29" s="61" t="s">
        <v>274</v>
      </c>
      <c r="F29" s="61" t="s">
        <v>204</v>
      </c>
    </row>
    <row r="30" spans="1:8" x14ac:dyDescent="0.25">
      <c r="A30" s="7" t="s">
        <v>263</v>
      </c>
      <c r="B30" s="7" t="s">
        <v>264</v>
      </c>
      <c r="C30" s="15">
        <v>439</v>
      </c>
      <c r="D30" s="7"/>
      <c r="E30" s="61" t="s">
        <v>283</v>
      </c>
      <c r="F30" s="61" t="s">
        <v>282</v>
      </c>
    </row>
    <row r="31" spans="1:8" x14ac:dyDescent="0.25">
      <c r="A31" s="7" t="s">
        <v>263</v>
      </c>
      <c r="B31" s="7" t="s">
        <v>264</v>
      </c>
      <c r="C31" s="15">
        <v>1456</v>
      </c>
      <c r="D31" s="7"/>
      <c r="E31" s="61" t="s">
        <v>281</v>
      </c>
      <c r="F31" s="61" t="s">
        <v>282</v>
      </c>
    </row>
    <row r="32" spans="1:8" x14ac:dyDescent="0.25">
      <c r="A32" s="7" t="s">
        <v>142</v>
      </c>
      <c r="B32" s="7" t="s">
        <v>37</v>
      </c>
      <c r="C32" s="58">
        <v>213.15</v>
      </c>
      <c r="D32" s="7"/>
      <c r="E32" s="61"/>
      <c r="F32" s="61"/>
    </row>
    <row r="33" spans="1:6" ht="15.75" customHeight="1" x14ac:dyDescent="0.25">
      <c r="A33" s="7" t="s">
        <v>142</v>
      </c>
      <c r="B33" s="7" t="s">
        <v>143</v>
      </c>
      <c r="C33" s="15">
        <v>2000</v>
      </c>
      <c r="D33" s="17"/>
      <c r="E33" s="62"/>
      <c r="F33" s="62"/>
    </row>
    <row r="34" spans="1:6" ht="15.75" customHeight="1" x14ac:dyDescent="0.25">
      <c r="A34" s="10" t="s">
        <v>142</v>
      </c>
      <c r="B34" s="10" t="s">
        <v>144</v>
      </c>
      <c r="C34" s="11">
        <v>3089.59</v>
      </c>
      <c r="D34" s="7"/>
      <c r="E34" s="63" t="s">
        <v>165</v>
      </c>
      <c r="F34" s="61" t="s">
        <v>166</v>
      </c>
    </row>
    <row r="35" spans="1:6" ht="15.75" customHeight="1" x14ac:dyDescent="0.25">
      <c r="A35" s="7" t="s">
        <v>142</v>
      </c>
      <c r="B35" s="7" t="s">
        <v>65</v>
      </c>
      <c r="C35" s="15">
        <v>213.15</v>
      </c>
      <c r="D35" s="17"/>
      <c r="E35" s="62"/>
      <c r="F35" s="62"/>
    </row>
    <row r="36" spans="1:6" ht="15.75" customHeight="1" x14ac:dyDescent="0.25">
      <c r="A36" s="7" t="s">
        <v>145</v>
      </c>
      <c r="B36" s="7" t="s">
        <v>146</v>
      </c>
      <c r="C36" s="15">
        <v>604</v>
      </c>
      <c r="D36" s="17"/>
      <c r="E36" s="64"/>
      <c r="F36" s="64"/>
    </row>
    <row r="37" spans="1:6" ht="15.75" customHeight="1" x14ac:dyDescent="0.25">
      <c r="A37" s="7" t="s">
        <v>66</v>
      </c>
      <c r="B37" s="7" t="s">
        <v>67</v>
      </c>
      <c r="C37" s="15">
        <v>20</v>
      </c>
      <c r="D37" s="17"/>
      <c r="E37" s="62"/>
      <c r="F37" s="62"/>
    </row>
    <row r="38" spans="1:6" ht="15.75" customHeight="1" x14ac:dyDescent="0.25">
      <c r="A38" s="7" t="s">
        <v>66</v>
      </c>
      <c r="B38" s="7" t="s">
        <v>67</v>
      </c>
      <c r="C38" s="15">
        <v>20</v>
      </c>
      <c r="D38" s="17"/>
      <c r="E38" s="62"/>
      <c r="F38" s="62"/>
    </row>
    <row r="39" spans="1:6" ht="15.75" customHeight="1" x14ac:dyDescent="0.25">
      <c r="A39" s="7" t="s">
        <v>66</v>
      </c>
      <c r="B39" s="7" t="s">
        <v>67</v>
      </c>
      <c r="C39" s="15">
        <v>20</v>
      </c>
      <c r="D39" s="17"/>
      <c r="E39" s="62"/>
      <c r="F39" s="62"/>
    </row>
    <row r="40" spans="1:6" ht="15.75" customHeight="1" x14ac:dyDescent="0.25">
      <c r="A40" s="7" t="s">
        <v>24</v>
      </c>
      <c r="B40" s="7" t="s">
        <v>25</v>
      </c>
      <c r="C40" s="15">
        <v>3046.72</v>
      </c>
      <c r="D40" s="17"/>
      <c r="E40" s="62"/>
      <c r="F40" s="62"/>
    </row>
    <row r="41" spans="1:6" ht="15.75" customHeight="1" x14ac:dyDescent="0.25">
      <c r="A41" s="7" t="s">
        <v>116</v>
      </c>
      <c r="B41" s="7" t="s">
        <v>147</v>
      </c>
      <c r="C41" s="15">
        <v>203.5</v>
      </c>
      <c r="D41" s="17"/>
      <c r="E41" s="62"/>
      <c r="F41" s="62"/>
    </row>
    <row r="42" spans="1:6" ht="15.75" customHeight="1" x14ac:dyDescent="0.25">
      <c r="A42" s="7" t="s">
        <v>116</v>
      </c>
      <c r="B42" s="7" t="s">
        <v>147</v>
      </c>
      <c r="C42" s="15">
        <v>633.9</v>
      </c>
      <c r="D42" s="17"/>
      <c r="E42" s="64" t="s">
        <v>184</v>
      </c>
      <c r="F42" s="64" t="s">
        <v>185</v>
      </c>
    </row>
    <row r="43" spans="1:6" ht="15.75" customHeight="1" x14ac:dyDescent="0.25">
      <c r="A43" s="7" t="s">
        <v>116</v>
      </c>
      <c r="B43" s="7" t="s">
        <v>148</v>
      </c>
      <c r="C43" s="15">
        <v>679</v>
      </c>
      <c r="D43" s="17"/>
      <c r="E43" s="64" t="s">
        <v>216</v>
      </c>
      <c r="F43" s="64" t="s">
        <v>215</v>
      </c>
    </row>
    <row r="44" spans="1:6" ht="15.75" customHeight="1" x14ac:dyDescent="0.25">
      <c r="A44" s="7" t="s">
        <v>116</v>
      </c>
      <c r="B44" s="7" t="s">
        <v>148</v>
      </c>
      <c r="C44" s="15">
        <v>1996</v>
      </c>
      <c r="D44" s="17"/>
      <c r="E44" s="64" t="s">
        <v>214</v>
      </c>
      <c r="F44" s="64" t="s">
        <v>215</v>
      </c>
    </row>
    <row r="45" spans="1:6" ht="15.75" customHeight="1" x14ac:dyDescent="0.25">
      <c r="A45" s="7" t="s">
        <v>116</v>
      </c>
      <c r="B45" s="7" t="s">
        <v>149</v>
      </c>
      <c r="C45" s="15">
        <v>99</v>
      </c>
      <c r="D45" s="17"/>
      <c r="E45" s="62"/>
      <c r="F45" s="62"/>
    </row>
    <row r="46" spans="1:6" ht="15.75" customHeight="1" x14ac:dyDescent="0.25">
      <c r="A46" s="7" t="s">
        <v>125</v>
      </c>
      <c r="B46" s="7" t="s">
        <v>150</v>
      </c>
      <c r="D46" s="45">
        <v>-15000</v>
      </c>
      <c r="E46" s="62"/>
      <c r="F46" s="62"/>
    </row>
    <row r="47" spans="1:6" ht="15.75" customHeight="1" x14ac:dyDescent="0.25">
      <c r="A47" s="7" t="s">
        <v>120</v>
      </c>
      <c r="B47" s="7" t="s">
        <v>151</v>
      </c>
      <c r="C47" s="15">
        <v>506.13</v>
      </c>
      <c r="D47" s="17"/>
      <c r="E47" s="64" t="s">
        <v>167</v>
      </c>
      <c r="F47" s="64" t="s">
        <v>168</v>
      </c>
    </row>
    <row r="48" spans="1:6" ht="15.75" customHeight="1" x14ac:dyDescent="0.25">
      <c r="A48" s="7" t="s">
        <v>120</v>
      </c>
      <c r="B48" s="42" t="s">
        <v>152</v>
      </c>
      <c r="C48" s="15">
        <v>290.13</v>
      </c>
      <c r="D48" s="17"/>
      <c r="E48" s="62"/>
      <c r="F48" s="62"/>
    </row>
    <row r="49" spans="1:8" ht="15.75" customHeight="1" x14ac:dyDescent="0.25">
      <c r="A49" s="7" t="s">
        <v>136</v>
      </c>
      <c r="B49" s="7" t="s">
        <v>75</v>
      </c>
      <c r="C49" s="15">
        <v>4119.96</v>
      </c>
      <c r="D49" s="17"/>
      <c r="E49" s="64" t="s">
        <v>226</v>
      </c>
      <c r="F49" s="64" t="s">
        <v>225</v>
      </c>
      <c r="H49" s="14"/>
    </row>
    <row r="50" spans="1:8" ht="15.75" customHeight="1" x14ac:dyDescent="0.25">
      <c r="A50" s="7" t="s">
        <v>136</v>
      </c>
      <c r="B50" s="7" t="s">
        <v>153</v>
      </c>
      <c r="C50" s="15">
        <v>1385</v>
      </c>
      <c r="D50" s="17"/>
      <c r="E50" s="64" t="s">
        <v>222</v>
      </c>
      <c r="F50" s="64" t="s">
        <v>223</v>
      </c>
    </row>
    <row r="51" spans="1:8" ht="15.75" customHeight="1" x14ac:dyDescent="0.25">
      <c r="A51" s="32" t="s">
        <v>136</v>
      </c>
      <c r="B51" s="32" t="s">
        <v>154</v>
      </c>
      <c r="C51" s="34">
        <v>1854.87</v>
      </c>
      <c r="D51" s="33"/>
      <c r="E51" s="65" t="s">
        <v>217</v>
      </c>
      <c r="F51" s="65" t="s">
        <v>204</v>
      </c>
      <c r="H51" s="14"/>
    </row>
    <row r="52" spans="1:8" ht="15.75" customHeight="1" x14ac:dyDescent="0.25">
      <c r="A52" s="10" t="s">
        <v>64</v>
      </c>
      <c r="B52" s="10" t="s">
        <v>20</v>
      </c>
      <c r="D52" s="46">
        <v>-15000</v>
      </c>
      <c r="E52" s="61"/>
      <c r="F52" s="61"/>
    </row>
    <row r="53" spans="1:8" ht="15.75" customHeight="1" x14ac:dyDescent="0.25">
      <c r="A53" s="10" t="s">
        <v>64</v>
      </c>
      <c r="B53" s="10" t="s">
        <v>155</v>
      </c>
      <c r="C53" s="11">
        <v>330</v>
      </c>
      <c r="D53" s="9"/>
      <c r="E53" s="61" t="s">
        <v>83</v>
      </c>
      <c r="F53" s="61" t="s">
        <v>84</v>
      </c>
    </row>
    <row r="54" spans="1:8" ht="15.75" customHeight="1" x14ac:dyDescent="0.25">
      <c r="A54" s="10" t="s">
        <v>64</v>
      </c>
      <c r="B54" s="10" t="s">
        <v>37</v>
      </c>
      <c r="C54" s="11">
        <v>1579</v>
      </c>
      <c r="D54" s="9"/>
      <c r="E54" s="61" t="s">
        <v>174</v>
      </c>
      <c r="F54" s="61"/>
    </row>
    <row r="55" spans="1:8" ht="15.75" customHeight="1" x14ac:dyDescent="0.25">
      <c r="A55" s="10" t="s">
        <v>64</v>
      </c>
      <c r="B55" s="10" t="s">
        <v>156</v>
      </c>
      <c r="C55" s="11">
        <v>704.6</v>
      </c>
      <c r="D55" s="9"/>
      <c r="E55" s="61"/>
      <c r="F55" s="61"/>
    </row>
    <row r="56" spans="1:8" ht="15.75" customHeight="1" x14ac:dyDescent="0.25">
      <c r="A56" s="10" t="s">
        <v>64</v>
      </c>
      <c r="B56" s="43" t="s">
        <v>73</v>
      </c>
      <c r="C56" s="11">
        <v>607.54</v>
      </c>
      <c r="D56" s="9"/>
      <c r="E56" s="61"/>
      <c r="F56" s="61"/>
    </row>
    <row r="57" spans="1:8" ht="15.75" customHeight="1" x14ac:dyDescent="0.25">
      <c r="A57" s="10" t="s">
        <v>63</v>
      </c>
      <c r="B57" s="43" t="s">
        <v>157</v>
      </c>
      <c r="C57" s="11">
        <v>558.88</v>
      </c>
      <c r="D57" s="9"/>
      <c r="E57" s="61"/>
      <c r="F57" s="61"/>
    </row>
    <row r="58" spans="1:8" ht="15.75" customHeight="1" x14ac:dyDescent="0.25">
      <c r="A58" s="10" t="s">
        <v>63</v>
      </c>
      <c r="B58" s="43" t="s">
        <v>153</v>
      </c>
      <c r="C58" s="11">
        <v>490</v>
      </c>
      <c r="D58" s="9"/>
      <c r="E58" s="61"/>
      <c r="F58" s="61"/>
    </row>
    <row r="59" spans="1:8" ht="15.75" customHeight="1" x14ac:dyDescent="0.25">
      <c r="A59" s="10" t="s">
        <v>63</v>
      </c>
      <c r="B59" s="43" t="s">
        <v>153</v>
      </c>
      <c r="C59" s="11">
        <v>173.22</v>
      </c>
      <c r="D59" s="11"/>
      <c r="E59" s="61"/>
      <c r="F59" s="61"/>
    </row>
    <row r="60" spans="1:8" ht="15.75" customHeight="1" x14ac:dyDescent="0.25">
      <c r="A60" s="10" t="s">
        <v>63</v>
      </c>
      <c r="B60" s="10" t="s">
        <v>158</v>
      </c>
      <c r="C60" s="11">
        <v>610</v>
      </c>
      <c r="D60" s="11"/>
      <c r="E60" s="63" t="s">
        <v>98</v>
      </c>
      <c r="F60" s="61" t="s">
        <v>99</v>
      </c>
    </row>
    <row r="61" spans="1:8" ht="15.75" customHeight="1" x14ac:dyDescent="0.25">
      <c r="A61" s="10" t="s">
        <v>63</v>
      </c>
      <c r="B61" s="10" t="s">
        <v>159</v>
      </c>
      <c r="C61" s="11">
        <v>12223.14</v>
      </c>
      <c r="D61" s="7"/>
      <c r="E61" s="61" t="s">
        <v>190</v>
      </c>
      <c r="F61" s="61" t="s">
        <v>191</v>
      </c>
    </row>
    <row r="62" spans="1:8" ht="15.75" customHeight="1" x14ac:dyDescent="0.25">
      <c r="A62" s="10" t="s">
        <v>63</v>
      </c>
      <c r="B62" s="10" t="s">
        <v>160</v>
      </c>
      <c r="C62" s="11">
        <v>915.64</v>
      </c>
      <c r="D62" s="7"/>
      <c r="E62" s="61"/>
      <c r="F62" s="61"/>
    </row>
    <row r="63" spans="1:8" ht="15.75" customHeight="1" x14ac:dyDescent="0.25">
      <c r="A63" s="10" t="s">
        <v>63</v>
      </c>
      <c r="B63" s="10" t="s">
        <v>161</v>
      </c>
      <c r="C63" s="11">
        <v>399</v>
      </c>
      <c r="D63" s="7"/>
      <c r="E63" s="61"/>
      <c r="F63" s="61"/>
    </row>
    <row r="64" spans="1:8" ht="15.75" customHeight="1" x14ac:dyDescent="0.25">
      <c r="A64" s="10" t="s">
        <v>66</v>
      </c>
      <c r="B64" s="10" t="s">
        <v>68</v>
      </c>
      <c r="C64" s="11">
        <v>499.99</v>
      </c>
      <c r="D64" s="7"/>
      <c r="E64" s="61"/>
      <c r="F64" s="61"/>
    </row>
    <row r="65" spans="1:6" ht="15.75" customHeight="1" x14ac:dyDescent="0.25">
      <c r="A65" s="10" t="s">
        <v>66</v>
      </c>
      <c r="B65" s="10" t="s">
        <v>69</v>
      </c>
      <c r="C65" s="11">
        <v>832.65</v>
      </c>
      <c r="D65" s="7" t="s">
        <v>213</v>
      </c>
      <c r="E65" s="61"/>
      <c r="F65" s="61"/>
    </row>
    <row r="66" spans="1:6" ht="15.75" customHeight="1" x14ac:dyDescent="0.25">
      <c r="A66" s="10" t="s">
        <v>66</v>
      </c>
      <c r="B66" s="10" t="s">
        <v>70</v>
      </c>
      <c r="C66" s="11">
        <v>1669.95</v>
      </c>
      <c r="D66" s="7"/>
      <c r="E66" s="61" t="s">
        <v>182</v>
      </c>
      <c r="F66" s="61" t="s">
        <v>183</v>
      </c>
    </row>
    <row r="67" spans="1:6" ht="15.75" customHeight="1" x14ac:dyDescent="0.25">
      <c r="A67" s="10" t="s">
        <v>66</v>
      </c>
      <c r="B67" s="10" t="s">
        <v>71</v>
      </c>
      <c r="C67" s="11">
        <v>320</v>
      </c>
      <c r="D67" s="7"/>
      <c r="E67" s="61"/>
      <c r="F67" s="61"/>
    </row>
    <row r="68" spans="1:6" ht="15.75" customHeight="1" x14ac:dyDescent="0.25">
      <c r="A68" s="10" t="s">
        <v>72</v>
      </c>
      <c r="B68" s="43" t="s">
        <v>73</v>
      </c>
      <c r="C68" s="11">
        <v>2803.63</v>
      </c>
      <c r="D68" s="9"/>
      <c r="E68" s="61"/>
      <c r="F68" s="61"/>
    </row>
    <row r="69" spans="1:6" ht="15.75" customHeight="1" x14ac:dyDescent="0.25">
      <c r="A69" s="10" t="s">
        <v>72</v>
      </c>
      <c r="B69" s="43" t="s">
        <v>37</v>
      </c>
      <c r="C69" s="11">
        <v>1802.99</v>
      </c>
      <c r="D69" s="9"/>
      <c r="E69" s="61"/>
      <c r="F69" s="61"/>
    </row>
    <row r="70" spans="1:6" ht="15.75" customHeight="1" x14ac:dyDescent="0.25">
      <c r="A70" s="10" t="s">
        <v>72</v>
      </c>
      <c r="B70" s="43" t="s">
        <v>73</v>
      </c>
      <c r="C70" s="11">
        <v>1688.2</v>
      </c>
      <c r="D70" s="9"/>
      <c r="E70" s="61"/>
      <c r="F70" s="61"/>
    </row>
    <row r="71" spans="1:6" ht="15.75" customHeight="1" x14ac:dyDescent="0.25">
      <c r="A71" s="10" t="s">
        <v>62</v>
      </c>
      <c r="B71" s="10" t="s">
        <v>20</v>
      </c>
      <c r="D71" s="46">
        <v>-25939.77</v>
      </c>
      <c r="E71" s="61"/>
      <c r="F71" s="61"/>
    </row>
    <row r="72" spans="1:6" ht="15.75" customHeight="1" x14ac:dyDescent="0.25">
      <c r="A72" s="10" t="s">
        <v>62</v>
      </c>
      <c r="B72" s="10" t="s">
        <v>74</v>
      </c>
      <c r="C72" s="11">
        <v>1883.13</v>
      </c>
      <c r="D72" s="9"/>
      <c r="E72" s="61" t="s">
        <v>218</v>
      </c>
      <c r="F72" s="61" t="s">
        <v>219</v>
      </c>
    </row>
    <row r="73" spans="1:6" ht="15.75" customHeight="1" x14ac:dyDescent="0.25">
      <c r="A73" s="10" t="s">
        <v>62</v>
      </c>
      <c r="B73" s="10" t="s">
        <v>34</v>
      </c>
      <c r="C73" s="11">
        <v>540</v>
      </c>
      <c r="D73" s="9"/>
      <c r="E73" s="63" t="s">
        <v>112</v>
      </c>
      <c r="F73" s="61" t="s">
        <v>111</v>
      </c>
    </row>
    <row r="74" spans="1:6" ht="15.75" customHeight="1" x14ac:dyDescent="0.25">
      <c r="A74" s="10" t="s">
        <v>26</v>
      </c>
      <c r="B74" s="10" t="s">
        <v>75</v>
      </c>
      <c r="C74" s="11">
        <v>3399.39</v>
      </c>
      <c r="D74" s="9"/>
      <c r="E74" s="63" t="s">
        <v>224</v>
      </c>
      <c r="F74" s="61" t="s">
        <v>225</v>
      </c>
    </row>
    <row r="75" spans="1:6" ht="15.75" customHeight="1" x14ac:dyDescent="0.25">
      <c r="A75" s="10" t="s">
        <v>26</v>
      </c>
      <c r="B75" s="10" t="s">
        <v>23</v>
      </c>
      <c r="C75" s="11">
        <v>4050</v>
      </c>
      <c r="D75" s="9"/>
      <c r="E75" s="63" t="s">
        <v>221</v>
      </c>
      <c r="F75" s="61" t="s">
        <v>111</v>
      </c>
    </row>
    <row r="76" spans="1:6" ht="15.75" customHeight="1" x14ac:dyDescent="0.25">
      <c r="A76" s="10" t="s">
        <v>26</v>
      </c>
      <c r="B76" s="10" t="s">
        <v>76</v>
      </c>
      <c r="C76" s="11">
        <v>7206</v>
      </c>
      <c r="D76" s="9"/>
      <c r="E76" s="63" t="s">
        <v>110</v>
      </c>
      <c r="F76" s="61" t="s">
        <v>109</v>
      </c>
    </row>
    <row r="77" spans="1:6" ht="15.75" customHeight="1" x14ac:dyDescent="0.25">
      <c r="A77" s="10" t="s">
        <v>27</v>
      </c>
      <c r="B77" s="10" t="s">
        <v>162</v>
      </c>
      <c r="C77" s="11">
        <v>1730.39</v>
      </c>
      <c r="D77" s="9"/>
      <c r="E77" s="60" t="s">
        <v>203</v>
      </c>
      <c r="F77" s="61" t="s">
        <v>204</v>
      </c>
    </row>
    <row r="78" spans="1:6" ht="15.75" customHeight="1" x14ac:dyDescent="0.25">
      <c r="A78" s="10" t="s">
        <v>27</v>
      </c>
      <c r="B78" s="10" t="s">
        <v>163</v>
      </c>
      <c r="C78" s="11">
        <v>383.96</v>
      </c>
      <c r="D78" s="9"/>
      <c r="E78" s="64">
        <v>119232632</v>
      </c>
      <c r="F78" s="64" t="s">
        <v>124</v>
      </c>
    </row>
    <row r="79" spans="1:6" ht="15.75" customHeight="1" x14ac:dyDescent="0.25">
      <c r="A79" s="10" t="s">
        <v>28</v>
      </c>
      <c r="B79" s="44" t="s">
        <v>33</v>
      </c>
      <c r="C79" s="11">
        <v>4172</v>
      </c>
      <c r="D79" s="9"/>
      <c r="E79" s="61"/>
      <c r="F79" s="61"/>
    </row>
    <row r="80" spans="1:6" ht="15.75" customHeight="1" x14ac:dyDescent="0.25">
      <c r="A80" s="10" t="s">
        <v>29</v>
      </c>
      <c r="B80" s="10" t="s">
        <v>34</v>
      </c>
      <c r="C80" s="11">
        <v>960</v>
      </c>
      <c r="D80" s="9"/>
      <c r="E80" s="61"/>
      <c r="F80" s="61"/>
    </row>
    <row r="81" spans="1:6" ht="15.75" customHeight="1" x14ac:dyDescent="0.25">
      <c r="A81" s="10" t="s">
        <v>29</v>
      </c>
      <c r="B81" s="10" t="s">
        <v>23</v>
      </c>
      <c r="C81" s="11">
        <v>480</v>
      </c>
      <c r="D81" s="9"/>
      <c r="E81" s="61" t="s">
        <v>220</v>
      </c>
      <c r="F81" s="61" t="s">
        <v>111</v>
      </c>
    </row>
    <row r="82" spans="1:6" ht="15.75" customHeight="1" x14ac:dyDescent="0.25">
      <c r="A82" s="10" t="s">
        <v>29</v>
      </c>
      <c r="B82" s="10" t="s">
        <v>22</v>
      </c>
      <c r="C82" s="11">
        <v>139</v>
      </c>
      <c r="D82" s="38"/>
      <c r="E82" s="64" t="s">
        <v>107</v>
      </c>
      <c r="F82" s="64" t="s">
        <v>108</v>
      </c>
    </row>
    <row r="83" spans="1:6" ht="15.75" customHeight="1" x14ac:dyDescent="0.25">
      <c r="A83" s="10" t="s">
        <v>30</v>
      </c>
      <c r="B83" s="10" t="s">
        <v>164</v>
      </c>
      <c r="D83" s="46">
        <v>-20000</v>
      </c>
      <c r="E83" s="61"/>
      <c r="F83" s="61"/>
    </row>
    <row r="84" spans="1:6" ht="15.75" customHeight="1" x14ac:dyDescent="0.25">
      <c r="A84" s="10" t="s">
        <v>30</v>
      </c>
      <c r="B84" s="10" t="s">
        <v>23</v>
      </c>
      <c r="C84" s="11">
        <v>1620</v>
      </c>
      <c r="D84" s="9" t="s">
        <v>173</v>
      </c>
      <c r="E84" s="64" t="s">
        <v>115</v>
      </c>
      <c r="F84" s="64" t="s">
        <v>111</v>
      </c>
    </row>
    <row r="85" spans="1:6" ht="15.75" customHeight="1" x14ac:dyDescent="0.25">
      <c r="A85" s="10" t="s">
        <v>31</v>
      </c>
      <c r="B85" s="10" t="s">
        <v>35</v>
      </c>
      <c r="C85" s="15">
        <v>195</v>
      </c>
      <c r="D85" s="16"/>
      <c r="E85" s="61"/>
      <c r="F85" s="61"/>
    </row>
    <row r="86" spans="1:6" ht="15.75" customHeight="1" x14ac:dyDescent="0.25">
      <c r="A86" s="10" t="s">
        <v>31</v>
      </c>
      <c r="B86" s="10" t="s">
        <v>36</v>
      </c>
      <c r="C86" s="11">
        <v>200.41</v>
      </c>
      <c r="D86" s="9" t="s">
        <v>213</v>
      </c>
      <c r="E86" s="61"/>
      <c r="F86" s="61"/>
    </row>
    <row r="87" spans="1:6" ht="15.75" customHeight="1" x14ac:dyDescent="0.25">
      <c r="A87" s="10" t="s">
        <v>32</v>
      </c>
      <c r="B87" s="10" t="s">
        <v>37</v>
      </c>
      <c r="C87" s="11">
        <v>31580</v>
      </c>
      <c r="D87" s="9"/>
      <c r="E87" s="64" t="s">
        <v>113</v>
      </c>
      <c r="F87" s="64" t="s">
        <v>114</v>
      </c>
    </row>
    <row r="88" spans="1:6" ht="15.75" customHeight="1" x14ac:dyDescent="0.25">
      <c r="A88" s="10" t="s">
        <v>32</v>
      </c>
      <c r="B88" s="10" t="s">
        <v>38</v>
      </c>
      <c r="C88" s="11">
        <v>1016</v>
      </c>
      <c r="D88" s="9"/>
      <c r="E88" s="61"/>
      <c r="F88" s="61"/>
    </row>
    <row r="89" spans="1:6" ht="15.75" customHeight="1" x14ac:dyDescent="0.25">
      <c r="A89" s="10" t="s">
        <v>32</v>
      </c>
      <c r="B89" s="10" t="s">
        <v>39</v>
      </c>
      <c r="C89" s="11">
        <v>597</v>
      </c>
      <c r="D89" s="9" t="s">
        <v>213</v>
      </c>
      <c r="E89" s="61"/>
      <c r="F89" s="61"/>
    </row>
    <row r="90" spans="1:6" ht="15.75" customHeight="1" x14ac:dyDescent="0.25">
      <c r="A90" s="10" t="s">
        <v>32</v>
      </c>
      <c r="B90" s="10" t="s">
        <v>40</v>
      </c>
      <c r="C90" s="11">
        <v>1789.87</v>
      </c>
      <c r="D90" s="9"/>
      <c r="E90" s="61" t="s">
        <v>199</v>
      </c>
      <c r="F90" s="61" t="s">
        <v>200</v>
      </c>
    </row>
    <row r="91" spans="1:6" ht="15.75" customHeight="1" x14ac:dyDescent="0.25">
      <c r="A91" s="24"/>
      <c r="B91" s="24"/>
      <c r="C91" s="25"/>
      <c r="D91" s="26"/>
      <c r="E91" s="66"/>
      <c r="F91" s="66"/>
    </row>
    <row r="92" spans="1:6" ht="15.75" x14ac:dyDescent="0.25">
      <c r="A92" s="27"/>
      <c r="B92" s="27"/>
      <c r="C92" s="28"/>
      <c r="E92" s="67"/>
      <c r="F92" s="67"/>
    </row>
    <row r="93" spans="1:6" ht="15.75" x14ac:dyDescent="0.25">
      <c r="A93" s="27"/>
      <c r="B93" s="27"/>
      <c r="C93" s="28"/>
    </row>
    <row r="94" spans="1:6" ht="15.75" x14ac:dyDescent="0.25">
      <c r="A94" s="27"/>
      <c r="B94" s="27"/>
      <c r="C94" s="28"/>
    </row>
    <row r="95" spans="1:6" ht="15.75" x14ac:dyDescent="0.25">
      <c r="A95" s="27"/>
      <c r="B95" s="27"/>
      <c r="C95" s="28"/>
    </row>
    <row r="96" spans="1:6" ht="15.75" x14ac:dyDescent="0.25">
      <c r="A96" s="27"/>
      <c r="B96" s="27"/>
      <c r="C96" s="28"/>
    </row>
    <row r="97" spans="1:4" ht="15.75" x14ac:dyDescent="0.25">
      <c r="A97" s="27"/>
      <c r="B97" s="27"/>
      <c r="C97" s="28"/>
    </row>
    <row r="98" spans="1:4" x14ac:dyDescent="0.25">
      <c r="C98" s="29"/>
      <c r="D98" s="29"/>
    </row>
    <row r="99" spans="1:4" x14ac:dyDescent="0.25">
      <c r="C99" s="29"/>
      <c r="D99" s="29"/>
    </row>
    <row r="100" spans="1:4" x14ac:dyDescent="0.25">
      <c r="C100" s="29"/>
      <c r="D100" s="29"/>
    </row>
    <row r="101" spans="1:4" x14ac:dyDescent="0.25">
      <c r="C101" s="29"/>
      <c r="D101" s="29"/>
    </row>
    <row r="102" spans="1:4" x14ac:dyDescent="0.25">
      <c r="C102" s="29"/>
      <c r="D102" s="29"/>
    </row>
    <row r="103" spans="1:4" x14ac:dyDescent="0.25">
      <c r="C103" s="29"/>
      <c r="D103" s="29"/>
    </row>
    <row r="104" spans="1:4" x14ac:dyDescent="0.25">
      <c r="C104" s="29"/>
      <c r="D104" s="29"/>
    </row>
    <row r="105" spans="1:4" x14ac:dyDescent="0.25">
      <c r="C105" s="29"/>
      <c r="D105" s="29"/>
    </row>
    <row r="106" spans="1:4" x14ac:dyDescent="0.25">
      <c r="C106" s="29"/>
      <c r="D106" s="29"/>
    </row>
    <row r="107" spans="1:4" x14ac:dyDescent="0.25">
      <c r="C107" s="29"/>
      <c r="D107" s="29"/>
    </row>
    <row r="108" spans="1:4" x14ac:dyDescent="0.25">
      <c r="C108" s="29"/>
      <c r="D108" s="29"/>
    </row>
    <row r="109" spans="1:4" x14ac:dyDescent="0.25">
      <c r="C109" s="29"/>
      <c r="D109" s="29"/>
    </row>
    <row r="110" spans="1:4" x14ac:dyDescent="0.25">
      <c r="C110" s="29"/>
      <c r="D110" s="29"/>
    </row>
    <row r="111" spans="1:4" x14ac:dyDescent="0.25">
      <c r="C111" s="29"/>
      <c r="D111" s="29"/>
    </row>
    <row r="112" spans="1:4" x14ac:dyDescent="0.25">
      <c r="C112" s="29"/>
      <c r="D112" s="29"/>
    </row>
    <row r="113" spans="3:4" x14ac:dyDescent="0.25">
      <c r="C113" s="29"/>
      <c r="D113" s="29"/>
    </row>
    <row r="114" spans="3:4" x14ac:dyDescent="0.25">
      <c r="C114" s="29"/>
      <c r="D114" s="29"/>
    </row>
    <row r="115" spans="3:4" x14ac:dyDescent="0.25">
      <c r="C115" s="29"/>
      <c r="D115" s="29"/>
    </row>
    <row r="116" spans="3:4" x14ac:dyDescent="0.25">
      <c r="C116" s="29"/>
      <c r="D116" s="29"/>
    </row>
    <row r="117" spans="3:4" x14ac:dyDescent="0.25">
      <c r="C117" s="29"/>
      <c r="D117" s="29"/>
    </row>
    <row r="118" spans="3:4" x14ac:dyDescent="0.25">
      <c r="C118" s="29"/>
      <c r="D118" s="29"/>
    </row>
    <row r="119" spans="3:4" x14ac:dyDescent="0.25">
      <c r="C119" s="29"/>
      <c r="D119" s="29"/>
    </row>
    <row r="120" spans="3:4" x14ac:dyDescent="0.25">
      <c r="C120" s="29"/>
    </row>
    <row r="121" spans="3:4" x14ac:dyDescent="0.25">
      <c r="C121" s="29"/>
    </row>
    <row r="122" spans="3:4" x14ac:dyDescent="0.25">
      <c r="D122" s="29"/>
    </row>
    <row r="123" spans="3:4" x14ac:dyDescent="0.25">
      <c r="C123" s="29"/>
    </row>
    <row r="124" spans="3:4" x14ac:dyDescent="0.25">
      <c r="C124" s="29"/>
    </row>
    <row r="125" spans="3:4" x14ac:dyDescent="0.25">
      <c r="C125" s="29"/>
    </row>
    <row r="126" spans="3:4" x14ac:dyDescent="0.25">
      <c r="C126" s="29"/>
    </row>
    <row r="127" spans="3:4" x14ac:dyDescent="0.25">
      <c r="C127" s="29"/>
    </row>
    <row r="128" spans="3:4" x14ac:dyDescent="0.25">
      <c r="C128" s="29"/>
    </row>
    <row r="129" spans="3:3" x14ac:dyDescent="0.25">
      <c r="C129" s="2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217-E704-4939-A78F-45D834EE9736}">
  <dimension ref="A1:G38"/>
  <sheetViews>
    <sheetView topLeftCell="A6" workbookViewId="0">
      <selection activeCell="E3" sqref="E3"/>
    </sheetView>
  </sheetViews>
  <sheetFormatPr baseColWidth="10" defaultRowHeight="15" x14ac:dyDescent="0.25"/>
  <cols>
    <col min="2" max="2" width="57.28515625" customWidth="1"/>
    <col min="3" max="3" width="19" customWidth="1"/>
    <col min="4" max="4" width="42.140625" customWidth="1"/>
    <col min="5" max="5" width="19.42578125" customWidth="1"/>
  </cols>
  <sheetData>
    <row r="1" spans="1:7" x14ac:dyDescent="0.25">
      <c r="D1" s="12" t="s">
        <v>21</v>
      </c>
      <c r="E1" s="15">
        <f>SUM(C12:C36,C38)</f>
        <v>30926.729999999996</v>
      </c>
    </row>
    <row r="2" spans="1:7" x14ac:dyDescent="0.25">
      <c r="D2" s="12" t="s">
        <v>241</v>
      </c>
      <c r="E2" s="15">
        <f>SUM(C13:C16,C18:C36,C38)</f>
        <v>6384.33</v>
      </c>
      <c r="F2" s="14"/>
      <c r="G2" s="14"/>
    </row>
    <row r="3" spans="1:7" x14ac:dyDescent="0.25">
      <c r="D3" s="12" t="s">
        <v>19</v>
      </c>
      <c r="E3" s="15">
        <f>SUM(C12+C17)</f>
        <v>24542.400000000001</v>
      </c>
    </row>
    <row r="11" spans="1:7" ht="15.75" x14ac:dyDescent="0.25">
      <c r="A11" s="1" t="s">
        <v>0</v>
      </c>
      <c r="B11" s="2" t="s">
        <v>1</v>
      </c>
      <c r="C11" s="1" t="s">
        <v>18</v>
      </c>
      <c r="D11" s="3" t="s">
        <v>3</v>
      </c>
      <c r="E11" s="3" t="s">
        <v>4</v>
      </c>
    </row>
    <row r="12" spans="1:7" x14ac:dyDescent="0.25">
      <c r="A12" s="21" t="s">
        <v>72</v>
      </c>
      <c r="B12" t="s">
        <v>86</v>
      </c>
      <c r="C12" s="13">
        <v>5640</v>
      </c>
    </row>
    <row r="13" spans="1:7" x14ac:dyDescent="0.25">
      <c r="A13" s="21" t="s">
        <v>64</v>
      </c>
      <c r="B13" t="s">
        <v>87</v>
      </c>
      <c r="C13" s="13">
        <v>530</v>
      </c>
      <c r="D13" t="s">
        <v>88</v>
      </c>
      <c r="E13" t="s">
        <v>89</v>
      </c>
    </row>
    <row r="14" spans="1:7" x14ac:dyDescent="0.25">
      <c r="A14" s="21" t="s">
        <v>28</v>
      </c>
      <c r="B14" t="s">
        <v>90</v>
      </c>
      <c r="C14" s="13">
        <v>632</v>
      </c>
      <c r="D14" t="s">
        <v>91</v>
      </c>
      <c r="E14" t="s">
        <v>94</v>
      </c>
    </row>
    <row r="15" spans="1:7" x14ac:dyDescent="0.25">
      <c r="A15" s="21" t="s">
        <v>27</v>
      </c>
      <c r="B15" t="s">
        <v>92</v>
      </c>
      <c r="C15" s="13">
        <v>92</v>
      </c>
      <c r="D15" t="s">
        <v>93</v>
      </c>
      <c r="E15" t="s">
        <v>94</v>
      </c>
    </row>
    <row r="16" spans="1:7" x14ac:dyDescent="0.25">
      <c r="A16" s="21" t="s">
        <v>64</v>
      </c>
      <c r="B16" t="s">
        <v>95</v>
      </c>
      <c r="C16" s="13">
        <v>971.62</v>
      </c>
      <c r="D16" t="s">
        <v>96</v>
      </c>
      <c r="E16" t="s">
        <v>97</v>
      </c>
    </row>
    <row r="17" spans="1:5" x14ac:dyDescent="0.25">
      <c r="A17" s="21" t="s">
        <v>63</v>
      </c>
      <c r="B17" t="s">
        <v>100</v>
      </c>
      <c r="C17" s="13">
        <v>18902.400000000001</v>
      </c>
    </row>
    <row r="18" spans="1:5" x14ac:dyDescent="0.25">
      <c r="A18" s="21" t="s">
        <v>102</v>
      </c>
      <c r="B18" t="s">
        <v>101</v>
      </c>
      <c r="C18" s="13">
        <v>434</v>
      </c>
      <c r="D18" t="s">
        <v>103</v>
      </c>
      <c r="E18" t="s">
        <v>104</v>
      </c>
    </row>
    <row r="19" spans="1:5" x14ac:dyDescent="0.25">
      <c r="A19" s="21" t="s">
        <v>116</v>
      </c>
      <c r="B19" t="s">
        <v>117</v>
      </c>
      <c r="C19" s="13">
        <v>870</v>
      </c>
      <c r="D19" t="s">
        <v>118</v>
      </c>
      <c r="E19" t="s">
        <v>119</v>
      </c>
    </row>
    <row r="20" spans="1:5" x14ac:dyDescent="0.25">
      <c r="A20" s="21" t="s">
        <v>120</v>
      </c>
      <c r="B20" t="s">
        <v>121</v>
      </c>
      <c r="C20" s="13">
        <v>132.76</v>
      </c>
      <c r="D20" t="s">
        <v>122</v>
      </c>
      <c r="E20" t="s">
        <v>123</v>
      </c>
    </row>
    <row r="21" spans="1:5" x14ac:dyDescent="0.25">
      <c r="A21" s="21" t="s">
        <v>66</v>
      </c>
      <c r="B21" t="s">
        <v>192</v>
      </c>
      <c r="C21" s="13">
        <v>96</v>
      </c>
      <c r="D21" t="s">
        <v>193</v>
      </c>
      <c r="E21" t="s">
        <v>194</v>
      </c>
    </row>
    <row r="22" spans="1:5" x14ac:dyDescent="0.25">
      <c r="A22" s="21" t="s">
        <v>63</v>
      </c>
      <c r="B22" t="s">
        <v>195</v>
      </c>
      <c r="C22" s="13">
        <v>57</v>
      </c>
      <c r="D22" t="s">
        <v>196</v>
      </c>
      <c r="E22" t="s">
        <v>197</v>
      </c>
    </row>
    <row r="23" spans="1:5" x14ac:dyDescent="0.25">
      <c r="A23" s="21" t="s">
        <v>63</v>
      </c>
      <c r="B23" t="s">
        <v>195</v>
      </c>
      <c r="C23" s="13">
        <v>81.5</v>
      </c>
      <c r="D23" t="s">
        <v>198</v>
      </c>
      <c r="E23" t="s">
        <v>197</v>
      </c>
    </row>
    <row r="24" spans="1:5" x14ac:dyDescent="0.25">
      <c r="A24" s="21" t="s">
        <v>32</v>
      </c>
      <c r="B24" t="s">
        <v>201</v>
      </c>
      <c r="C24" s="13">
        <v>55</v>
      </c>
      <c r="D24" t="s">
        <v>202</v>
      </c>
    </row>
    <row r="25" spans="1:5" x14ac:dyDescent="0.25">
      <c r="A25" s="21" t="s">
        <v>125</v>
      </c>
      <c r="B25" t="s">
        <v>206</v>
      </c>
      <c r="C25" s="13">
        <v>92</v>
      </c>
      <c r="D25" t="s">
        <v>205</v>
      </c>
      <c r="E25" t="s">
        <v>94</v>
      </c>
    </row>
    <row r="26" spans="1:5" x14ac:dyDescent="0.25">
      <c r="A26" s="21" t="s">
        <v>125</v>
      </c>
      <c r="B26" t="s">
        <v>206</v>
      </c>
      <c r="C26" s="13">
        <v>122</v>
      </c>
      <c r="D26" t="s">
        <v>207</v>
      </c>
      <c r="E26" t="s">
        <v>94</v>
      </c>
    </row>
    <row r="27" spans="1:5" x14ac:dyDescent="0.25">
      <c r="A27" s="21" t="s">
        <v>125</v>
      </c>
      <c r="B27" t="s">
        <v>206</v>
      </c>
      <c r="C27" s="13">
        <v>92</v>
      </c>
      <c r="D27" t="s">
        <v>208</v>
      </c>
      <c r="E27" t="s">
        <v>94</v>
      </c>
    </row>
    <row r="28" spans="1:5" x14ac:dyDescent="0.25">
      <c r="A28" s="21" t="s">
        <v>125</v>
      </c>
      <c r="B28" t="s">
        <v>209</v>
      </c>
      <c r="C28" s="13">
        <v>122</v>
      </c>
      <c r="D28" t="s">
        <v>210</v>
      </c>
      <c r="E28" t="s">
        <v>94</v>
      </c>
    </row>
    <row r="29" spans="1:5" x14ac:dyDescent="0.25">
      <c r="A29" s="21" t="s">
        <v>62</v>
      </c>
      <c r="B29" t="s">
        <v>211</v>
      </c>
      <c r="C29" s="13">
        <v>240</v>
      </c>
      <c r="D29" t="s">
        <v>212</v>
      </c>
      <c r="E29" t="s">
        <v>111</v>
      </c>
    </row>
    <row r="30" spans="1:5" x14ac:dyDescent="0.25">
      <c r="A30" s="48" t="s">
        <v>116</v>
      </c>
      <c r="B30" t="s">
        <v>227</v>
      </c>
      <c r="C30" s="13">
        <v>238.01</v>
      </c>
      <c r="D30" t="s">
        <v>228</v>
      </c>
      <c r="E30" t="s">
        <v>229</v>
      </c>
    </row>
    <row r="31" spans="1:5" x14ac:dyDescent="0.25">
      <c r="A31" s="21" t="s">
        <v>230</v>
      </c>
      <c r="B31" t="s">
        <v>231</v>
      </c>
      <c r="C31" s="13">
        <v>210</v>
      </c>
      <c r="D31" t="s">
        <v>232</v>
      </c>
      <c r="E31" t="s">
        <v>233</v>
      </c>
    </row>
    <row r="32" spans="1:5" x14ac:dyDescent="0.25">
      <c r="A32" s="21" t="s">
        <v>116</v>
      </c>
      <c r="B32" t="s">
        <v>234</v>
      </c>
      <c r="C32" s="13">
        <v>139</v>
      </c>
      <c r="D32" t="s">
        <v>235</v>
      </c>
      <c r="E32" t="s">
        <v>236</v>
      </c>
    </row>
    <row r="33" spans="1:5" x14ac:dyDescent="0.25">
      <c r="A33" s="21" t="s">
        <v>136</v>
      </c>
      <c r="B33" t="s">
        <v>237</v>
      </c>
      <c r="C33" s="13">
        <v>149</v>
      </c>
      <c r="D33" t="s">
        <v>238</v>
      </c>
      <c r="E33" t="s">
        <v>89</v>
      </c>
    </row>
    <row r="34" spans="1:5" x14ac:dyDescent="0.25">
      <c r="A34" s="21" t="s">
        <v>240</v>
      </c>
      <c r="B34" t="s">
        <v>206</v>
      </c>
      <c r="C34" s="13">
        <v>716</v>
      </c>
      <c r="D34" t="s">
        <v>239</v>
      </c>
      <c r="E34" t="s">
        <v>94</v>
      </c>
    </row>
    <row r="35" spans="1:5" x14ac:dyDescent="0.25">
      <c r="A35" s="21" t="s">
        <v>248</v>
      </c>
      <c r="B35" t="s">
        <v>267</v>
      </c>
      <c r="C35" s="13">
        <v>169.94</v>
      </c>
      <c r="D35" t="s">
        <v>268</v>
      </c>
      <c r="E35" t="s">
        <v>269</v>
      </c>
    </row>
    <row r="36" spans="1:5" x14ac:dyDescent="0.25">
      <c r="A36" s="21" t="s">
        <v>248</v>
      </c>
      <c r="B36" t="s">
        <v>195</v>
      </c>
      <c r="C36" s="13">
        <v>37.5</v>
      </c>
      <c r="D36" t="s">
        <v>277</v>
      </c>
      <c r="E36" t="s">
        <v>197</v>
      </c>
    </row>
    <row r="38" spans="1:5" x14ac:dyDescent="0.25">
      <c r="A38" s="71">
        <v>46203</v>
      </c>
      <c r="B38" t="s">
        <v>307</v>
      </c>
      <c r="C38" s="13">
        <v>105</v>
      </c>
      <c r="D38" t="s">
        <v>308</v>
      </c>
      <c r="E38" t="s">
        <v>309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Pyme</vt:lpstr>
      <vt:lpstr>Credito</vt:lpstr>
      <vt:lpstr>Efectivo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NÚCLEO DE INGENIERIA HIDRÁULICA Y ELÉCTRICA</dc:creator>
  <cp:lastModifiedBy>NÚCLEO DE INGENIERIA HIDRÁULICA Y ELÉCTRICA</cp:lastModifiedBy>
  <dcterms:created xsi:type="dcterms:W3CDTF">2026-05-07T22:31:55Z</dcterms:created>
  <dcterms:modified xsi:type="dcterms:W3CDTF">2026-06-30T23:41:50Z</dcterms:modified>
</cp:coreProperties>
</file>