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 prestamos\Documents\INVENTARIOS\"/>
    </mc:Choice>
  </mc:AlternateContent>
  <xr:revisionPtr revIDLastSave="0" documentId="13_ncr:1_{6AB736E3-7F9F-4546-9420-2DC549594208}" xr6:coauthVersionLast="47" xr6:coauthVersionMax="47" xr10:uidLastSave="{00000000-0000-0000-0000-000000000000}"/>
  <bookViews>
    <workbookView xWindow="-120" yWindow="-120" windowWidth="20730" windowHeight="11040" activeTab="3" xr2:uid="{1106CD43-6E9D-DB45-8F9E-B2B4366FAD7D}"/>
  </bookViews>
  <sheets>
    <sheet name="Inicial" sheetId="19" r:id="rId1"/>
    <sheet name="Entradas" sheetId="20" r:id="rId2"/>
    <sheet name="Salidas" sheetId="21" r:id="rId3"/>
    <sheet name="Datos" sheetId="18" r:id="rId4"/>
    <sheet name="Dashboard" sheetId="22" r:id="rId5"/>
    <sheet name="Reporte" sheetId="23" r:id="rId6"/>
    <sheet name="Instrucciones" sheetId="2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9" i="22" l="1"/>
  <c r="C1009" i="22"/>
  <c r="D1009" i="22"/>
  <c r="E1009" i="22"/>
  <c r="F1009" i="22"/>
  <c r="B998" i="22"/>
  <c r="C998" i="22"/>
  <c r="E128" i="21" l="1"/>
  <c r="B1007" i="22" l="1"/>
  <c r="B1008" i="22"/>
  <c r="C1007" i="22"/>
  <c r="C1008" i="22"/>
  <c r="D1008" i="22"/>
  <c r="E1007" i="22"/>
  <c r="E1008" i="22"/>
  <c r="F1007" i="22"/>
  <c r="F1008" i="22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26" i="21"/>
  <c r="E127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D1000" i="19"/>
  <c r="D1001" i="19"/>
  <c r="D1002" i="19"/>
  <c r="E125" i="21"/>
  <c r="E123" i="21"/>
  <c r="E124" i="21"/>
  <c r="E117" i="21"/>
  <c r="B1006" i="22"/>
  <c r="C1005" i="22"/>
  <c r="C1006" i="22"/>
  <c r="D1005" i="22"/>
  <c r="E1005" i="22"/>
  <c r="E1006" i="22"/>
  <c r="F1005" i="22"/>
  <c r="F1006" i="22"/>
  <c r="D996" i="19"/>
  <c r="D997" i="19"/>
  <c r="D998" i="19"/>
  <c r="D999" i="19"/>
  <c r="E49" i="20" l="1"/>
  <c r="E50" i="20"/>
  <c r="E47" i="20"/>
  <c r="E48" i="20"/>
  <c r="E45" i="20"/>
  <c r="E46" i="20"/>
  <c r="E44" i="20"/>
  <c r="E43" i="20"/>
  <c r="E42" i="20"/>
  <c r="E40" i="20"/>
  <c r="E41" i="20"/>
  <c r="E39" i="20"/>
  <c r="B997" i="22"/>
  <c r="B999" i="22"/>
  <c r="B1000" i="22"/>
  <c r="B1001" i="22"/>
  <c r="B1002" i="22"/>
  <c r="B1003" i="22"/>
  <c r="B1004" i="22"/>
  <c r="C997" i="22"/>
  <c r="C999" i="22"/>
  <c r="C1000" i="22"/>
  <c r="C1001" i="22"/>
  <c r="C1002" i="22"/>
  <c r="C1003" i="22"/>
  <c r="C1004" i="22"/>
  <c r="D997" i="22"/>
  <c r="D998" i="22"/>
  <c r="D999" i="22"/>
  <c r="D1000" i="22"/>
  <c r="D1001" i="22"/>
  <c r="D1002" i="22"/>
  <c r="D1003" i="22"/>
  <c r="D1004" i="22"/>
  <c r="E997" i="22"/>
  <c r="E998" i="22"/>
  <c r="E999" i="22"/>
  <c r="E1000" i="22"/>
  <c r="E1001" i="22"/>
  <c r="E1002" i="22"/>
  <c r="E1003" i="22"/>
  <c r="E1004" i="22"/>
  <c r="F997" i="22"/>
  <c r="F998" i="22"/>
  <c r="F999" i="22"/>
  <c r="F1000" i="22"/>
  <c r="F1001" i="22"/>
  <c r="F1002" i="22"/>
  <c r="F1003" i="22"/>
  <c r="F1004" i="22"/>
  <c r="D990" i="19"/>
  <c r="D991" i="19"/>
  <c r="D992" i="19"/>
  <c r="D993" i="19"/>
  <c r="D994" i="19"/>
  <c r="D995" i="19"/>
  <c r="E36" i="20"/>
  <c r="E37" i="20"/>
  <c r="E38" i="20"/>
  <c r="E35" i="20"/>
  <c r="E25" i="20"/>
  <c r="E26" i="20"/>
  <c r="E27" i="20"/>
  <c r="E28" i="20"/>
  <c r="E29" i="20"/>
  <c r="E30" i="20"/>
  <c r="E31" i="20"/>
  <c r="E32" i="20"/>
  <c r="E33" i="20"/>
  <c r="E34" i="20"/>
  <c r="E10" i="23"/>
  <c r="E99" i="21" l="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8" i="21"/>
  <c r="E119" i="21"/>
  <c r="E120" i="21"/>
  <c r="E121" i="21"/>
  <c r="E122" i="21"/>
  <c r="E94" i="21"/>
  <c r="E95" i="21"/>
  <c r="E96" i="21"/>
  <c r="E97" i="21"/>
  <c r="E98" i="21"/>
  <c r="D988" i="19"/>
  <c r="D989" i="19"/>
  <c r="B988" i="22"/>
  <c r="B989" i="22"/>
  <c r="B990" i="22"/>
  <c r="B991" i="22"/>
  <c r="B992" i="22"/>
  <c r="B993" i="22"/>
  <c r="B994" i="22"/>
  <c r="B995" i="22"/>
  <c r="B996" i="22"/>
  <c r="C988" i="22"/>
  <c r="C989" i="22"/>
  <c r="C990" i="22"/>
  <c r="C991" i="22"/>
  <c r="C992" i="22"/>
  <c r="C993" i="22"/>
  <c r="C994" i="22"/>
  <c r="C995" i="22"/>
  <c r="C996" i="22"/>
  <c r="D988" i="22"/>
  <c r="D989" i="22"/>
  <c r="D990" i="22"/>
  <c r="D991" i="22"/>
  <c r="D992" i="22"/>
  <c r="D993" i="22"/>
  <c r="D994" i="22"/>
  <c r="D995" i="22"/>
  <c r="D996" i="22"/>
  <c r="E988" i="22"/>
  <c r="E989" i="22"/>
  <c r="E990" i="22"/>
  <c r="E991" i="22"/>
  <c r="E992" i="22"/>
  <c r="E993" i="22"/>
  <c r="E994" i="22"/>
  <c r="E995" i="22"/>
  <c r="E996" i="22"/>
  <c r="F988" i="22"/>
  <c r="F989" i="22"/>
  <c r="F990" i="22"/>
  <c r="F991" i="22"/>
  <c r="F992" i="22"/>
  <c r="F993" i="22"/>
  <c r="F994" i="22"/>
  <c r="F995" i="22"/>
  <c r="F996" i="22"/>
  <c r="E84" i="21"/>
  <c r="E85" i="21"/>
  <c r="E86" i="21"/>
  <c r="E87" i="21"/>
  <c r="E88" i="21"/>
  <c r="E89" i="21"/>
  <c r="E90" i="21"/>
  <c r="E91" i="21"/>
  <c r="E92" i="21"/>
  <c r="E93" i="21"/>
  <c r="D987" i="19"/>
  <c r="E65" i="21" l="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62" i="21" l="1"/>
  <c r="E63" i="21"/>
  <c r="E64" i="21"/>
  <c r="E61" i="21"/>
  <c r="E60" i="21"/>
  <c r="E59" i="21"/>
  <c r="E49" i="21"/>
  <c r="E50" i="21"/>
  <c r="E51" i="21"/>
  <c r="E52" i="21"/>
  <c r="E53" i="21"/>
  <c r="E54" i="21"/>
  <c r="E55" i="21"/>
  <c r="E56" i="21"/>
  <c r="E57" i="21"/>
  <c r="E58" i="21"/>
  <c r="B985" i="22"/>
  <c r="B986" i="22"/>
  <c r="B987" i="22"/>
  <c r="C985" i="22"/>
  <c r="C986" i="22"/>
  <c r="C987" i="22"/>
  <c r="D985" i="22"/>
  <c r="D986" i="22"/>
  <c r="D987" i="22"/>
  <c r="E985" i="22"/>
  <c r="E986" i="22"/>
  <c r="E987" i="22"/>
  <c r="F985" i="22"/>
  <c r="F986" i="22"/>
  <c r="F987" i="22"/>
  <c r="D39" i="19"/>
  <c r="E48" i="21"/>
  <c r="D671" i="19"/>
  <c r="D717" i="19"/>
  <c r="B983" i="22"/>
  <c r="B984" i="22"/>
  <c r="C983" i="22"/>
  <c r="C984" i="22"/>
  <c r="D983" i="22"/>
  <c r="D984" i="22"/>
  <c r="E983" i="22"/>
  <c r="E984" i="22"/>
  <c r="F983" i="22"/>
  <c r="F984" i="22"/>
  <c r="E47" i="21"/>
  <c r="E46" i="21"/>
  <c r="E45" i="21"/>
  <c r="E44" i="21"/>
  <c r="E43" i="21"/>
  <c r="E42" i="21"/>
  <c r="E41" i="21"/>
  <c r="E40" i="21"/>
  <c r="E39" i="21" l="1"/>
  <c r="E38" i="21"/>
  <c r="E37" i="21"/>
  <c r="E36" i="21"/>
  <c r="E35" i="21"/>
  <c r="E34" i="21"/>
  <c r="E33" i="21" l="1"/>
  <c r="E32" i="21"/>
  <c r="E31" i="21"/>
  <c r="E30" i="21"/>
  <c r="E29" i="21"/>
  <c r="E28" i="21"/>
  <c r="E26" i="21"/>
  <c r="E27" i="21"/>
  <c r="E25" i="21"/>
  <c r="E24" i="21"/>
  <c r="E23" i="21"/>
  <c r="E22" i="21"/>
  <c r="E21" i="21"/>
  <c r="E20" i="21"/>
  <c r="B980" i="22"/>
  <c r="B981" i="22"/>
  <c r="B982" i="22"/>
  <c r="C981" i="22"/>
  <c r="C982" i="22"/>
  <c r="D980" i="22"/>
  <c r="D981" i="22"/>
  <c r="D982" i="22"/>
  <c r="E980" i="22"/>
  <c r="E981" i="22"/>
  <c r="E982" i="22"/>
  <c r="F981" i="22"/>
  <c r="F982" i="22"/>
  <c r="D493" i="19"/>
  <c r="D487" i="19"/>
  <c r="D489" i="19"/>
  <c r="B979" i="22"/>
  <c r="C979" i="22"/>
  <c r="C980" i="22"/>
  <c r="D979" i="22"/>
  <c r="F979" i="22"/>
  <c r="F980" i="22"/>
  <c r="D320" i="19"/>
  <c r="D323" i="19"/>
  <c r="E19" i="21" l="1"/>
  <c r="B718" i="22" l="1"/>
  <c r="B719" i="22"/>
  <c r="B720" i="22"/>
  <c r="B721" i="22"/>
  <c r="B722" i="22"/>
  <c r="B723" i="22"/>
  <c r="B724" i="22"/>
  <c r="B725" i="22"/>
  <c r="B726" i="22"/>
  <c r="B727" i="22"/>
  <c r="B728" i="22"/>
  <c r="B729" i="22"/>
  <c r="B730" i="22"/>
  <c r="B731" i="22"/>
  <c r="B732" i="22"/>
  <c r="B733" i="22"/>
  <c r="B734" i="22"/>
  <c r="B735" i="22"/>
  <c r="B736" i="22"/>
  <c r="B737" i="22"/>
  <c r="B738" i="22"/>
  <c r="B739" i="22"/>
  <c r="B740" i="22"/>
  <c r="B741" i="22"/>
  <c r="B742" i="22"/>
  <c r="B743" i="22"/>
  <c r="B744" i="22"/>
  <c r="B745" i="22"/>
  <c r="B746" i="22"/>
  <c r="B747" i="22"/>
  <c r="B748" i="22"/>
  <c r="B749" i="22"/>
  <c r="B750" i="22"/>
  <c r="B751" i="22"/>
  <c r="B752" i="22"/>
  <c r="B753" i="22"/>
  <c r="B754" i="22"/>
  <c r="B755" i="22"/>
  <c r="B756" i="22"/>
  <c r="B757" i="22"/>
  <c r="B758" i="22"/>
  <c r="B759" i="22"/>
  <c r="B760" i="22"/>
  <c r="B761" i="22"/>
  <c r="B762" i="22"/>
  <c r="B763" i="22"/>
  <c r="B764" i="22"/>
  <c r="B765" i="22"/>
  <c r="B766" i="22"/>
  <c r="B767" i="22"/>
  <c r="B768" i="22"/>
  <c r="B769" i="22"/>
  <c r="B770" i="22"/>
  <c r="B771" i="22"/>
  <c r="B772" i="22"/>
  <c r="B773" i="22"/>
  <c r="B774" i="22"/>
  <c r="B775" i="22"/>
  <c r="B776" i="22"/>
  <c r="B777" i="22"/>
  <c r="B778" i="22"/>
  <c r="B779" i="22"/>
  <c r="B780" i="22"/>
  <c r="B781" i="22"/>
  <c r="B782" i="22"/>
  <c r="B783" i="22"/>
  <c r="B784" i="22"/>
  <c r="B785" i="22"/>
  <c r="B786" i="22"/>
  <c r="B787" i="22"/>
  <c r="B788" i="22"/>
  <c r="B789" i="22"/>
  <c r="B790" i="22"/>
  <c r="B791" i="22"/>
  <c r="B792" i="22"/>
  <c r="B793" i="22"/>
  <c r="B794" i="22"/>
  <c r="B795" i="22"/>
  <c r="B796" i="22"/>
  <c r="B797" i="22"/>
  <c r="B798" i="22"/>
  <c r="B799" i="22"/>
  <c r="B800" i="22"/>
  <c r="B801" i="22"/>
  <c r="B802" i="22"/>
  <c r="B803" i="22"/>
  <c r="B804" i="22"/>
  <c r="B805" i="22"/>
  <c r="B806" i="22"/>
  <c r="B807" i="22"/>
  <c r="B808" i="22"/>
  <c r="B809" i="22"/>
  <c r="B810" i="22"/>
  <c r="B811" i="22"/>
  <c r="B812" i="22"/>
  <c r="B813" i="22"/>
  <c r="B814" i="22"/>
  <c r="B815" i="22"/>
  <c r="B816" i="22"/>
  <c r="B817" i="22"/>
  <c r="B818" i="22"/>
  <c r="B819" i="22"/>
  <c r="B820" i="22"/>
  <c r="B821" i="22"/>
  <c r="B822" i="22"/>
  <c r="B823" i="22"/>
  <c r="B824" i="22"/>
  <c r="B825" i="22"/>
  <c r="B826" i="22"/>
  <c r="B827" i="22"/>
  <c r="B828" i="22"/>
  <c r="B829" i="22"/>
  <c r="B830" i="22"/>
  <c r="B831" i="22"/>
  <c r="B832" i="22"/>
  <c r="B833" i="22"/>
  <c r="B834" i="22"/>
  <c r="B835" i="22"/>
  <c r="B836" i="22"/>
  <c r="B837" i="22"/>
  <c r="B838" i="22"/>
  <c r="B839" i="22"/>
  <c r="B840" i="22"/>
  <c r="B841" i="22"/>
  <c r="B842" i="22"/>
  <c r="B843" i="22"/>
  <c r="B844" i="22"/>
  <c r="B845" i="22"/>
  <c r="B846" i="22"/>
  <c r="B847" i="22"/>
  <c r="B848" i="22"/>
  <c r="B849" i="22"/>
  <c r="B850" i="22"/>
  <c r="B851" i="22"/>
  <c r="B852" i="22"/>
  <c r="B853" i="22"/>
  <c r="B854" i="22"/>
  <c r="B855" i="22"/>
  <c r="B856" i="22"/>
  <c r="B857" i="22"/>
  <c r="B858" i="22"/>
  <c r="B859" i="22"/>
  <c r="B860" i="22"/>
  <c r="B861" i="22"/>
  <c r="B862" i="22"/>
  <c r="B863" i="22"/>
  <c r="B864" i="22"/>
  <c r="B865" i="22"/>
  <c r="B866" i="22"/>
  <c r="B867" i="22"/>
  <c r="B868" i="22"/>
  <c r="B869" i="22"/>
  <c r="B870" i="22"/>
  <c r="B871" i="22"/>
  <c r="B872" i="22"/>
  <c r="B873" i="22"/>
  <c r="B874" i="22"/>
  <c r="B875" i="22"/>
  <c r="B876" i="22"/>
  <c r="B877" i="22"/>
  <c r="B878" i="22"/>
  <c r="B879" i="22"/>
  <c r="B880" i="22"/>
  <c r="B881" i="22"/>
  <c r="B882" i="22"/>
  <c r="B883" i="22"/>
  <c r="B884" i="22"/>
  <c r="B885" i="22"/>
  <c r="B886" i="22"/>
  <c r="B887" i="22"/>
  <c r="B888" i="22"/>
  <c r="B889" i="22"/>
  <c r="B890" i="22"/>
  <c r="B891" i="22"/>
  <c r="B892" i="22"/>
  <c r="B893" i="22"/>
  <c r="B894" i="22"/>
  <c r="B895" i="22"/>
  <c r="B896" i="22"/>
  <c r="B897" i="22"/>
  <c r="B898" i="22"/>
  <c r="B899" i="22"/>
  <c r="B900" i="22"/>
  <c r="B901" i="22"/>
  <c r="B902" i="22"/>
  <c r="B903" i="22"/>
  <c r="B904" i="22"/>
  <c r="B905" i="22"/>
  <c r="B906" i="22"/>
  <c r="B907" i="22"/>
  <c r="B908" i="22"/>
  <c r="B909" i="22"/>
  <c r="B910" i="22"/>
  <c r="B911" i="22"/>
  <c r="B912" i="22"/>
  <c r="B913" i="22"/>
  <c r="B914" i="22"/>
  <c r="B915" i="22"/>
  <c r="B916" i="22"/>
  <c r="B917" i="22"/>
  <c r="B918" i="22"/>
  <c r="B919" i="22"/>
  <c r="B920" i="22"/>
  <c r="B921" i="22"/>
  <c r="B922" i="22"/>
  <c r="B923" i="22"/>
  <c r="B924" i="22"/>
  <c r="B925" i="22"/>
  <c r="B926" i="22"/>
  <c r="B927" i="22"/>
  <c r="B928" i="22"/>
  <c r="B929" i="22"/>
  <c r="B930" i="22"/>
  <c r="B931" i="22"/>
  <c r="B932" i="22"/>
  <c r="B933" i="22"/>
  <c r="B934" i="22"/>
  <c r="B935" i="22"/>
  <c r="B936" i="22"/>
  <c r="B937" i="22"/>
  <c r="B938" i="22"/>
  <c r="B939" i="22"/>
  <c r="B940" i="22"/>
  <c r="B941" i="22"/>
  <c r="B942" i="22"/>
  <c r="B943" i="22"/>
  <c r="B944" i="22"/>
  <c r="B945" i="22"/>
  <c r="B946" i="22"/>
  <c r="B947" i="22"/>
  <c r="B948" i="22"/>
  <c r="B949" i="22"/>
  <c r="B950" i="22"/>
  <c r="B951" i="22"/>
  <c r="B952" i="22"/>
  <c r="B953" i="22"/>
  <c r="B954" i="22"/>
  <c r="B955" i="22"/>
  <c r="B956" i="22"/>
  <c r="B957" i="22"/>
  <c r="B958" i="22"/>
  <c r="B959" i="22"/>
  <c r="B960" i="22"/>
  <c r="B961" i="22"/>
  <c r="B962" i="22"/>
  <c r="B963" i="22"/>
  <c r="B964" i="22"/>
  <c r="B965" i="22"/>
  <c r="B966" i="22"/>
  <c r="B967" i="22"/>
  <c r="B968" i="22"/>
  <c r="B969" i="22"/>
  <c r="B970" i="22"/>
  <c r="B971" i="22"/>
  <c r="B972" i="22"/>
  <c r="B973" i="22"/>
  <c r="B974" i="22"/>
  <c r="B975" i="22"/>
  <c r="B976" i="22"/>
  <c r="B977" i="22"/>
  <c r="B978" i="22"/>
  <c r="C718" i="22"/>
  <c r="C719" i="22"/>
  <c r="C720" i="22"/>
  <c r="C721" i="22"/>
  <c r="C722" i="22"/>
  <c r="C723" i="22"/>
  <c r="C724" i="22"/>
  <c r="C725" i="22"/>
  <c r="C726" i="22"/>
  <c r="C727" i="22"/>
  <c r="C728" i="22"/>
  <c r="C729" i="22"/>
  <c r="C730" i="22"/>
  <c r="C731" i="22"/>
  <c r="C732" i="22"/>
  <c r="C733" i="22"/>
  <c r="C734" i="22"/>
  <c r="C735" i="22"/>
  <c r="C736" i="22"/>
  <c r="C737" i="22"/>
  <c r="C738" i="22"/>
  <c r="C739" i="22"/>
  <c r="C740" i="22"/>
  <c r="C741" i="22"/>
  <c r="C742" i="22"/>
  <c r="C743" i="22"/>
  <c r="C744" i="22"/>
  <c r="C745" i="22"/>
  <c r="C746" i="22"/>
  <c r="C747" i="22"/>
  <c r="C748" i="22"/>
  <c r="C749" i="22"/>
  <c r="C750" i="22"/>
  <c r="C751" i="22"/>
  <c r="C752" i="22"/>
  <c r="C753" i="22"/>
  <c r="C754" i="22"/>
  <c r="C755" i="22"/>
  <c r="C756" i="22"/>
  <c r="C757" i="22"/>
  <c r="C758" i="22"/>
  <c r="C759" i="22"/>
  <c r="C760" i="22"/>
  <c r="C761" i="22"/>
  <c r="C762" i="22"/>
  <c r="C763" i="22"/>
  <c r="C764" i="22"/>
  <c r="C765" i="22"/>
  <c r="C766" i="22"/>
  <c r="C767" i="22"/>
  <c r="C768" i="22"/>
  <c r="C769" i="22"/>
  <c r="C770" i="22"/>
  <c r="C771" i="22"/>
  <c r="C772" i="22"/>
  <c r="C773" i="22"/>
  <c r="C774" i="22"/>
  <c r="C775" i="22"/>
  <c r="C776" i="22"/>
  <c r="C777" i="22"/>
  <c r="C778" i="22"/>
  <c r="C779" i="22"/>
  <c r="C780" i="22"/>
  <c r="C781" i="22"/>
  <c r="C782" i="22"/>
  <c r="C783" i="22"/>
  <c r="C784" i="22"/>
  <c r="C785" i="22"/>
  <c r="C786" i="22"/>
  <c r="C787" i="22"/>
  <c r="C788" i="22"/>
  <c r="C789" i="22"/>
  <c r="C790" i="22"/>
  <c r="C791" i="22"/>
  <c r="C792" i="22"/>
  <c r="C793" i="22"/>
  <c r="C794" i="22"/>
  <c r="C795" i="22"/>
  <c r="C796" i="22"/>
  <c r="C797" i="22"/>
  <c r="C798" i="22"/>
  <c r="C799" i="22"/>
  <c r="C800" i="22"/>
  <c r="C801" i="22"/>
  <c r="C802" i="22"/>
  <c r="C803" i="22"/>
  <c r="C804" i="22"/>
  <c r="C805" i="22"/>
  <c r="C806" i="22"/>
  <c r="C807" i="22"/>
  <c r="C808" i="22"/>
  <c r="C809" i="22"/>
  <c r="C810" i="22"/>
  <c r="C811" i="22"/>
  <c r="C812" i="22"/>
  <c r="C813" i="22"/>
  <c r="C814" i="22"/>
  <c r="C815" i="22"/>
  <c r="C816" i="22"/>
  <c r="C817" i="22"/>
  <c r="C818" i="22"/>
  <c r="C819" i="22"/>
  <c r="C820" i="22"/>
  <c r="C821" i="22"/>
  <c r="C822" i="22"/>
  <c r="C823" i="22"/>
  <c r="C824" i="22"/>
  <c r="C825" i="22"/>
  <c r="C826" i="22"/>
  <c r="C827" i="22"/>
  <c r="C828" i="22"/>
  <c r="C829" i="22"/>
  <c r="C830" i="22"/>
  <c r="C831" i="22"/>
  <c r="C832" i="22"/>
  <c r="C833" i="22"/>
  <c r="C834" i="22"/>
  <c r="C835" i="22"/>
  <c r="C836" i="22"/>
  <c r="C837" i="22"/>
  <c r="C838" i="22"/>
  <c r="C839" i="22"/>
  <c r="C840" i="22"/>
  <c r="C841" i="22"/>
  <c r="C842" i="22"/>
  <c r="C843" i="22"/>
  <c r="C844" i="22"/>
  <c r="C845" i="22"/>
  <c r="C846" i="22"/>
  <c r="C847" i="22"/>
  <c r="C848" i="22"/>
  <c r="C849" i="22"/>
  <c r="C850" i="22"/>
  <c r="C851" i="22"/>
  <c r="C852" i="22"/>
  <c r="C853" i="22"/>
  <c r="C854" i="22"/>
  <c r="C855" i="22"/>
  <c r="C856" i="22"/>
  <c r="C857" i="22"/>
  <c r="C858" i="22"/>
  <c r="C859" i="22"/>
  <c r="C860" i="22"/>
  <c r="C861" i="22"/>
  <c r="C862" i="22"/>
  <c r="C863" i="22"/>
  <c r="C864" i="22"/>
  <c r="C865" i="22"/>
  <c r="C866" i="22"/>
  <c r="C867" i="22"/>
  <c r="C868" i="22"/>
  <c r="C869" i="22"/>
  <c r="C870" i="22"/>
  <c r="C871" i="22"/>
  <c r="C872" i="22"/>
  <c r="C873" i="22"/>
  <c r="C874" i="22"/>
  <c r="C875" i="22"/>
  <c r="C876" i="22"/>
  <c r="C877" i="22"/>
  <c r="C878" i="22"/>
  <c r="C879" i="22"/>
  <c r="C880" i="22"/>
  <c r="C881" i="22"/>
  <c r="C882" i="22"/>
  <c r="C883" i="22"/>
  <c r="C884" i="22"/>
  <c r="C885" i="22"/>
  <c r="C886" i="22"/>
  <c r="C887" i="22"/>
  <c r="C888" i="22"/>
  <c r="C889" i="22"/>
  <c r="C890" i="22"/>
  <c r="C891" i="22"/>
  <c r="C892" i="22"/>
  <c r="C893" i="22"/>
  <c r="C894" i="22"/>
  <c r="C895" i="22"/>
  <c r="C896" i="22"/>
  <c r="C897" i="22"/>
  <c r="C898" i="22"/>
  <c r="C899" i="22"/>
  <c r="C900" i="22"/>
  <c r="C901" i="22"/>
  <c r="C902" i="22"/>
  <c r="C903" i="22"/>
  <c r="C904" i="22"/>
  <c r="C905" i="22"/>
  <c r="C906" i="22"/>
  <c r="C907" i="22"/>
  <c r="C908" i="22"/>
  <c r="C909" i="22"/>
  <c r="C910" i="22"/>
  <c r="C911" i="22"/>
  <c r="C912" i="22"/>
  <c r="C913" i="22"/>
  <c r="C914" i="22"/>
  <c r="C915" i="22"/>
  <c r="C916" i="22"/>
  <c r="C917" i="22"/>
  <c r="C918" i="22"/>
  <c r="C919" i="22"/>
  <c r="C920" i="22"/>
  <c r="C921" i="22"/>
  <c r="C922" i="22"/>
  <c r="C923" i="22"/>
  <c r="C924" i="22"/>
  <c r="C925" i="22"/>
  <c r="C926" i="22"/>
  <c r="C927" i="22"/>
  <c r="C928" i="22"/>
  <c r="C929" i="22"/>
  <c r="C930" i="22"/>
  <c r="C931" i="22"/>
  <c r="C932" i="22"/>
  <c r="C933" i="22"/>
  <c r="C934" i="22"/>
  <c r="C935" i="22"/>
  <c r="C936" i="22"/>
  <c r="C937" i="22"/>
  <c r="C938" i="22"/>
  <c r="C939" i="22"/>
  <c r="C940" i="22"/>
  <c r="C941" i="22"/>
  <c r="C942" i="22"/>
  <c r="C943" i="22"/>
  <c r="C944" i="22"/>
  <c r="C945" i="22"/>
  <c r="C946" i="22"/>
  <c r="C947" i="22"/>
  <c r="C948" i="22"/>
  <c r="C949" i="22"/>
  <c r="C950" i="22"/>
  <c r="C951" i="22"/>
  <c r="C952" i="22"/>
  <c r="C953" i="22"/>
  <c r="C954" i="22"/>
  <c r="C955" i="22"/>
  <c r="C956" i="22"/>
  <c r="C957" i="22"/>
  <c r="C958" i="22"/>
  <c r="C959" i="22"/>
  <c r="C960" i="22"/>
  <c r="C961" i="22"/>
  <c r="C962" i="22"/>
  <c r="C963" i="22"/>
  <c r="C964" i="22"/>
  <c r="C965" i="22"/>
  <c r="C966" i="22"/>
  <c r="C967" i="22"/>
  <c r="C968" i="22"/>
  <c r="C969" i="22"/>
  <c r="C970" i="22"/>
  <c r="C971" i="22"/>
  <c r="C972" i="22"/>
  <c r="C973" i="22"/>
  <c r="C974" i="22"/>
  <c r="C975" i="22"/>
  <c r="C976" i="22"/>
  <c r="C977" i="22"/>
  <c r="C978" i="22"/>
  <c r="D718" i="22"/>
  <c r="D719" i="22"/>
  <c r="D720" i="22"/>
  <c r="D721" i="22"/>
  <c r="D722" i="22"/>
  <c r="D723" i="22"/>
  <c r="D724" i="22"/>
  <c r="D725" i="22"/>
  <c r="D726" i="22"/>
  <c r="D727" i="22"/>
  <c r="D728" i="22"/>
  <c r="D729" i="22"/>
  <c r="D730" i="22"/>
  <c r="D731" i="22"/>
  <c r="D732" i="22"/>
  <c r="D733" i="22"/>
  <c r="D734" i="22"/>
  <c r="D735" i="22"/>
  <c r="D736" i="22"/>
  <c r="D737" i="22"/>
  <c r="D738" i="22"/>
  <c r="D739" i="22"/>
  <c r="D740" i="22"/>
  <c r="D741" i="22"/>
  <c r="D742" i="22"/>
  <c r="D743" i="22"/>
  <c r="D744" i="22"/>
  <c r="D745" i="22"/>
  <c r="D746" i="22"/>
  <c r="D747" i="22"/>
  <c r="D748" i="22"/>
  <c r="D749" i="22"/>
  <c r="D750" i="22"/>
  <c r="D751" i="22"/>
  <c r="D752" i="22"/>
  <c r="D753" i="22"/>
  <c r="D754" i="22"/>
  <c r="D755" i="22"/>
  <c r="D756" i="22"/>
  <c r="D757" i="22"/>
  <c r="D758" i="22"/>
  <c r="D759" i="22"/>
  <c r="D760" i="22"/>
  <c r="D761" i="22"/>
  <c r="D762" i="22"/>
  <c r="D763" i="22"/>
  <c r="D764" i="22"/>
  <c r="D765" i="22"/>
  <c r="D766" i="22"/>
  <c r="D767" i="22"/>
  <c r="D768" i="22"/>
  <c r="D769" i="22"/>
  <c r="D770" i="22"/>
  <c r="D771" i="22"/>
  <c r="D772" i="22"/>
  <c r="D773" i="22"/>
  <c r="D774" i="22"/>
  <c r="D775" i="22"/>
  <c r="D776" i="22"/>
  <c r="D777" i="22"/>
  <c r="D778" i="22"/>
  <c r="D779" i="22"/>
  <c r="D780" i="22"/>
  <c r="D781" i="22"/>
  <c r="D782" i="22"/>
  <c r="D783" i="22"/>
  <c r="D784" i="22"/>
  <c r="D785" i="22"/>
  <c r="D786" i="22"/>
  <c r="D787" i="22"/>
  <c r="D788" i="22"/>
  <c r="D789" i="22"/>
  <c r="D790" i="22"/>
  <c r="D791" i="22"/>
  <c r="D792" i="22"/>
  <c r="D793" i="22"/>
  <c r="D794" i="22"/>
  <c r="D795" i="22"/>
  <c r="D796" i="22"/>
  <c r="D797" i="22"/>
  <c r="D798" i="22"/>
  <c r="D799" i="22"/>
  <c r="D800" i="22"/>
  <c r="D801" i="22"/>
  <c r="D802" i="22"/>
  <c r="D803" i="22"/>
  <c r="D804" i="22"/>
  <c r="D805" i="22"/>
  <c r="D806" i="22"/>
  <c r="D807" i="22"/>
  <c r="D808" i="22"/>
  <c r="D809" i="22"/>
  <c r="D810" i="22"/>
  <c r="D811" i="22"/>
  <c r="D812" i="22"/>
  <c r="D813" i="22"/>
  <c r="D814" i="22"/>
  <c r="D815" i="22"/>
  <c r="D816" i="22"/>
  <c r="D817" i="22"/>
  <c r="D818" i="22"/>
  <c r="D819" i="22"/>
  <c r="D820" i="22"/>
  <c r="D821" i="22"/>
  <c r="D822" i="22"/>
  <c r="D823" i="22"/>
  <c r="D824" i="22"/>
  <c r="D825" i="22"/>
  <c r="D826" i="22"/>
  <c r="D827" i="22"/>
  <c r="D828" i="22"/>
  <c r="D829" i="22"/>
  <c r="D830" i="22"/>
  <c r="D831" i="22"/>
  <c r="D832" i="22"/>
  <c r="D833" i="22"/>
  <c r="D834" i="22"/>
  <c r="D835" i="22"/>
  <c r="D836" i="22"/>
  <c r="D837" i="22"/>
  <c r="D838" i="22"/>
  <c r="D839" i="22"/>
  <c r="D840" i="22"/>
  <c r="D841" i="22"/>
  <c r="D842" i="22"/>
  <c r="D843" i="22"/>
  <c r="D844" i="22"/>
  <c r="D845" i="22"/>
  <c r="D846" i="22"/>
  <c r="D847" i="22"/>
  <c r="D848" i="22"/>
  <c r="D849" i="22"/>
  <c r="D850" i="22"/>
  <c r="D851" i="22"/>
  <c r="D852" i="22"/>
  <c r="D853" i="22"/>
  <c r="D854" i="22"/>
  <c r="D855" i="22"/>
  <c r="D856" i="22"/>
  <c r="D857" i="22"/>
  <c r="D858" i="22"/>
  <c r="D859" i="22"/>
  <c r="D860" i="22"/>
  <c r="D861" i="22"/>
  <c r="D862" i="22"/>
  <c r="D863" i="22"/>
  <c r="D864" i="22"/>
  <c r="D865" i="22"/>
  <c r="D866" i="22"/>
  <c r="D867" i="22"/>
  <c r="D868" i="22"/>
  <c r="D869" i="22"/>
  <c r="D870" i="22"/>
  <c r="D871" i="22"/>
  <c r="D872" i="22"/>
  <c r="D873" i="22"/>
  <c r="D874" i="22"/>
  <c r="D875" i="22"/>
  <c r="D876" i="22"/>
  <c r="D877" i="22"/>
  <c r="D878" i="22"/>
  <c r="D879" i="22"/>
  <c r="D880" i="22"/>
  <c r="D881" i="22"/>
  <c r="D882" i="22"/>
  <c r="D883" i="22"/>
  <c r="D884" i="22"/>
  <c r="D885" i="22"/>
  <c r="D886" i="22"/>
  <c r="D887" i="22"/>
  <c r="D888" i="22"/>
  <c r="D889" i="22"/>
  <c r="D890" i="22"/>
  <c r="D891" i="22"/>
  <c r="D892" i="22"/>
  <c r="D893" i="22"/>
  <c r="D894" i="22"/>
  <c r="D895" i="22"/>
  <c r="D896" i="22"/>
  <c r="D897" i="22"/>
  <c r="D898" i="22"/>
  <c r="D899" i="22"/>
  <c r="D900" i="22"/>
  <c r="D901" i="22"/>
  <c r="D902" i="22"/>
  <c r="D903" i="22"/>
  <c r="D904" i="22"/>
  <c r="D905" i="22"/>
  <c r="D906" i="22"/>
  <c r="D907" i="22"/>
  <c r="D908" i="22"/>
  <c r="D909" i="22"/>
  <c r="D910" i="22"/>
  <c r="D911" i="22"/>
  <c r="D912" i="22"/>
  <c r="D913" i="22"/>
  <c r="D914" i="22"/>
  <c r="D915" i="22"/>
  <c r="D916" i="22"/>
  <c r="D917" i="22"/>
  <c r="D918" i="22"/>
  <c r="D919" i="22"/>
  <c r="D920" i="22"/>
  <c r="D921" i="22"/>
  <c r="D922" i="22"/>
  <c r="D923" i="22"/>
  <c r="D924" i="22"/>
  <c r="D925" i="22"/>
  <c r="D926" i="22"/>
  <c r="D927" i="22"/>
  <c r="D928" i="22"/>
  <c r="D929" i="22"/>
  <c r="D930" i="22"/>
  <c r="D931" i="22"/>
  <c r="D932" i="22"/>
  <c r="D933" i="22"/>
  <c r="D934" i="22"/>
  <c r="D935" i="22"/>
  <c r="D936" i="22"/>
  <c r="D937" i="22"/>
  <c r="D938" i="22"/>
  <c r="D939" i="22"/>
  <c r="D940" i="22"/>
  <c r="D941" i="22"/>
  <c r="D942" i="22"/>
  <c r="D943" i="22"/>
  <c r="D944" i="22"/>
  <c r="D945" i="22"/>
  <c r="D946" i="22"/>
  <c r="D947" i="22"/>
  <c r="D948" i="22"/>
  <c r="D949" i="22"/>
  <c r="D950" i="22"/>
  <c r="D951" i="22"/>
  <c r="D952" i="22"/>
  <c r="D953" i="22"/>
  <c r="D954" i="22"/>
  <c r="D955" i="22"/>
  <c r="D956" i="22"/>
  <c r="D957" i="22"/>
  <c r="D958" i="22"/>
  <c r="D959" i="22"/>
  <c r="D960" i="22"/>
  <c r="D961" i="22"/>
  <c r="D962" i="22"/>
  <c r="D963" i="22"/>
  <c r="D964" i="22"/>
  <c r="D965" i="22"/>
  <c r="D966" i="22"/>
  <c r="D967" i="22"/>
  <c r="D968" i="22"/>
  <c r="D969" i="22"/>
  <c r="D970" i="22"/>
  <c r="D971" i="22"/>
  <c r="D972" i="22"/>
  <c r="D973" i="22"/>
  <c r="D974" i="22"/>
  <c r="D975" i="22"/>
  <c r="D976" i="22"/>
  <c r="D977" i="22"/>
  <c r="D978" i="22"/>
  <c r="F978" i="22" s="1"/>
  <c r="E718" i="22"/>
  <c r="E719" i="22"/>
  <c r="E720" i="22"/>
  <c r="E721" i="22"/>
  <c r="E722" i="22"/>
  <c r="E723" i="22"/>
  <c r="E724" i="22"/>
  <c r="E725" i="22"/>
  <c r="E726" i="22"/>
  <c r="E727" i="22"/>
  <c r="E728" i="22"/>
  <c r="E729" i="22"/>
  <c r="E730" i="22"/>
  <c r="E731" i="22"/>
  <c r="E732" i="22"/>
  <c r="E733" i="22"/>
  <c r="E734" i="22"/>
  <c r="E735" i="22"/>
  <c r="E736" i="22"/>
  <c r="E737" i="22"/>
  <c r="E738" i="22"/>
  <c r="E739" i="22"/>
  <c r="E740" i="22"/>
  <c r="E741" i="22"/>
  <c r="E742" i="22"/>
  <c r="E743" i="22"/>
  <c r="E744" i="22"/>
  <c r="E745" i="22"/>
  <c r="E746" i="22"/>
  <c r="E747" i="22"/>
  <c r="E748" i="22"/>
  <c r="E749" i="22"/>
  <c r="E750" i="22"/>
  <c r="E751" i="22"/>
  <c r="E752" i="22"/>
  <c r="E753" i="22"/>
  <c r="E754" i="22"/>
  <c r="E755" i="22"/>
  <c r="E756" i="22"/>
  <c r="E757" i="22"/>
  <c r="E758" i="22"/>
  <c r="E759" i="22"/>
  <c r="E760" i="22"/>
  <c r="E761" i="22"/>
  <c r="E762" i="22"/>
  <c r="E763" i="22"/>
  <c r="E764" i="22"/>
  <c r="E765" i="22"/>
  <c r="E766" i="22"/>
  <c r="E767" i="22"/>
  <c r="E768" i="22"/>
  <c r="E769" i="22"/>
  <c r="E770" i="22"/>
  <c r="E771" i="22"/>
  <c r="E772" i="22"/>
  <c r="E773" i="22"/>
  <c r="E774" i="22"/>
  <c r="E775" i="22"/>
  <c r="E776" i="22"/>
  <c r="E777" i="22"/>
  <c r="E778" i="22"/>
  <c r="E779" i="22"/>
  <c r="E780" i="22"/>
  <c r="E781" i="22"/>
  <c r="E782" i="22"/>
  <c r="E783" i="22"/>
  <c r="E784" i="22"/>
  <c r="E785" i="22"/>
  <c r="E786" i="22"/>
  <c r="E787" i="22"/>
  <c r="E788" i="22"/>
  <c r="E789" i="22"/>
  <c r="E790" i="22"/>
  <c r="E791" i="22"/>
  <c r="E792" i="22"/>
  <c r="E793" i="22"/>
  <c r="E794" i="22"/>
  <c r="E795" i="22"/>
  <c r="E796" i="22"/>
  <c r="E797" i="22"/>
  <c r="E798" i="22"/>
  <c r="E799" i="22"/>
  <c r="E800" i="22"/>
  <c r="E801" i="22"/>
  <c r="E802" i="22"/>
  <c r="E803" i="22"/>
  <c r="E804" i="22"/>
  <c r="E805" i="22"/>
  <c r="E806" i="22"/>
  <c r="E807" i="22"/>
  <c r="E808" i="22"/>
  <c r="E809" i="22"/>
  <c r="E810" i="22"/>
  <c r="E811" i="22"/>
  <c r="E812" i="22"/>
  <c r="E813" i="22"/>
  <c r="E814" i="22"/>
  <c r="E815" i="22"/>
  <c r="E816" i="22"/>
  <c r="E817" i="22"/>
  <c r="E818" i="22"/>
  <c r="E819" i="22"/>
  <c r="E820" i="22"/>
  <c r="E821" i="22"/>
  <c r="E822" i="22"/>
  <c r="E823" i="22"/>
  <c r="E824" i="22"/>
  <c r="E825" i="22"/>
  <c r="E826" i="22"/>
  <c r="E827" i="22"/>
  <c r="E828" i="22"/>
  <c r="E829" i="22"/>
  <c r="E830" i="22"/>
  <c r="E831" i="22"/>
  <c r="E832" i="22"/>
  <c r="E833" i="22"/>
  <c r="E834" i="22"/>
  <c r="E835" i="22"/>
  <c r="E836" i="22"/>
  <c r="E837" i="22"/>
  <c r="E838" i="22"/>
  <c r="E839" i="22"/>
  <c r="E840" i="22"/>
  <c r="E841" i="22"/>
  <c r="E842" i="22"/>
  <c r="E843" i="22"/>
  <c r="E844" i="22"/>
  <c r="E845" i="22"/>
  <c r="E846" i="22"/>
  <c r="E847" i="22"/>
  <c r="E848" i="22"/>
  <c r="E849" i="22"/>
  <c r="E850" i="22"/>
  <c r="E851" i="22"/>
  <c r="E852" i="22"/>
  <c r="E853" i="22"/>
  <c r="E854" i="22"/>
  <c r="E855" i="22"/>
  <c r="E856" i="22"/>
  <c r="E857" i="22"/>
  <c r="E858" i="22"/>
  <c r="E859" i="22"/>
  <c r="E860" i="22"/>
  <c r="E861" i="22"/>
  <c r="E862" i="22"/>
  <c r="E863" i="22"/>
  <c r="E864" i="22"/>
  <c r="E865" i="22"/>
  <c r="E866" i="22"/>
  <c r="E867" i="22"/>
  <c r="E868" i="22"/>
  <c r="E869" i="22"/>
  <c r="E870" i="22"/>
  <c r="E871" i="22"/>
  <c r="E872" i="22"/>
  <c r="E873" i="22"/>
  <c r="E874" i="22"/>
  <c r="E875" i="22"/>
  <c r="E876" i="22"/>
  <c r="E877" i="22"/>
  <c r="E878" i="22"/>
  <c r="E879" i="22"/>
  <c r="E880" i="22"/>
  <c r="E881" i="22"/>
  <c r="E882" i="22"/>
  <c r="E883" i="22"/>
  <c r="E884" i="22"/>
  <c r="E885" i="22"/>
  <c r="E886" i="22"/>
  <c r="E887" i="22"/>
  <c r="E888" i="22"/>
  <c r="E889" i="22"/>
  <c r="E890" i="22"/>
  <c r="E891" i="22"/>
  <c r="E892" i="22"/>
  <c r="E893" i="22"/>
  <c r="E894" i="22"/>
  <c r="E895" i="22"/>
  <c r="E896" i="22"/>
  <c r="E897" i="22"/>
  <c r="E898" i="22"/>
  <c r="E899" i="22"/>
  <c r="E900" i="22"/>
  <c r="E901" i="22"/>
  <c r="E902" i="22"/>
  <c r="E903" i="22"/>
  <c r="E904" i="22"/>
  <c r="E905" i="22"/>
  <c r="E906" i="22"/>
  <c r="E907" i="22"/>
  <c r="E908" i="22"/>
  <c r="E909" i="22"/>
  <c r="E910" i="22"/>
  <c r="E911" i="22"/>
  <c r="E912" i="22"/>
  <c r="E913" i="22"/>
  <c r="E914" i="22"/>
  <c r="E915" i="22"/>
  <c r="E916" i="22"/>
  <c r="E917" i="22"/>
  <c r="E918" i="22"/>
  <c r="E919" i="22"/>
  <c r="E920" i="22"/>
  <c r="E921" i="22"/>
  <c r="E922" i="22"/>
  <c r="E923" i="22"/>
  <c r="E924" i="22"/>
  <c r="E925" i="22"/>
  <c r="E926" i="22"/>
  <c r="E927" i="22"/>
  <c r="E928" i="22"/>
  <c r="E929" i="22"/>
  <c r="E930" i="22"/>
  <c r="E931" i="22"/>
  <c r="E932" i="22"/>
  <c r="E933" i="22"/>
  <c r="E934" i="22"/>
  <c r="E935" i="22"/>
  <c r="E936" i="22"/>
  <c r="E937" i="22"/>
  <c r="E938" i="22"/>
  <c r="E939" i="22"/>
  <c r="E940" i="22"/>
  <c r="E941" i="22"/>
  <c r="E942" i="22"/>
  <c r="E943" i="22"/>
  <c r="E944" i="22"/>
  <c r="E945" i="22"/>
  <c r="E946" i="22"/>
  <c r="E947" i="22"/>
  <c r="E948" i="22"/>
  <c r="E949" i="22"/>
  <c r="E950" i="22"/>
  <c r="E951" i="22"/>
  <c r="E952" i="22"/>
  <c r="E953" i="22"/>
  <c r="E954" i="22"/>
  <c r="E955" i="22"/>
  <c r="E956" i="22"/>
  <c r="E957" i="22"/>
  <c r="E958" i="22"/>
  <c r="E959" i="22"/>
  <c r="E960" i="22"/>
  <c r="E961" i="22"/>
  <c r="E962" i="22"/>
  <c r="E963" i="22"/>
  <c r="E964" i="22"/>
  <c r="E965" i="22"/>
  <c r="E966" i="22"/>
  <c r="E967" i="22"/>
  <c r="E968" i="22"/>
  <c r="E969" i="22"/>
  <c r="E970" i="22"/>
  <c r="E971" i="22"/>
  <c r="E972" i="22"/>
  <c r="E973" i="22"/>
  <c r="E974" i="22"/>
  <c r="E975" i="22"/>
  <c r="E976" i="22"/>
  <c r="E977" i="22"/>
  <c r="E978" i="22"/>
  <c r="E979" i="22"/>
  <c r="F718" i="22"/>
  <c r="F719" i="22"/>
  <c r="F720" i="22"/>
  <c r="F721" i="22"/>
  <c r="F722" i="22"/>
  <c r="F723" i="22"/>
  <c r="F724" i="22"/>
  <c r="F725" i="22"/>
  <c r="F726" i="22"/>
  <c r="F727" i="22"/>
  <c r="F728" i="22"/>
  <c r="F729" i="22"/>
  <c r="F730" i="22"/>
  <c r="F731" i="22"/>
  <c r="F732" i="22"/>
  <c r="F733" i="22"/>
  <c r="F734" i="22"/>
  <c r="F735" i="22"/>
  <c r="F736" i="22"/>
  <c r="F737" i="22"/>
  <c r="F738" i="22"/>
  <c r="F739" i="22"/>
  <c r="F740" i="22"/>
  <c r="F741" i="22"/>
  <c r="F742" i="22"/>
  <c r="F743" i="22"/>
  <c r="F744" i="22"/>
  <c r="F745" i="22"/>
  <c r="F746" i="22"/>
  <c r="F747" i="22"/>
  <c r="F748" i="22"/>
  <c r="F749" i="22"/>
  <c r="F750" i="22"/>
  <c r="F751" i="22"/>
  <c r="F752" i="22"/>
  <c r="F753" i="22"/>
  <c r="F754" i="22"/>
  <c r="F755" i="22"/>
  <c r="F756" i="22"/>
  <c r="F757" i="22"/>
  <c r="F758" i="22"/>
  <c r="F759" i="22"/>
  <c r="F760" i="22"/>
  <c r="F761" i="22"/>
  <c r="F762" i="22"/>
  <c r="F763" i="22"/>
  <c r="F764" i="22"/>
  <c r="F765" i="22"/>
  <c r="F766" i="22"/>
  <c r="F767" i="22"/>
  <c r="F768" i="22"/>
  <c r="F769" i="22"/>
  <c r="F770" i="22"/>
  <c r="F771" i="22"/>
  <c r="F772" i="22"/>
  <c r="F773" i="22"/>
  <c r="F774" i="22"/>
  <c r="F775" i="22"/>
  <c r="F776" i="22"/>
  <c r="F777" i="22"/>
  <c r="F778" i="22"/>
  <c r="F779" i="22"/>
  <c r="F780" i="22"/>
  <c r="F781" i="22"/>
  <c r="F782" i="22"/>
  <c r="F783" i="22"/>
  <c r="F784" i="22"/>
  <c r="F785" i="22"/>
  <c r="F786" i="22"/>
  <c r="F787" i="22"/>
  <c r="F788" i="22"/>
  <c r="F789" i="22"/>
  <c r="F790" i="22"/>
  <c r="F791" i="22"/>
  <c r="F792" i="22"/>
  <c r="F793" i="22"/>
  <c r="F794" i="22"/>
  <c r="F795" i="22"/>
  <c r="F796" i="22"/>
  <c r="F797" i="22"/>
  <c r="F798" i="22"/>
  <c r="F799" i="22"/>
  <c r="F800" i="22"/>
  <c r="F801" i="22"/>
  <c r="F802" i="22"/>
  <c r="F803" i="22"/>
  <c r="F804" i="22"/>
  <c r="F805" i="22"/>
  <c r="F806" i="22"/>
  <c r="F807" i="22"/>
  <c r="F808" i="22"/>
  <c r="F809" i="22"/>
  <c r="F810" i="22"/>
  <c r="F811" i="22"/>
  <c r="F812" i="22"/>
  <c r="F813" i="22"/>
  <c r="F814" i="22"/>
  <c r="F815" i="22"/>
  <c r="F816" i="22"/>
  <c r="F817" i="22"/>
  <c r="F818" i="22"/>
  <c r="F819" i="22"/>
  <c r="F820" i="22"/>
  <c r="F821" i="22"/>
  <c r="F822" i="22"/>
  <c r="F823" i="22"/>
  <c r="F824" i="22"/>
  <c r="F825" i="22"/>
  <c r="F826" i="22"/>
  <c r="F827" i="22"/>
  <c r="F828" i="22"/>
  <c r="F829" i="22"/>
  <c r="F830" i="22"/>
  <c r="F831" i="22"/>
  <c r="F832" i="22"/>
  <c r="F833" i="22"/>
  <c r="F834" i="22"/>
  <c r="F835" i="22"/>
  <c r="F836" i="22"/>
  <c r="F837" i="22"/>
  <c r="F838" i="22"/>
  <c r="F839" i="22"/>
  <c r="F840" i="22"/>
  <c r="F841" i="22"/>
  <c r="F842" i="22"/>
  <c r="F843" i="22"/>
  <c r="F844" i="22"/>
  <c r="F845" i="22"/>
  <c r="F846" i="22"/>
  <c r="F847" i="22"/>
  <c r="F848" i="22"/>
  <c r="F849" i="22"/>
  <c r="F850" i="22"/>
  <c r="F851" i="22"/>
  <c r="F852" i="22"/>
  <c r="F853" i="22"/>
  <c r="F854" i="22"/>
  <c r="F855" i="22"/>
  <c r="F856" i="22"/>
  <c r="F857" i="22"/>
  <c r="F858" i="22"/>
  <c r="F859" i="22"/>
  <c r="F860" i="22"/>
  <c r="F861" i="22"/>
  <c r="F862" i="22"/>
  <c r="F863" i="22"/>
  <c r="F864" i="22"/>
  <c r="F865" i="22"/>
  <c r="F866" i="22"/>
  <c r="F867" i="22"/>
  <c r="F868" i="22"/>
  <c r="F869" i="22"/>
  <c r="F870" i="22"/>
  <c r="F871" i="22"/>
  <c r="F872" i="22"/>
  <c r="F873" i="22"/>
  <c r="F874" i="22"/>
  <c r="F875" i="22"/>
  <c r="F876" i="22"/>
  <c r="F877" i="22"/>
  <c r="F878" i="22"/>
  <c r="F879" i="22"/>
  <c r="F880" i="22"/>
  <c r="F881" i="22"/>
  <c r="F882" i="22"/>
  <c r="F883" i="22"/>
  <c r="F884" i="22"/>
  <c r="F885" i="22"/>
  <c r="F886" i="22"/>
  <c r="F887" i="22"/>
  <c r="F888" i="22"/>
  <c r="F889" i="22"/>
  <c r="F890" i="22"/>
  <c r="F891" i="22"/>
  <c r="F892" i="22"/>
  <c r="F893" i="22"/>
  <c r="F894" i="22"/>
  <c r="F895" i="22"/>
  <c r="F896" i="22"/>
  <c r="F897" i="22"/>
  <c r="F898" i="22"/>
  <c r="F899" i="22"/>
  <c r="F900" i="22"/>
  <c r="F901" i="22"/>
  <c r="F902" i="22"/>
  <c r="F903" i="22"/>
  <c r="F904" i="22"/>
  <c r="F905" i="22"/>
  <c r="F906" i="22"/>
  <c r="F907" i="22"/>
  <c r="F908" i="22"/>
  <c r="F909" i="22"/>
  <c r="F910" i="22"/>
  <c r="F911" i="22"/>
  <c r="F912" i="22"/>
  <c r="F913" i="22"/>
  <c r="F914" i="22"/>
  <c r="F915" i="22"/>
  <c r="F916" i="22"/>
  <c r="F917" i="22"/>
  <c r="F918" i="22"/>
  <c r="F919" i="22"/>
  <c r="F920" i="22"/>
  <c r="F921" i="22"/>
  <c r="F922" i="22"/>
  <c r="F923" i="22"/>
  <c r="F924" i="22"/>
  <c r="F925" i="22"/>
  <c r="F926" i="22"/>
  <c r="F927" i="22"/>
  <c r="F928" i="22"/>
  <c r="F929" i="22"/>
  <c r="F930" i="22"/>
  <c r="F931" i="22"/>
  <c r="F932" i="22"/>
  <c r="F933" i="22"/>
  <c r="F934" i="22"/>
  <c r="F935" i="22"/>
  <c r="F936" i="22"/>
  <c r="F937" i="22"/>
  <c r="F938" i="22"/>
  <c r="F939" i="22"/>
  <c r="F940" i="22"/>
  <c r="F941" i="22"/>
  <c r="F942" i="22"/>
  <c r="F943" i="22"/>
  <c r="F944" i="22"/>
  <c r="F945" i="22"/>
  <c r="F946" i="22"/>
  <c r="F947" i="22"/>
  <c r="F948" i="22"/>
  <c r="F949" i="22"/>
  <c r="F950" i="22"/>
  <c r="F951" i="22"/>
  <c r="F952" i="22"/>
  <c r="F953" i="22"/>
  <c r="F954" i="22"/>
  <c r="F955" i="22"/>
  <c r="F956" i="22"/>
  <c r="F957" i="22"/>
  <c r="F958" i="22"/>
  <c r="F959" i="22"/>
  <c r="F960" i="22"/>
  <c r="F961" i="22"/>
  <c r="F962" i="22"/>
  <c r="F963" i="22"/>
  <c r="F964" i="22"/>
  <c r="F965" i="22"/>
  <c r="F966" i="22"/>
  <c r="F967" i="22"/>
  <c r="F968" i="22"/>
  <c r="F969" i="22"/>
  <c r="F970" i="22"/>
  <c r="F971" i="22"/>
  <c r="F972" i="22"/>
  <c r="F973" i="22"/>
  <c r="F974" i="22"/>
  <c r="F975" i="22"/>
  <c r="F976" i="22"/>
  <c r="F977" i="22"/>
  <c r="B576" i="22"/>
  <c r="B577" i="22"/>
  <c r="B578" i="22"/>
  <c r="B579" i="22"/>
  <c r="B580" i="22"/>
  <c r="B581" i="22"/>
  <c r="B582" i="22"/>
  <c r="B583" i="22"/>
  <c r="B584" i="22"/>
  <c r="B585" i="22"/>
  <c r="B586" i="22"/>
  <c r="B587" i="22"/>
  <c r="B588" i="22"/>
  <c r="B589" i="22"/>
  <c r="B590" i="22"/>
  <c r="B591" i="22"/>
  <c r="B592" i="22"/>
  <c r="B593" i="22"/>
  <c r="B594" i="22"/>
  <c r="B595" i="22"/>
  <c r="B596" i="22"/>
  <c r="B597" i="22"/>
  <c r="B598" i="22"/>
  <c r="B599" i="22"/>
  <c r="B600" i="22"/>
  <c r="B601" i="22"/>
  <c r="B602" i="22"/>
  <c r="B603" i="22"/>
  <c r="B604" i="22"/>
  <c r="B605" i="22"/>
  <c r="B606" i="22"/>
  <c r="B607" i="22"/>
  <c r="B608" i="22"/>
  <c r="B609" i="22"/>
  <c r="B610" i="22"/>
  <c r="B611" i="22"/>
  <c r="B612" i="22"/>
  <c r="B613" i="22"/>
  <c r="B614" i="22"/>
  <c r="B615" i="22"/>
  <c r="B616" i="22"/>
  <c r="B617" i="22"/>
  <c r="B618" i="22"/>
  <c r="B619" i="22"/>
  <c r="B620" i="22"/>
  <c r="B621" i="22"/>
  <c r="B622" i="22"/>
  <c r="B623" i="22"/>
  <c r="B624" i="22"/>
  <c r="B625" i="22"/>
  <c r="B626" i="22"/>
  <c r="B627" i="22"/>
  <c r="B628" i="22"/>
  <c r="B629" i="22"/>
  <c r="B630" i="22"/>
  <c r="B631" i="22"/>
  <c r="B632" i="22"/>
  <c r="B633" i="22"/>
  <c r="B634" i="22"/>
  <c r="B635" i="22"/>
  <c r="B636" i="22"/>
  <c r="B637" i="22"/>
  <c r="B638" i="22"/>
  <c r="B639" i="22"/>
  <c r="B640" i="22"/>
  <c r="B641" i="22"/>
  <c r="B642" i="22"/>
  <c r="B643" i="22"/>
  <c r="B644" i="22"/>
  <c r="B645" i="22"/>
  <c r="B646" i="22"/>
  <c r="B647" i="22"/>
  <c r="B648" i="22"/>
  <c r="B649" i="22"/>
  <c r="B650" i="22"/>
  <c r="B651" i="22"/>
  <c r="B652" i="22"/>
  <c r="B653" i="22"/>
  <c r="B654" i="22"/>
  <c r="B655" i="22"/>
  <c r="B656" i="22"/>
  <c r="B657" i="22"/>
  <c r="B658" i="22"/>
  <c r="B659" i="22"/>
  <c r="B660" i="22"/>
  <c r="B661" i="22"/>
  <c r="B662" i="22"/>
  <c r="B663" i="22"/>
  <c r="B664" i="22"/>
  <c r="B665" i="22"/>
  <c r="B666" i="22"/>
  <c r="B667" i="22"/>
  <c r="B668" i="22"/>
  <c r="B669" i="22"/>
  <c r="B670" i="22"/>
  <c r="B671" i="22"/>
  <c r="B672" i="22"/>
  <c r="B673" i="22"/>
  <c r="B674" i="22"/>
  <c r="B675" i="22"/>
  <c r="B676" i="22"/>
  <c r="B677" i="22"/>
  <c r="B678" i="22"/>
  <c r="B679" i="22"/>
  <c r="B680" i="22"/>
  <c r="B681" i="22"/>
  <c r="B682" i="22"/>
  <c r="B683" i="22"/>
  <c r="B684" i="22"/>
  <c r="B685" i="22"/>
  <c r="B686" i="22"/>
  <c r="B687" i="22"/>
  <c r="B688" i="22"/>
  <c r="B689" i="22"/>
  <c r="B690" i="22"/>
  <c r="B691" i="22"/>
  <c r="B692" i="22"/>
  <c r="B693" i="22"/>
  <c r="B694" i="22"/>
  <c r="B695" i="22"/>
  <c r="B696" i="22"/>
  <c r="B697" i="22"/>
  <c r="B698" i="22"/>
  <c r="B699" i="22"/>
  <c r="B700" i="22"/>
  <c r="B701" i="22"/>
  <c r="B702" i="22"/>
  <c r="B703" i="22"/>
  <c r="B704" i="22"/>
  <c r="B705" i="22"/>
  <c r="B706" i="22"/>
  <c r="B707" i="22"/>
  <c r="B708" i="22"/>
  <c r="B709" i="22"/>
  <c r="B710" i="22"/>
  <c r="B711" i="22"/>
  <c r="B712" i="22"/>
  <c r="B713" i="22"/>
  <c r="B714" i="22"/>
  <c r="B715" i="22"/>
  <c r="B716" i="22"/>
  <c r="B717" i="22"/>
  <c r="C576" i="22"/>
  <c r="C577" i="22"/>
  <c r="C578" i="22"/>
  <c r="C579" i="22"/>
  <c r="C580" i="22"/>
  <c r="C581" i="22"/>
  <c r="C582" i="22"/>
  <c r="C583" i="22"/>
  <c r="C584" i="22"/>
  <c r="C585" i="22"/>
  <c r="C586" i="22"/>
  <c r="C587" i="22"/>
  <c r="C588" i="22"/>
  <c r="C589" i="22"/>
  <c r="C590" i="22"/>
  <c r="C591" i="22"/>
  <c r="C592" i="22"/>
  <c r="C593" i="22"/>
  <c r="C594" i="22"/>
  <c r="C595" i="22"/>
  <c r="C596" i="22"/>
  <c r="C597" i="22"/>
  <c r="C598" i="22"/>
  <c r="C599" i="22"/>
  <c r="C600" i="22"/>
  <c r="C601" i="22"/>
  <c r="C602" i="22"/>
  <c r="C603" i="22"/>
  <c r="C604" i="22"/>
  <c r="C605" i="22"/>
  <c r="C606" i="22"/>
  <c r="C607" i="22"/>
  <c r="C608" i="22"/>
  <c r="C609" i="22"/>
  <c r="C610" i="22"/>
  <c r="C611" i="22"/>
  <c r="C612" i="22"/>
  <c r="C613" i="22"/>
  <c r="C614" i="22"/>
  <c r="C615" i="22"/>
  <c r="C616" i="22"/>
  <c r="C617" i="22"/>
  <c r="C618" i="22"/>
  <c r="C619" i="22"/>
  <c r="C620" i="22"/>
  <c r="C621" i="22"/>
  <c r="C622" i="22"/>
  <c r="C623" i="22"/>
  <c r="C624" i="22"/>
  <c r="C625" i="22"/>
  <c r="C626" i="22"/>
  <c r="C627" i="22"/>
  <c r="C628" i="22"/>
  <c r="C629" i="22"/>
  <c r="C630" i="22"/>
  <c r="C631" i="22"/>
  <c r="C632" i="22"/>
  <c r="C633" i="22"/>
  <c r="C634" i="22"/>
  <c r="C635" i="22"/>
  <c r="C636" i="22"/>
  <c r="C637" i="22"/>
  <c r="C638" i="22"/>
  <c r="C639" i="22"/>
  <c r="C640" i="22"/>
  <c r="C641" i="22"/>
  <c r="C642" i="22"/>
  <c r="C643" i="22"/>
  <c r="C644" i="22"/>
  <c r="C645" i="22"/>
  <c r="C646" i="22"/>
  <c r="C647" i="22"/>
  <c r="C648" i="22"/>
  <c r="C649" i="22"/>
  <c r="C650" i="22"/>
  <c r="C651" i="22"/>
  <c r="C652" i="22"/>
  <c r="C653" i="22"/>
  <c r="C654" i="22"/>
  <c r="C655" i="22"/>
  <c r="C656" i="22"/>
  <c r="C657" i="22"/>
  <c r="C658" i="22"/>
  <c r="C659" i="22"/>
  <c r="C660" i="22"/>
  <c r="C661" i="22"/>
  <c r="C662" i="22"/>
  <c r="C663" i="22"/>
  <c r="C664" i="22"/>
  <c r="C665" i="22"/>
  <c r="C666" i="22"/>
  <c r="C667" i="22"/>
  <c r="C668" i="22"/>
  <c r="C669" i="22"/>
  <c r="C670" i="22"/>
  <c r="C671" i="22"/>
  <c r="C672" i="22"/>
  <c r="C673" i="22"/>
  <c r="C674" i="22"/>
  <c r="C675" i="22"/>
  <c r="C676" i="22"/>
  <c r="C677" i="22"/>
  <c r="C678" i="22"/>
  <c r="C679" i="22"/>
  <c r="C680" i="22"/>
  <c r="C681" i="22"/>
  <c r="C682" i="22"/>
  <c r="C683" i="22"/>
  <c r="C684" i="22"/>
  <c r="C685" i="22"/>
  <c r="C686" i="22"/>
  <c r="C687" i="22"/>
  <c r="C688" i="22"/>
  <c r="C689" i="22"/>
  <c r="C690" i="22"/>
  <c r="C691" i="22"/>
  <c r="C692" i="22"/>
  <c r="C693" i="22"/>
  <c r="C694" i="22"/>
  <c r="C695" i="22"/>
  <c r="C696" i="22"/>
  <c r="C697" i="22"/>
  <c r="C698" i="22"/>
  <c r="C699" i="22"/>
  <c r="C700" i="22"/>
  <c r="C701" i="22"/>
  <c r="C702" i="22"/>
  <c r="C703" i="22"/>
  <c r="C704" i="22"/>
  <c r="C705" i="22"/>
  <c r="C706" i="22"/>
  <c r="C707" i="22"/>
  <c r="C708" i="22"/>
  <c r="C709" i="22"/>
  <c r="C710" i="22"/>
  <c r="C711" i="22"/>
  <c r="C712" i="22"/>
  <c r="C713" i="22"/>
  <c r="C714" i="22"/>
  <c r="C715" i="22"/>
  <c r="C716" i="22"/>
  <c r="C717" i="22"/>
  <c r="D576" i="22"/>
  <c r="D577" i="22"/>
  <c r="D578" i="22"/>
  <c r="D579" i="22"/>
  <c r="D580" i="22"/>
  <c r="D581" i="22"/>
  <c r="D582" i="22"/>
  <c r="D583" i="22"/>
  <c r="D584" i="22"/>
  <c r="D585" i="22"/>
  <c r="D586" i="22"/>
  <c r="D587" i="22"/>
  <c r="D588" i="22"/>
  <c r="D589" i="22"/>
  <c r="D590" i="22"/>
  <c r="D591" i="22"/>
  <c r="D592" i="22"/>
  <c r="D593" i="22"/>
  <c r="D594" i="22"/>
  <c r="D595" i="22"/>
  <c r="D596" i="22"/>
  <c r="D597" i="22"/>
  <c r="D598" i="22"/>
  <c r="D599" i="22"/>
  <c r="D600" i="22"/>
  <c r="D601" i="22"/>
  <c r="D602" i="22"/>
  <c r="D603" i="22"/>
  <c r="D604" i="22"/>
  <c r="D605" i="22"/>
  <c r="D606" i="22"/>
  <c r="D607" i="22"/>
  <c r="D608" i="22"/>
  <c r="D609" i="22"/>
  <c r="D610" i="22"/>
  <c r="D611" i="22"/>
  <c r="D612" i="22"/>
  <c r="D613" i="22"/>
  <c r="D614" i="22"/>
  <c r="D615" i="22"/>
  <c r="D616" i="22"/>
  <c r="D617" i="22"/>
  <c r="D618" i="22"/>
  <c r="D619" i="22"/>
  <c r="D620" i="22"/>
  <c r="D621" i="22"/>
  <c r="D622" i="22"/>
  <c r="D623" i="22"/>
  <c r="D624" i="22"/>
  <c r="D625" i="22"/>
  <c r="D626" i="22"/>
  <c r="D627" i="22"/>
  <c r="D628" i="22"/>
  <c r="D629" i="22"/>
  <c r="D630" i="22"/>
  <c r="D631" i="22"/>
  <c r="D632" i="22"/>
  <c r="D633" i="22"/>
  <c r="D634" i="22"/>
  <c r="D635" i="22"/>
  <c r="D636" i="22"/>
  <c r="D637" i="22"/>
  <c r="D638" i="22"/>
  <c r="D639" i="22"/>
  <c r="D640" i="22"/>
  <c r="D641" i="22"/>
  <c r="D642" i="22"/>
  <c r="D643" i="22"/>
  <c r="D644" i="22"/>
  <c r="D645" i="22"/>
  <c r="D646" i="22"/>
  <c r="D647" i="22"/>
  <c r="D648" i="22"/>
  <c r="D649" i="22"/>
  <c r="D650" i="22"/>
  <c r="D651" i="22"/>
  <c r="D652" i="22"/>
  <c r="D653" i="22"/>
  <c r="D654" i="22"/>
  <c r="D655" i="22"/>
  <c r="D656" i="22"/>
  <c r="D657" i="22"/>
  <c r="D658" i="22"/>
  <c r="D659" i="22"/>
  <c r="D660" i="22"/>
  <c r="D661" i="22"/>
  <c r="D662" i="22"/>
  <c r="D663" i="22"/>
  <c r="D664" i="22"/>
  <c r="D665" i="22"/>
  <c r="D666" i="22"/>
  <c r="D667" i="22"/>
  <c r="D668" i="22"/>
  <c r="D669" i="22"/>
  <c r="D670" i="22"/>
  <c r="D671" i="22"/>
  <c r="D672" i="22"/>
  <c r="D673" i="22"/>
  <c r="D674" i="22"/>
  <c r="D675" i="22"/>
  <c r="D676" i="22"/>
  <c r="D677" i="22"/>
  <c r="D678" i="22"/>
  <c r="D679" i="22"/>
  <c r="D680" i="22"/>
  <c r="D681" i="22"/>
  <c r="D682" i="22"/>
  <c r="D683" i="22"/>
  <c r="D684" i="22"/>
  <c r="D685" i="22"/>
  <c r="D686" i="22"/>
  <c r="D687" i="22"/>
  <c r="D688" i="22"/>
  <c r="D689" i="22"/>
  <c r="D690" i="22"/>
  <c r="D691" i="22"/>
  <c r="D692" i="22"/>
  <c r="D693" i="22"/>
  <c r="D694" i="22"/>
  <c r="D695" i="22"/>
  <c r="D696" i="22"/>
  <c r="D697" i="22"/>
  <c r="D698" i="22"/>
  <c r="D699" i="22"/>
  <c r="D700" i="22"/>
  <c r="D701" i="22"/>
  <c r="D702" i="22"/>
  <c r="D703" i="22"/>
  <c r="D704" i="22"/>
  <c r="D705" i="22"/>
  <c r="D706" i="22"/>
  <c r="D707" i="22"/>
  <c r="D708" i="22"/>
  <c r="D709" i="22"/>
  <c r="D710" i="22"/>
  <c r="D711" i="22"/>
  <c r="D712" i="22"/>
  <c r="D713" i="22"/>
  <c r="D714" i="22"/>
  <c r="D715" i="22"/>
  <c r="D716" i="22"/>
  <c r="D717" i="22"/>
  <c r="E576" i="22"/>
  <c r="E577" i="22"/>
  <c r="E578" i="22"/>
  <c r="E579" i="22"/>
  <c r="E580" i="22"/>
  <c r="E581" i="22"/>
  <c r="E582" i="22"/>
  <c r="E583" i="22"/>
  <c r="E584" i="22"/>
  <c r="E585" i="22"/>
  <c r="E586" i="22"/>
  <c r="E587" i="22"/>
  <c r="E588" i="22"/>
  <c r="E589" i="22"/>
  <c r="E590" i="22"/>
  <c r="E591" i="22"/>
  <c r="E592" i="22"/>
  <c r="E593" i="22"/>
  <c r="E594" i="22"/>
  <c r="E595" i="22"/>
  <c r="E596" i="22"/>
  <c r="E597" i="22"/>
  <c r="E598" i="22"/>
  <c r="E599" i="22"/>
  <c r="E600" i="22"/>
  <c r="E601" i="22"/>
  <c r="E602" i="22"/>
  <c r="E603" i="22"/>
  <c r="E604" i="22"/>
  <c r="E605" i="22"/>
  <c r="E606" i="22"/>
  <c r="E607" i="22"/>
  <c r="E608" i="22"/>
  <c r="E609" i="22"/>
  <c r="E610" i="22"/>
  <c r="E611" i="22"/>
  <c r="E612" i="22"/>
  <c r="E613" i="22"/>
  <c r="E614" i="22"/>
  <c r="E615" i="22"/>
  <c r="E616" i="22"/>
  <c r="E617" i="22"/>
  <c r="E618" i="22"/>
  <c r="E619" i="22"/>
  <c r="E620" i="22"/>
  <c r="E621" i="22"/>
  <c r="E622" i="22"/>
  <c r="E623" i="22"/>
  <c r="E624" i="22"/>
  <c r="E625" i="22"/>
  <c r="E626" i="22"/>
  <c r="E627" i="22"/>
  <c r="E628" i="22"/>
  <c r="E629" i="22"/>
  <c r="E630" i="22"/>
  <c r="E631" i="22"/>
  <c r="E632" i="22"/>
  <c r="E633" i="22"/>
  <c r="E634" i="22"/>
  <c r="E635" i="22"/>
  <c r="E636" i="22"/>
  <c r="E637" i="22"/>
  <c r="E638" i="22"/>
  <c r="E639" i="22"/>
  <c r="E640" i="22"/>
  <c r="E641" i="22"/>
  <c r="E642" i="22"/>
  <c r="E643" i="22"/>
  <c r="E644" i="22"/>
  <c r="E645" i="22"/>
  <c r="E646" i="22"/>
  <c r="E647" i="22"/>
  <c r="E648" i="22"/>
  <c r="E649" i="22"/>
  <c r="E650" i="22"/>
  <c r="E651" i="22"/>
  <c r="E652" i="22"/>
  <c r="E653" i="22"/>
  <c r="E654" i="22"/>
  <c r="E655" i="22"/>
  <c r="E656" i="22"/>
  <c r="E657" i="22"/>
  <c r="E658" i="22"/>
  <c r="E659" i="22"/>
  <c r="E660" i="22"/>
  <c r="E661" i="22"/>
  <c r="E662" i="22"/>
  <c r="E663" i="22"/>
  <c r="E664" i="22"/>
  <c r="E665" i="22"/>
  <c r="E666" i="22"/>
  <c r="E667" i="22"/>
  <c r="E668" i="22"/>
  <c r="E669" i="22"/>
  <c r="E670" i="22"/>
  <c r="E671" i="22"/>
  <c r="E672" i="22"/>
  <c r="E673" i="22"/>
  <c r="E674" i="22"/>
  <c r="E675" i="22"/>
  <c r="E676" i="22"/>
  <c r="E677" i="22"/>
  <c r="E678" i="22"/>
  <c r="E679" i="22"/>
  <c r="E680" i="22"/>
  <c r="E681" i="22"/>
  <c r="E682" i="22"/>
  <c r="E683" i="22"/>
  <c r="E684" i="22"/>
  <c r="E685" i="22"/>
  <c r="E686" i="22"/>
  <c r="E687" i="22"/>
  <c r="E688" i="22"/>
  <c r="E689" i="22"/>
  <c r="E690" i="22"/>
  <c r="E691" i="22"/>
  <c r="E692" i="22"/>
  <c r="E693" i="22"/>
  <c r="E694" i="22"/>
  <c r="E695" i="22"/>
  <c r="E696" i="22"/>
  <c r="E697" i="22"/>
  <c r="E698" i="22"/>
  <c r="E699" i="22"/>
  <c r="E700" i="22"/>
  <c r="E701" i="22"/>
  <c r="E702" i="22"/>
  <c r="E703" i="22"/>
  <c r="E704" i="22"/>
  <c r="E705" i="22"/>
  <c r="E706" i="22"/>
  <c r="E707" i="22"/>
  <c r="E708" i="22"/>
  <c r="E709" i="22"/>
  <c r="E710" i="22"/>
  <c r="E711" i="22"/>
  <c r="E712" i="22"/>
  <c r="E713" i="22"/>
  <c r="E714" i="22"/>
  <c r="E715" i="22"/>
  <c r="E716" i="22"/>
  <c r="E717" i="22"/>
  <c r="F576" i="22"/>
  <c r="F577" i="22"/>
  <c r="F578" i="22"/>
  <c r="F579" i="22"/>
  <c r="F580" i="22"/>
  <c r="F581" i="22"/>
  <c r="F582" i="22"/>
  <c r="F583" i="22"/>
  <c r="F584" i="22"/>
  <c r="F585" i="22"/>
  <c r="F586" i="22"/>
  <c r="F587" i="22"/>
  <c r="F588" i="22"/>
  <c r="F589" i="22"/>
  <c r="F590" i="22"/>
  <c r="F591" i="22"/>
  <c r="F592" i="22"/>
  <c r="F593" i="22"/>
  <c r="F594" i="22"/>
  <c r="F595" i="22"/>
  <c r="F596" i="22"/>
  <c r="F597" i="22"/>
  <c r="F598" i="22"/>
  <c r="F599" i="22"/>
  <c r="F600" i="22"/>
  <c r="F601" i="22"/>
  <c r="F602" i="22"/>
  <c r="F603" i="22"/>
  <c r="F604" i="22"/>
  <c r="F605" i="22"/>
  <c r="F606" i="22"/>
  <c r="F607" i="22"/>
  <c r="F608" i="22"/>
  <c r="F609" i="22"/>
  <c r="F610" i="22"/>
  <c r="F611" i="22"/>
  <c r="F612" i="22"/>
  <c r="F613" i="22"/>
  <c r="F614" i="22"/>
  <c r="F615" i="22"/>
  <c r="F616" i="22"/>
  <c r="F617" i="22"/>
  <c r="F618" i="22"/>
  <c r="F619" i="22"/>
  <c r="F620" i="22"/>
  <c r="F621" i="22"/>
  <c r="F622" i="22"/>
  <c r="F623" i="22"/>
  <c r="F624" i="22"/>
  <c r="F625" i="22"/>
  <c r="F626" i="22"/>
  <c r="F627" i="22"/>
  <c r="F628" i="22"/>
  <c r="F629" i="22"/>
  <c r="F630" i="22"/>
  <c r="F631" i="22"/>
  <c r="F632" i="22"/>
  <c r="F633" i="22"/>
  <c r="F634" i="22"/>
  <c r="F635" i="22"/>
  <c r="F636" i="22"/>
  <c r="F637" i="22"/>
  <c r="F638" i="22"/>
  <c r="F639" i="22"/>
  <c r="F640" i="22"/>
  <c r="F641" i="22"/>
  <c r="F642" i="22"/>
  <c r="F643" i="22"/>
  <c r="F644" i="22"/>
  <c r="F645" i="22"/>
  <c r="F646" i="22"/>
  <c r="F647" i="22"/>
  <c r="F648" i="22"/>
  <c r="F649" i="22"/>
  <c r="F650" i="22"/>
  <c r="F651" i="22"/>
  <c r="F652" i="22"/>
  <c r="F653" i="22"/>
  <c r="F654" i="22"/>
  <c r="F655" i="22"/>
  <c r="F656" i="22"/>
  <c r="F657" i="22"/>
  <c r="F658" i="22"/>
  <c r="F659" i="22"/>
  <c r="F660" i="22"/>
  <c r="F661" i="22"/>
  <c r="F662" i="22"/>
  <c r="F663" i="22"/>
  <c r="F664" i="22"/>
  <c r="F665" i="22"/>
  <c r="F666" i="22"/>
  <c r="F667" i="22"/>
  <c r="F668" i="22"/>
  <c r="F669" i="22"/>
  <c r="F670" i="22"/>
  <c r="F671" i="22"/>
  <c r="F672" i="22"/>
  <c r="F673" i="22"/>
  <c r="F674" i="22"/>
  <c r="F675" i="22"/>
  <c r="F676" i="22"/>
  <c r="F677" i="22"/>
  <c r="F678" i="22"/>
  <c r="F679" i="22"/>
  <c r="F680" i="22"/>
  <c r="F681" i="22"/>
  <c r="F682" i="22"/>
  <c r="F683" i="22"/>
  <c r="F684" i="22"/>
  <c r="F685" i="22"/>
  <c r="F686" i="22"/>
  <c r="F687" i="22"/>
  <c r="F688" i="22"/>
  <c r="F689" i="22"/>
  <c r="F690" i="22"/>
  <c r="F691" i="22"/>
  <c r="F692" i="22"/>
  <c r="F693" i="22"/>
  <c r="F694" i="22"/>
  <c r="F695" i="22"/>
  <c r="F696" i="22"/>
  <c r="F697" i="22"/>
  <c r="F698" i="22"/>
  <c r="F699" i="22"/>
  <c r="F700" i="22"/>
  <c r="F701" i="22"/>
  <c r="F702" i="22"/>
  <c r="F703" i="22"/>
  <c r="F704" i="22"/>
  <c r="F705" i="22"/>
  <c r="F706" i="22"/>
  <c r="F707" i="22"/>
  <c r="F708" i="22"/>
  <c r="F709" i="22"/>
  <c r="F710" i="22"/>
  <c r="F711" i="22"/>
  <c r="F712" i="22"/>
  <c r="F713" i="22"/>
  <c r="F714" i="22"/>
  <c r="F715" i="22"/>
  <c r="F716" i="22"/>
  <c r="F717" i="22"/>
  <c r="D200" i="19"/>
  <c r="D201" i="19"/>
  <c r="D198" i="19"/>
  <c r="D199" i="19"/>
  <c r="D197" i="19"/>
  <c r="D186" i="19"/>
  <c r="D187" i="19"/>
  <c r="D188" i="19"/>
  <c r="D189" i="19"/>
  <c r="D196" i="19"/>
  <c r="D194" i="19"/>
  <c r="D193" i="19"/>
  <c r="D192" i="19"/>
  <c r="D190" i="19"/>
  <c r="D202" i="19"/>
  <c r="D191" i="19"/>
  <c r="D195" i="19"/>
  <c r="D203" i="19"/>
  <c r="D577" i="19"/>
  <c r="D565" i="19"/>
  <c r="D559" i="19"/>
  <c r="D568" i="19"/>
  <c r="D570" i="19"/>
  <c r="D566" i="19"/>
  <c r="D569" i="19"/>
  <c r="D590" i="19"/>
  <c r="D567" i="19"/>
  <c r="D562" i="19"/>
  <c r="D604" i="19"/>
  <c r="D582" i="19"/>
  <c r="D544" i="19"/>
  <c r="D547" i="19"/>
  <c r="D548" i="19"/>
  <c r="D589" i="19"/>
  <c r="D597" i="19"/>
  <c r="D595" i="19"/>
  <c r="D557" i="19"/>
  <c r="D578" i="19"/>
  <c r="D580" i="19"/>
  <c r="D579" i="19"/>
  <c r="D573" i="19"/>
  <c r="D541" i="19"/>
  <c r="D601" i="19"/>
  <c r="D574" i="19"/>
  <c r="D599" i="19"/>
  <c r="D602" i="19"/>
  <c r="D583" i="19"/>
  <c r="D596" i="19"/>
  <c r="D539" i="19"/>
  <c r="D572" i="19"/>
  <c r="D546" i="19"/>
  <c r="D545" i="19"/>
  <c r="D550" i="19"/>
  <c r="D591" i="19"/>
  <c r="D543" i="19"/>
  <c r="D593" i="19"/>
  <c r="D564" i="19"/>
  <c r="D542" i="19"/>
  <c r="D563" i="19"/>
  <c r="D551" i="19"/>
  <c r="D584" i="19"/>
  <c r="D607" i="19"/>
  <c r="D555" i="19"/>
  <c r="D556" i="19"/>
  <c r="D603" i="19"/>
  <c r="D540" i="19"/>
  <c r="D575" i="19"/>
  <c r="D592" i="19"/>
  <c r="D608" i="19"/>
  <c r="D576" i="19"/>
  <c r="D605" i="19"/>
  <c r="D606" i="19"/>
  <c r="D585" i="19"/>
  <c r="D586" i="19"/>
  <c r="D587" i="19"/>
  <c r="D588" i="19"/>
  <c r="D581" i="19"/>
  <c r="D553" i="19"/>
  <c r="D554" i="19"/>
  <c r="D552" i="19"/>
  <c r="D549" i="19"/>
  <c r="D560" i="19"/>
  <c r="D561" i="19"/>
  <c r="D594" i="19"/>
  <c r="D609" i="19"/>
  <c r="D571" i="19"/>
  <c r="D598" i="19"/>
  <c r="D600" i="19"/>
  <c r="D558" i="19"/>
  <c r="D151" i="19"/>
  <c r="D150" i="19"/>
  <c r="D167" i="19"/>
  <c r="D145" i="19"/>
  <c r="D168" i="19"/>
  <c r="D154" i="19"/>
  <c r="D157" i="19"/>
  <c r="D158" i="19"/>
  <c r="D156" i="19"/>
  <c r="D152" i="19"/>
  <c r="D153" i="19"/>
  <c r="D155" i="19"/>
  <c r="D171" i="19"/>
  <c r="D162" i="19"/>
  <c r="D163" i="19"/>
  <c r="D161" i="19"/>
  <c r="D169" i="19"/>
  <c r="D173" i="19"/>
  <c r="D164" i="19"/>
  <c r="D181" i="19"/>
  <c r="D165" i="19"/>
  <c r="D170" i="19"/>
  <c r="D160" i="19"/>
  <c r="D159" i="19"/>
  <c r="D166" i="19"/>
  <c r="D182" i="19"/>
  <c r="D185" i="19"/>
  <c r="D183" i="19"/>
  <c r="D178" i="19"/>
  <c r="D176" i="19"/>
  <c r="D177" i="19"/>
  <c r="D174" i="19"/>
  <c r="D180" i="19"/>
  <c r="D179" i="19"/>
  <c r="D175" i="19"/>
  <c r="D184" i="19"/>
  <c r="D141" i="19"/>
  <c r="D148" i="19"/>
  <c r="D146" i="19"/>
  <c r="D149" i="19"/>
  <c r="D147" i="19"/>
  <c r="D172" i="19"/>
  <c r="D142" i="19"/>
  <c r="D143" i="19"/>
  <c r="D144" i="19"/>
  <c r="D477" i="19"/>
  <c r="D479" i="19"/>
  <c r="D478" i="19"/>
  <c r="D480" i="19"/>
  <c r="D486" i="19"/>
  <c r="D485" i="19"/>
  <c r="D484" i="19"/>
  <c r="D482" i="19"/>
  <c r="D481" i="19"/>
  <c r="D483" i="19"/>
  <c r="D476" i="19"/>
  <c r="D377" i="19"/>
  <c r="D378" i="19"/>
  <c r="D375" i="19"/>
  <c r="D373" i="19"/>
  <c r="D207" i="19"/>
  <c r="D372" i="19"/>
  <c r="D374" i="19"/>
  <c r="D371" i="19"/>
  <c r="D403" i="19"/>
  <c r="D379" i="19"/>
  <c r="D402" i="19"/>
  <c r="D376" i="19"/>
  <c r="D345" i="19"/>
  <c r="D439" i="19"/>
  <c r="D431" i="19"/>
  <c r="D430" i="19"/>
  <c r="D438" i="19"/>
  <c r="D437" i="19"/>
  <c r="D427" i="19"/>
  <c r="D440" i="19"/>
  <c r="D435" i="19"/>
  <c r="D429" i="19"/>
  <c r="D441" i="19"/>
  <c r="D442" i="19"/>
  <c r="D434" i="19"/>
  <c r="D432" i="19"/>
  <c r="D433" i="19"/>
  <c r="D428" i="19"/>
  <c r="D436" i="19"/>
  <c r="D426" i="19"/>
  <c r="D242" i="19"/>
  <c r="D255" i="19"/>
  <c r="D257" i="19"/>
  <c r="D258" i="19"/>
  <c r="D260" i="19"/>
  <c r="D232" i="19"/>
  <c r="D240" i="19"/>
  <c r="D239" i="19"/>
  <c r="D238" i="19"/>
  <c r="D237" i="19"/>
  <c r="D247" i="19"/>
  <c r="D251" i="19"/>
  <c r="D250" i="19"/>
  <c r="D233" i="19"/>
  <c r="D243" i="19"/>
  <c r="D246" i="19"/>
  <c r="D241" i="19"/>
  <c r="D244" i="19"/>
  <c r="D253" i="19"/>
  <c r="D254" i="19"/>
  <c r="D252" i="19"/>
  <c r="D245" i="19"/>
  <c r="D235" i="19"/>
  <c r="D234" i="19"/>
  <c r="D259" i="19"/>
  <c r="D261" i="19"/>
  <c r="D236" i="19"/>
  <c r="D262" i="19"/>
  <c r="D249" i="19"/>
  <c r="D256" i="19"/>
  <c r="D248" i="19"/>
  <c r="D229" i="19"/>
  <c r="D226" i="19"/>
  <c r="D225" i="19"/>
  <c r="D230" i="19"/>
  <c r="D224" i="19"/>
  <c r="D227" i="19"/>
  <c r="D228" i="19"/>
  <c r="D215" i="19"/>
  <c r="D213" i="19"/>
  <c r="D212" i="19"/>
  <c r="D218" i="19"/>
  <c r="D219" i="19"/>
  <c r="D216" i="19"/>
  <c r="D217" i="19"/>
  <c r="D222" i="19"/>
  <c r="D221" i="19"/>
  <c r="D220" i="19"/>
  <c r="D223" i="19"/>
  <c r="D211" i="19"/>
  <c r="D214" i="19"/>
  <c r="D210" i="19"/>
  <c r="D208" i="19"/>
  <c r="D285" i="19"/>
  <c r="D295" i="19"/>
  <c r="D287" i="19"/>
  <c r="D288" i="19"/>
  <c r="D286" i="19"/>
  <c r="D289" i="19"/>
  <c r="D290" i="19"/>
  <c r="D291" i="19"/>
  <c r="D292" i="19"/>
  <c r="D293" i="19"/>
  <c r="D294" i="19"/>
  <c r="D283" i="19"/>
  <c r="D284" i="19"/>
  <c r="D276" i="19"/>
  <c r="D279" i="19"/>
  <c r="D274" i="19"/>
  <c r="D278" i="19"/>
  <c r="D277" i="19"/>
  <c r="D275" i="19"/>
  <c r="D281" i="19"/>
  <c r="D282" i="19"/>
  <c r="D280" i="19"/>
  <c r="D396" i="19"/>
  <c r="D397" i="19"/>
  <c r="D395" i="19"/>
  <c r="D322" i="19"/>
  <c r="D324" i="19"/>
  <c r="D321" i="19"/>
  <c r="D327" i="19"/>
  <c r="D326" i="19"/>
  <c r="D328" i="19"/>
  <c r="D394" i="19"/>
  <c r="D385" i="19"/>
  <c r="D347" i="19"/>
  <c r="D355" i="19"/>
  <c r="D266" i="19"/>
  <c r="D408" i="19"/>
  <c r="D405" i="19"/>
  <c r="D404" i="19"/>
  <c r="D406" i="19"/>
  <c r="D305" i="19"/>
  <c r="D338" i="19"/>
  <c r="D409" i="19"/>
  <c r="D351" i="19"/>
  <c r="D337" i="19"/>
  <c r="D353" i="19"/>
  <c r="D352" i="19"/>
  <c r="D349" i="19"/>
  <c r="D471" i="19"/>
  <c r="D472" i="19"/>
  <c r="D466" i="19"/>
  <c r="D392" i="19"/>
  <c r="D339" i="19"/>
  <c r="D450" i="19"/>
  <c r="D299" i="19"/>
  <c r="D263" i="19"/>
  <c r="D296" i="19"/>
  <c r="D401" i="19"/>
  <c r="D455" i="19"/>
  <c r="D454" i="19"/>
  <c r="D363" i="19"/>
  <c r="D308" i="19"/>
  <c r="D407" i="19"/>
  <c r="D444" i="19"/>
  <c r="D364" i="19"/>
  <c r="D425" i="19"/>
  <c r="D309" i="19"/>
  <c r="D318" i="19"/>
  <c r="D317" i="19"/>
  <c r="D343" i="19"/>
  <c r="D312" i="19"/>
  <c r="D319" i="19"/>
  <c r="D311" i="19"/>
  <c r="D310" i="19"/>
  <c r="D313" i="19"/>
  <c r="D272" i="19"/>
  <c r="D297" i="19"/>
  <c r="D369" i="19"/>
  <c r="D368" i="19"/>
  <c r="D380" i="19"/>
  <c r="D367" i="19"/>
  <c r="D316" i="19"/>
  <c r="D315" i="19"/>
  <c r="D365" i="19"/>
  <c r="D205" i="19"/>
  <c r="D344" i="19"/>
  <c r="D366" i="19"/>
  <c r="D330" i="19"/>
  <c r="D460" i="19"/>
  <c r="D463" i="19"/>
  <c r="D465" i="19"/>
  <c r="D456" i="19"/>
  <c r="D458" i="19"/>
  <c r="D461" i="19"/>
  <c r="D467" i="19"/>
  <c r="D462" i="19"/>
  <c r="D459" i="19"/>
  <c r="D340" i="19"/>
  <c r="D464" i="19"/>
  <c r="D457" i="19"/>
  <c r="D475" i="19"/>
  <c r="D449" i="19"/>
  <c r="D448" i="19"/>
  <c r="D362" i="19"/>
  <c r="D370" i="19"/>
  <c r="D415" i="19"/>
  <c r="D417" i="19"/>
  <c r="D412" i="19"/>
  <c r="D414" i="19"/>
  <c r="D413" i="19"/>
  <c r="D416" i="19"/>
  <c r="D418" i="19"/>
  <c r="D443" i="19"/>
  <c r="D341" i="19"/>
  <c r="D357" i="19"/>
  <c r="D348" i="19"/>
  <c r="D360" i="19"/>
  <c r="D314" i="19"/>
  <c r="D400" i="19"/>
  <c r="D359" i="19"/>
  <c r="D336" i="19"/>
  <c r="D398" i="19"/>
  <c r="D206" i="19"/>
  <c r="D346" i="19"/>
  <c r="D361" i="19"/>
  <c r="D381" i="19"/>
  <c r="D271" i="19"/>
  <c r="D334" i="19"/>
  <c r="D387" i="19"/>
  <c r="D452" i="19"/>
  <c r="D298" i="19"/>
  <c r="D451" i="19"/>
  <c r="D231" i="19"/>
  <c r="D469" i="19"/>
  <c r="D388" i="19"/>
  <c r="D350" i="19"/>
  <c r="D391" i="19"/>
  <c r="D354" i="19"/>
  <c r="D390" i="19"/>
  <c r="D453" i="19"/>
  <c r="D468" i="19"/>
  <c r="D273" i="19"/>
  <c r="D382" i="19"/>
  <c r="D358" i="19"/>
  <c r="D470" i="19"/>
  <c r="D383" i="19"/>
  <c r="D331" i="19"/>
  <c r="D332" i="19"/>
  <c r="D333" i="19"/>
  <c r="D335" i="19"/>
  <c r="D474" i="19"/>
  <c r="D411" i="19"/>
  <c r="D342" i="19"/>
  <c r="D204" i="19"/>
  <c r="D447" i="19"/>
  <c r="D446" i="19"/>
  <c r="D445" i="19"/>
  <c r="D270" i="19"/>
  <c r="D356" i="19"/>
  <c r="D306" i="19"/>
  <c r="D393" i="19"/>
  <c r="D386" i="19"/>
  <c r="D268" i="19"/>
  <c r="D269" i="19"/>
  <c r="D473" i="19"/>
  <c r="D325" i="19"/>
  <c r="D329" i="19"/>
  <c r="D420" i="19"/>
  <c r="D421" i="19"/>
  <c r="D389" i="19"/>
  <c r="D424" i="19"/>
  <c r="D422" i="19"/>
  <c r="D410" i="19"/>
  <c r="D423" i="19"/>
  <c r="D307" i="19"/>
  <c r="D384" i="19"/>
  <c r="D302" i="19"/>
  <c r="D303" i="19"/>
  <c r="D304" i="19"/>
  <c r="D301" i="19"/>
  <c r="D300" i="19"/>
  <c r="D209" i="19"/>
  <c r="D267" i="19"/>
  <c r="D264" i="19"/>
  <c r="D265" i="19"/>
  <c r="D399" i="19"/>
  <c r="D419" i="19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B346" i="22"/>
  <c r="B347" i="22"/>
  <c r="B348" i="22"/>
  <c r="B349" i="22"/>
  <c r="B350" i="22"/>
  <c r="B351" i="22"/>
  <c r="B352" i="22"/>
  <c r="B353" i="22"/>
  <c r="B354" i="22"/>
  <c r="B355" i="22"/>
  <c r="B356" i="22"/>
  <c r="B357" i="22"/>
  <c r="B358" i="22"/>
  <c r="B359" i="22"/>
  <c r="B360" i="22"/>
  <c r="B361" i="22"/>
  <c r="B362" i="22"/>
  <c r="B363" i="22"/>
  <c r="B364" i="22"/>
  <c r="B365" i="22"/>
  <c r="B366" i="22"/>
  <c r="B367" i="22"/>
  <c r="B368" i="22"/>
  <c r="B369" i="22"/>
  <c r="B370" i="22"/>
  <c r="B371" i="22"/>
  <c r="B372" i="22"/>
  <c r="B373" i="22"/>
  <c r="B374" i="22"/>
  <c r="B375" i="22"/>
  <c r="B376" i="22"/>
  <c r="B377" i="22"/>
  <c r="B378" i="22"/>
  <c r="B379" i="22"/>
  <c r="B380" i="22"/>
  <c r="B381" i="22"/>
  <c r="B382" i="22"/>
  <c r="B383" i="22"/>
  <c r="B384" i="22"/>
  <c r="B385" i="22"/>
  <c r="B386" i="22"/>
  <c r="B387" i="22"/>
  <c r="B388" i="22"/>
  <c r="B389" i="22"/>
  <c r="B390" i="22"/>
  <c r="B391" i="22"/>
  <c r="B392" i="22"/>
  <c r="B393" i="22"/>
  <c r="B394" i="22"/>
  <c r="B395" i="22"/>
  <c r="B396" i="22"/>
  <c r="B397" i="22"/>
  <c r="B398" i="22"/>
  <c r="B399" i="22"/>
  <c r="B400" i="22"/>
  <c r="B401" i="22"/>
  <c r="B402" i="22"/>
  <c r="B403" i="22"/>
  <c r="B404" i="22"/>
  <c r="B405" i="22"/>
  <c r="B406" i="22"/>
  <c r="B407" i="22"/>
  <c r="B408" i="22"/>
  <c r="B409" i="22"/>
  <c r="B410" i="22"/>
  <c r="B411" i="22"/>
  <c r="B412" i="22"/>
  <c r="B413" i="22"/>
  <c r="B4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7" i="22"/>
  <c r="B478" i="22"/>
  <c r="B479" i="22"/>
  <c r="B480" i="22"/>
  <c r="B481" i="22"/>
  <c r="B482" i="22"/>
  <c r="B483" i="22"/>
  <c r="B484" i="22"/>
  <c r="B485" i="22"/>
  <c r="B486" i="22"/>
  <c r="B487" i="22"/>
  <c r="B488" i="22"/>
  <c r="B489" i="22"/>
  <c r="B490" i="22"/>
  <c r="B491" i="22"/>
  <c r="B492" i="22"/>
  <c r="B493" i="22"/>
  <c r="B494" i="22"/>
  <c r="B495" i="22"/>
  <c r="B496" i="22"/>
  <c r="B497" i="22"/>
  <c r="B498" i="22"/>
  <c r="B499" i="22"/>
  <c r="B500" i="22"/>
  <c r="B501" i="22"/>
  <c r="B502" i="22"/>
  <c r="B503" i="22"/>
  <c r="B504" i="22"/>
  <c r="B505" i="22"/>
  <c r="B506" i="22"/>
  <c r="B507" i="22"/>
  <c r="B508" i="22"/>
  <c r="B509" i="22"/>
  <c r="B510" i="22"/>
  <c r="B511" i="22"/>
  <c r="B512" i="22"/>
  <c r="B513" i="22"/>
  <c r="B514" i="22"/>
  <c r="B515" i="22"/>
  <c r="B516" i="22"/>
  <c r="B517" i="22"/>
  <c r="B518" i="22"/>
  <c r="B519" i="22"/>
  <c r="B520" i="22"/>
  <c r="B521" i="22"/>
  <c r="B522" i="22"/>
  <c r="B523" i="22"/>
  <c r="B524" i="22"/>
  <c r="B525" i="22"/>
  <c r="B526" i="22"/>
  <c r="B527" i="22"/>
  <c r="B528" i="22"/>
  <c r="B529" i="22"/>
  <c r="B530" i="22"/>
  <c r="B531" i="22"/>
  <c r="B532" i="22"/>
  <c r="B533" i="22"/>
  <c r="B534" i="22"/>
  <c r="B535" i="22"/>
  <c r="B536" i="22"/>
  <c r="B537" i="22"/>
  <c r="B538" i="22"/>
  <c r="B539" i="22"/>
  <c r="B540" i="22"/>
  <c r="B541" i="22"/>
  <c r="B542" i="22"/>
  <c r="B543" i="22"/>
  <c r="B544" i="22"/>
  <c r="B545" i="22"/>
  <c r="B546" i="22"/>
  <c r="B547" i="22"/>
  <c r="B548" i="22"/>
  <c r="B549" i="22"/>
  <c r="B550" i="22"/>
  <c r="B551" i="22"/>
  <c r="B552" i="22"/>
  <c r="B553" i="22"/>
  <c r="B554" i="22"/>
  <c r="B555" i="22"/>
  <c r="B556" i="22"/>
  <c r="B557" i="22"/>
  <c r="B558" i="22"/>
  <c r="B559" i="22"/>
  <c r="B560" i="22"/>
  <c r="B561" i="22"/>
  <c r="B562" i="22"/>
  <c r="B563" i="22"/>
  <c r="B564" i="22"/>
  <c r="B565" i="22"/>
  <c r="B566" i="22"/>
  <c r="B567" i="22"/>
  <c r="B568" i="22"/>
  <c r="B569" i="22"/>
  <c r="B570" i="22"/>
  <c r="B571" i="22"/>
  <c r="B572" i="22"/>
  <c r="B573" i="22"/>
  <c r="B574" i="22"/>
  <c r="B575" i="22"/>
  <c r="C124" i="22"/>
  <c r="C125" i="22"/>
  <c r="C126" i="22"/>
  <c r="C127" i="22"/>
  <c r="C128" i="22"/>
  <c r="C129" i="22"/>
  <c r="C130" i="22"/>
  <c r="C131" i="22"/>
  <c r="C132" i="22"/>
  <c r="C133" i="22"/>
  <c r="C134" i="22"/>
  <c r="C135" i="22"/>
  <c r="C136" i="22"/>
  <c r="C137" i="22"/>
  <c r="C138" i="22"/>
  <c r="C139" i="22"/>
  <c r="C140" i="22"/>
  <c r="C141" i="22"/>
  <c r="C142" i="22"/>
  <c r="C143" i="22"/>
  <c r="C144" i="22"/>
  <c r="C145" i="22"/>
  <c r="C146" i="22"/>
  <c r="C147" i="22"/>
  <c r="C148" i="22"/>
  <c r="C149" i="22"/>
  <c r="C150" i="22"/>
  <c r="C151" i="22"/>
  <c r="C152" i="22"/>
  <c r="C153" i="22"/>
  <c r="C154" i="22"/>
  <c r="C155" i="22"/>
  <c r="C156" i="22"/>
  <c r="C157" i="22"/>
  <c r="C158" i="22"/>
  <c r="C159" i="22"/>
  <c r="C160" i="22"/>
  <c r="C161" i="22"/>
  <c r="C162" i="22"/>
  <c r="C163" i="22"/>
  <c r="C164" i="22"/>
  <c r="C165" i="22"/>
  <c r="C166" i="22"/>
  <c r="C167" i="22"/>
  <c r="C168" i="22"/>
  <c r="C169" i="22"/>
  <c r="C170" i="22"/>
  <c r="C171" i="22"/>
  <c r="C172" i="22"/>
  <c r="C173" i="22"/>
  <c r="C174" i="22"/>
  <c r="C175" i="22"/>
  <c r="C176" i="22"/>
  <c r="C177" i="22"/>
  <c r="C178" i="22"/>
  <c r="C179" i="22"/>
  <c r="C180" i="22"/>
  <c r="C181" i="22"/>
  <c r="C182" i="22"/>
  <c r="C183" i="22"/>
  <c r="C184" i="22"/>
  <c r="C185" i="22"/>
  <c r="C186" i="22"/>
  <c r="C187" i="22"/>
  <c r="C188" i="22"/>
  <c r="C189" i="22"/>
  <c r="C190" i="22"/>
  <c r="C191" i="22"/>
  <c r="C192" i="22"/>
  <c r="C193" i="22"/>
  <c r="C194" i="22"/>
  <c r="C195" i="22"/>
  <c r="C196" i="22"/>
  <c r="C197" i="22"/>
  <c r="C198" i="22"/>
  <c r="C199" i="22"/>
  <c r="C200" i="22"/>
  <c r="C201" i="22"/>
  <c r="C202" i="22"/>
  <c r="C203" i="22"/>
  <c r="C204" i="22"/>
  <c r="C205" i="22"/>
  <c r="C206" i="22"/>
  <c r="C207" i="22"/>
  <c r="C208" i="22"/>
  <c r="C209" i="22"/>
  <c r="C210" i="22"/>
  <c r="C211" i="22"/>
  <c r="C212" i="22"/>
  <c r="C213" i="22"/>
  <c r="C214" i="22"/>
  <c r="C215" i="22"/>
  <c r="C216" i="22"/>
  <c r="C217" i="22"/>
  <c r="C218" i="22"/>
  <c r="C219" i="22"/>
  <c r="C220" i="22"/>
  <c r="C221" i="22"/>
  <c r="C222" i="22"/>
  <c r="C223" i="22"/>
  <c r="C224" i="22"/>
  <c r="C225" i="22"/>
  <c r="C226" i="22"/>
  <c r="C227" i="22"/>
  <c r="C228" i="22"/>
  <c r="C229" i="22"/>
  <c r="C230" i="22"/>
  <c r="C231" i="22"/>
  <c r="C232" i="22"/>
  <c r="C233" i="22"/>
  <c r="C234" i="22"/>
  <c r="C235" i="22"/>
  <c r="C236" i="22"/>
  <c r="C237" i="22"/>
  <c r="C238" i="22"/>
  <c r="C239" i="22"/>
  <c r="C240" i="22"/>
  <c r="C241" i="22"/>
  <c r="C242" i="22"/>
  <c r="C243" i="22"/>
  <c r="C244" i="22"/>
  <c r="C245" i="22"/>
  <c r="C246" i="22"/>
  <c r="C247" i="22"/>
  <c r="C248" i="22"/>
  <c r="C249" i="22"/>
  <c r="C250" i="22"/>
  <c r="C251" i="22"/>
  <c r="C252" i="22"/>
  <c r="C253" i="22"/>
  <c r="C254" i="22"/>
  <c r="C255" i="22"/>
  <c r="C256" i="22"/>
  <c r="C257" i="22"/>
  <c r="C258" i="22"/>
  <c r="C259" i="22"/>
  <c r="C260" i="22"/>
  <c r="C261" i="22"/>
  <c r="C262" i="22"/>
  <c r="C263" i="22"/>
  <c r="C264" i="22"/>
  <c r="C265" i="22"/>
  <c r="C266" i="22"/>
  <c r="C267" i="22"/>
  <c r="C268" i="22"/>
  <c r="C269" i="22"/>
  <c r="C270" i="22"/>
  <c r="C271" i="22"/>
  <c r="C272" i="22"/>
  <c r="C273" i="22"/>
  <c r="C274" i="22"/>
  <c r="C275" i="22"/>
  <c r="C276" i="22"/>
  <c r="C277" i="22"/>
  <c r="C278" i="22"/>
  <c r="C279" i="22"/>
  <c r="C280" i="22"/>
  <c r="C281" i="22"/>
  <c r="C282" i="22"/>
  <c r="C283" i="22"/>
  <c r="C284" i="22"/>
  <c r="C285" i="22"/>
  <c r="C286" i="22"/>
  <c r="C287" i="22"/>
  <c r="C288" i="22"/>
  <c r="C289" i="22"/>
  <c r="C290" i="22"/>
  <c r="C291" i="22"/>
  <c r="C292" i="22"/>
  <c r="C293" i="22"/>
  <c r="C294" i="22"/>
  <c r="C295" i="22"/>
  <c r="C296" i="22"/>
  <c r="C297" i="22"/>
  <c r="C298" i="22"/>
  <c r="C299" i="22"/>
  <c r="C300" i="22"/>
  <c r="C301" i="22"/>
  <c r="C302" i="22"/>
  <c r="C303" i="22"/>
  <c r="C304" i="22"/>
  <c r="C305" i="22"/>
  <c r="C306" i="22"/>
  <c r="C307" i="22"/>
  <c r="C308" i="22"/>
  <c r="C309" i="22"/>
  <c r="C310" i="22"/>
  <c r="C311" i="22"/>
  <c r="C312" i="22"/>
  <c r="C313" i="22"/>
  <c r="C314" i="22"/>
  <c r="C315" i="22"/>
  <c r="C316" i="22"/>
  <c r="C317" i="22"/>
  <c r="C318" i="22"/>
  <c r="C319" i="22"/>
  <c r="C320" i="22"/>
  <c r="C321" i="22"/>
  <c r="C322" i="22"/>
  <c r="C323" i="22"/>
  <c r="C324" i="22"/>
  <c r="C325" i="22"/>
  <c r="C326" i="22"/>
  <c r="C327" i="22"/>
  <c r="C328" i="22"/>
  <c r="C329" i="22"/>
  <c r="C330" i="22"/>
  <c r="C331" i="22"/>
  <c r="C332" i="22"/>
  <c r="C333" i="22"/>
  <c r="C334" i="22"/>
  <c r="C335" i="22"/>
  <c r="C336" i="22"/>
  <c r="C337" i="22"/>
  <c r="C338" i="22"/>
  <c r="C339" i="22"/>
  <c r="C340" i="22"/>
  <c r="C341" i="22"/>
  <c r="C342" i="22"/>
  <c r="C343" i="22"/>
  <c r="C344" i="22"/>
  <c r="C345" i="22"/>
  <c r="C346" i="22"/>
  <c r="C347" i="22"/>
  <c r="C348" i="22"/>
  <c r="C349" i="22"/>
  <c r="C350" i="22"/>
  <c r="C351" i="22"/>
  <c r="C352" i="22"/>
  <c r="C353" i="22"/>
  <c r="C354" i="22"/>
  <c r="C355" i="22"/>
  <c r="C356" i="22"/>
  <c r="C357" i="22"/>
  <c r="C358" i="22"/>
  <c r="C359" i="22"/>
  <c r="C360" i="22"/>
  <c r="C361" i="22"/>
  <c r="C362" i="22"/>
  <c r="C363" i="22"/>
  <c r="C364" i="22"/>
  <c r="C365" i="22"/>
  <c r="C366" i="22"/>
  <c r="C367" i="22"/>
  <c r="C368" i="22"/>
  <c r="C369" i="22"/>
  <c r="C370" i="22"/>
  <c r="C371" i="22"/>
  <c r="C372" i="22"/>
  <c r="C373" i="22"/>
  <c r="C374" i="22"/>
  <c r="C375" i="22"/>
  <c r="C376" i="22"/>
  <c r="C377" i="22"/>
  <c r="C378" i="22"/>
  <c r="C379" i="22"/>
  <c r="C380" i="22"/>
  <c r="C381" i="22"/>
  <c r="C382" i="22"/>
  <c r="C383" i="22"/>
  <c r="C384" i="22"/>
  <c r="C385" i="22"/>
  <c r="C386" i="22"/>
  <c r="C387" i="22"/>
  <c r="C388" i="22"/>
  <c r="C389" i="22"/>
  <c r="C390" i="22"/>
  <c r="C391" i="22"/>
  <c r="C392" i="22"/>
  <c r="C393" i="22"/>
  <c r="C394" i="22"/>
  <c r="C395" i="22"/>
  <c r="C396" i="22"/>
  <c r="C397" i="22"/>
  <c r="C398" i="22"/>
  <c r="C399" i="22"/>
  <c r="C400" i="22"/>
  <c r="C401" i="22"/>
  <c r="C402" i="22"/>
  <c r="C403" i="22"/>
  <c r="C404" i="22"/>
  <c r="C405" i="22"/>
  <c r="C406" i="22"/>
  <c r="C407" i="22"/>
  <c r="C408" i="22"/>
  <c r="C409" i="22"/>
  <c r="C410" i="22"/>
  <c r="C411" i="22"/>
  <c r="C412" i="22"/>
  <c r="C413" i="22"/>
  <c r="C414" i="22"/>
  <c r="C415" i="22"/>
  <c r="C416" i="22"/>
  <c r="C417" i="22"/>
  <c r="C418" i="22"/>
  <c r="C419" i="22"/>
  <c r="C420" i="22"/>
  <c r="C421" i="22"/>
  <c r="C422" i="22"/>
  <c r="C423" i="22"/>
  <c r="C424" i="22"/>
  <c r="C425" i="22"/>
  <c r="C426" i="22"/>
  <c r="C427" i="22"/>
  <c r="C428" i="22"/>
  <c r="C429" i="22"/>
  <c r="C430" i="22"/>
  <c r="C431" i="22"/>
  <c r="C432" i="22"/>
  <c r="C433" i="22"/>
  <c r="C434" i="22"/>
  <c r="C435" i="22"/>
  <c r="C436" i="22"/>
  <c r="C437" i="22"/>
  <c r="C438" i="22"/>
  <c r="C439" i="22"/>
  <c r="C440" i="22"/>
  <c r="C441" i="22"/>
  <c r="C442" i="22"/>
  <c r="C443" i="22"/>
  <c r="C444" i="22"/>
  <c r="C445" i="22"/>
  <c r="C446" i="22"/>
  <c r="C447" i="22"/>
  <c r="C448" i="22"/>
  <c r="C449" i="22"/>
  <c r="C450" i="22"/>
  <c r="C451" i="22"/>
  <c r="C452" i="22"/>
  <c r="C453" i="22"/>
  <c r="C454" i="22"/>
  <c r="C455" i="22"/>
  <c r="C456" i="22"/>
  <c r="C457" i="22"/>
  <c r="C458" i="22"/>
  <c r="C459" i="22"/>
  <c r="C460" i="22"/>
  <c r="C461" i="22"/>
  <c r="C462" i="22"/>
  <c r="C463" i="22"/>
  <c r="C464" i="22"/>
  <c r="C465" i="22"/>
  <c r="C466" i="22"/>
  <c r="C467" i="22"/>
  <c r="C468" i="22"/>
  <c r="C469" i="22"/>
  <c r="C470" i="22"/>
  <c r="C471" i="22"/>
  <c r="C472" i="22"/>
  <c r="C473" i="22"/>
  <c r="C474" i="22"/>
  <c r="C475" i="22"/>
  <c r="C476" i="22"/>
  <c r="C477" i="22"/>
  <c r="C478" i="22"/>
  <c r="C479" i="22"/>
  <c r="C480" i="22"/>
  <c r="C481" i="22"/>
  <c r="C482" i="22"/>
  <c r="C483" i="22"/>
  <c r="C484" i="22"/>
  <c r="C485" i="22"/>
  <c r="C486" i="22"/>
  <c r="C487" i="22"/>
  <c r="C488" i="22"/>
  <c r="C489" i="22"/>
  <c r="C490" i="22"/>
  <c r="C491" i="22"/>
  <c r="C492" i="22"/>
  <c r="C493" i="22"/>
  <c r="C494" i="22"/>
  <c r="C495" i="22"/>
  <c r="C496" i="22"/>
  <c r="C497" i="22"/>
  <c r="C498" i="22"/>
  <c r="C499" i="22"/>
  <c r="C500" i="22"/>
  <c r="C501" i="22"/>
  <c r="C502" i="22"/>
  <c r="C503" i="22"/>
  <c r="C504" i="22"/>
  <c r="C505" i="22"/>
  <c r="C506" i="22"/>
  <c r="C507" i="22"/>
  <c r="C508" i="22"/>
  <c r="C509" i="22"/>
  <c r="C510" i="22"/>
  <c r="C511" i="22"/>
  <c r="C512" i="22"/>
  <c r="C513" i="22"/>
  <c r="C514" i="22"/>
  <c r="C515" i="22"/>
  <c r="C516" i="22"/>
  <c r="C517" i="22"/>
  <c r="C518" i="22"/>
  <c r="C519" i="22"/>
  <c r="C520" i="22"/>
  <c r="C521" i="22"/>
  <c r="C522" i="22"/>
  <c r="C523" i="22"/>
  <c r="C524" i="22"/>
  <c r="C525" i="22"/>
  <c r="C526" i="22"/>
  <c r="C527" i="22"/>
  <c r="C528" i="22"/>
  <c r="C529" i="22"/>
  <c r="C530" i="22"/>
  <c r="C531" i="22"/>
  <c r="C532" i="22"/>
  <c r="C533" i="22"/>
  <c r="C534" i="22"/>
  <c r="C535" i="22"/>
  <c r="C536" i="22"/>
  <c r="C537" i="22"/>
  <c r="C538" i="22"/>
  <c r="C539" i="22"/>
  <c r="C540" i="22"/>
  <c r="C541" i="22"/>
  <c r="C542" i="22"/>
  <c r="C543" i="22"/>
  <c r="C544" i="22"/>
  <c r="C545" i="22"/>
  <c r="C546" i="22"/>
  <c r="C547" i="22"/>
  <c r="C548" i="22"/>
  <c r="C549" i="22"/>
  <c r="C550" i="22"/>
  <c r="C551" i="22"/>
  <c r="C552" i="22"/>
  <c r="C553" i="22"/>
  <c r="C554" i="22"/>
  <c r="C555" i="22"/>
  <c r="C556" i="22"/>
  <c r="C557" i="22"/>
  <c r="C558" i="22"/>
  <c r="C559" i="22"/>
  <c r="C560" i="22"/>
  <c r="C561" i="22"/>
  <c r="C562" i="22"/>
  <c r="C563" i="22"/>
  <c r="C564" i="22"/>
  <c r="C565" i="22"/>
  <c r="C566" i="22"/>
  <c r="C567" i="22"/>
  <c r="C568" i="22"/>
  <c r="C569" i="22"/>
  <c r="C570" i="22"/>
  <c r="C571" i="22"/>
  <c r="C572" i="22"/>
  <c r="C573" i="22"/>
  <c r="C574" i="22"/>
  <c r="C575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1" i="22"/>
  <c r="D262" i="22"/>
  <c r="D263" i="22"/>
  <c r="D264" i="22"/>
  <c r="D265" i="22"/>
  <c r="D266" i="22"/>
  <c r="D267" i="22"/>
  <c r="D268" i="22"/>
  <c r="D269" i="22"/>
  <c r="D270" i="22"/>
  <c r="D271" i="22"/>
  <c r="D272" i="22"/>
  <c r="D273" i="22"/>
  <c r="D274" i="22"/>
  <c r="D275" i="22"/>
  <c r="D276" i="22"/>
  <c r="D277" i="22"/>
  <c r="D278" i="22"/>
  <c r="D279" i="22"/>
  <c r="D280" i="22"/>
  <c r="D281" i="22"/>
  <c r="D282" i="22"/>
  <c r="D283" i="22"/>
  <c r="D284" i="22"/>
  <c r="D285" i="22"/>
  <c r="D286" i="22"/>
  <c r="D287" i="22"/>
  <c r="D288" i="22"/>
  <c r="D289" i="22"/>
  <c r="D290" i="22"/>
  <c r="D291" i="22"/>
  <c r="D292" i="22"/>
  <c r="D293" i="22"/>
  <c r="D294" i="22"/>
  <c r="D295" i="22"/>
  <c r="D296" i="22"/>
  <c r="D297" i="22"/>
  <c r="D298" i="22"/>
  <c r="D299" i="22"/>
  <c r="D300" i="22"/>
  <c r="D301" i="22"/>
  <c r="D302" i="22"/>
  <c r="D303" i="22"/>
  <c r="D304" i="22"/>
  <c r="D305" i="22"/>
  <c r="D306" i="22"/>
  <c r="D307" i="22"/>
  <c r="D308" i="22"/>
  <c r="D309" i="22"/>
  <c r="D310" i="22"/>
  <c r="D311" i="22"/>
  <c r="D312" i="22"/>
  <c r="D313" i="22"/>
  <c r="D314" i="22"/>
  <c r="D315" i="22"/>
  <c r="D316" i="22"/>
  <c r="D317" i="22"/>
  <c r="D318" i="22"/>
  <c r="D319" i="22"/>
  <c r="D320" i="22"/>
  <c r="D321" i="22"/>
  <c r="D322" i="22"/>
  <c r="D323" i="22"/>
  <c r="D324" i="22"/>
  <c r="D325" i="22"/>
  <c r="D326" i="22"/>
  <c r="D327" i="22"/>
  <c r="D328" i="22"/>
  <c r="D329" i="22"/>
  <c r="D330" i="22"/>
  <c r="D331" i="22"/>
  <c r="D332" i="22"/>
  <c r="D333" i="22"/>
  <c r="D334" i="22"/>
  <c r="D335" i="22"/>
  <c r="D336" i="22"/>
  <c r="D337" i="22"/>
  <c r="D338" i="22"/>
  <c r="D339" i="22"/>
  <c r="D340" i="22"/>
  <c r="D341" i="22"/>
  <c r="D342" i="22"/>
  <c r="D343" i="22"/>
  <c r="D344" i="22"/>
  <c r="D345" i="22"/>
  <c r="D346" i="22"/>
  <c r="D347" i="22"/>
  <c r="D348" i="22"/>
  <c r="D349" i="22"/>
  <c r="D350" i="22"/>
  <c r="D351" i="22"/>
  <c r="D352" i="22"/>
  <c r="D353" i="22"/>
  <c r="D354" i="22"/>
  <c r="D355" i="22"/>
  <c r="D356" i="22"/>
  <c r="D357" i="22"/>
  <c r="D358" i="22"/>
  <c r="D359" i="22"/>
  <c r="D360" i="22"/>
  <c r="D361" i="22"/>
  <c r="D362" i="22"/>
  <c r="D363" i="22"/>
  <c r="D364" i="22"/>
  <c r="D365" i="22"/>
  <c r="D366" i="22"/>
  <c r="D367" i="22"/>
  <c r="D368" i="22"/>
  <c r="D369" i="22"/>
  <c r="D370" i="22"/>
  <c r="D371" i="22"/>
  <c r="D372" i="22"/>
  <c r="D373" i="22"/>
  <c r="D374" i="22"/>
  <c r="D375" i="22"/>
  <c r="D376" i="22"/>
  <c r="D377" i="22"/>
  <c r="D378" i="22"/>
  <c r="D379" i="22"/>
  <c r="D380" i="22"/>
  <c r="D381" i="22"/>
  <c r="D382" i="22"/>
  <c r="D383" i="22"/>
  <c r="D384" i="22"/>
  <c r="D385" i="22"/>
  <c r="D386" i="22"/>
  <c r="D387" i="22"/>
  <c r="D388" i="22"/>
  <c r="D389" i="22"/>
  <c r="D390" i="22"/>
  <c r="D391" i="22"/>
  <c r="D392" i="22"/>
  <c r="D393" i="22"/>
  <c r="D394" i="22"/>
  <c r="D395" i="22"/>
  <c r="D396" i="22"/>
  <c r="D397" i="22"/>
  <c r="D398" i="22"/>
  <c r="D399" i="22"/>
  <c r="D400" i="22"/>
  <c r="D401" i="22"/>
  <c r="D402" i="22"/>
  <c r="D403" i="22"/>
  <c r="D404" i="22"/>
  <c r="D405" i="22"/>
  <c r="D406" i="22"/>
  <c r="D407" i="22"/>
  <c r="D408" i="22"/>
  <c r="D409" i="22"/>
  <c r="D410" i="22"/>
  <c r="D411" i="22"/>
  <c r="D412" i="22"/>
  <c r="D413" i="22"/>
  <c r="D414" i="22"/>
  <c r="D415" i="22"/>
  <c r="D416" i="22"/>
  <c r="D417" i="22"/>
  <c r="D418" i="22"/>
  <c r="D419" i="22"/>
  <c r="D420" i="22"/>
  <c r="D421" i="22"/>
  <c r="D422" i="22"/>
  <c r="D423" i="22"/>
  <c r="D424" i="22"/>
  <c r="D425" i="22"/>
  <c r="D426" i="22"/>
  <c r="D427" i="22"/>
  <c r="D428" i="22"/>
  <c r="D429" i="22"/>
  <c r="D430" i="22"/>
  <c r="D431" i="22"/>
  <c r="D432" i="22"/>
  <c r="D433" i="22"/>
  <c r="D434" i="22"/>
  <c r="D435" i="22"/>
  <c r="D436" i="22"/>
  <c r="D437" i="22"/>
  <c r="D438" i="22"/>
  <c r="D439" i="22"/>
  <c r="D440" i="22"/>
  <c r="D441" i="22"/>
  <c r="D442" i="22"/>
  <c r="D443" i="22"/>
  <c r="D444" i="22"/>
  <c r="D445" i="22"/>
  <c r="D446" i="22"/>
  <c r="D447" i="22"/>
  <c r="D448" i="22"/>
  <c r="D449" i="22"/>
  <c r="D450" i="22"/>
  <c r="D451" i="22"/>
  <c r="D452" i="22"/>
  <c r="D453" i="22"/>
  <c r="D454" i="22"/>
  <c r="D455" i="22"/>
  <c r="D456" i="22"/>
  <c r="D457" i="22"/>
  <c r="D458" i="22"/>
  <c r="D459" i="22"/>
  <c r="D460" i="22"/>
  <c r="D461" i="22"/>
  <c r="D462" i="22"/>
  <c r="D463" i="22"/>
  <c r="D464" i="22"/>
  <c r="D465" i="22"/>
  <c r="D466" i="22"/>
  <c r="D467" i="22"/>
  <c r="D468" i="22"/>
  <c r="D469" i="22"/>
  <c r="D470" i="22"/>
  <c r="D471" i="22"/>
  <c r="D472" i="22"/>
  <c r="D473" i="22"/>
  <c r="D474" i="22"/>
  <c r="D475" i="22"/>
  <c r="D476" i="22"/>
  <c r="D477" i="22"/>
  <c r="D478" i="22"/>
  <c r="D479" i="22"/>
  <c r="D480" i="22"/>
  <c r="D481" i="22"/>
  <c r="D482" i="22"/>
  <c r="D483" i="22"/>
  <c r="D484" i="22"/>
  <c r="D485" i="22"/>
  <c r="D486" i="22"/>
  <c r="D487" i="22"/>
  <c r="D488" i="22"/>
  <c r="D489" i="22"/>
  <c r="D490" i="22"/>
  <c r="D491" i="22"/>
  <c r="D492" i="22"/>
  <c r="D493" i="22"/>
  <c r="D494" i="22"/>
  <c r="D495" i="22"/>
  <c r="D496" i="22"/>
  <c r="D497" i="22"/>
  <c r="D498" i="22"/>
  <c r="D499" i="22"/>
  <c r="D500" i="22"/>
  <c r="D501" i="22"/>
  <c r="D502" i="22"/>
  <c r="D503" i="22"/>
  <c r="D504" i="22"/>
  <c r="D505" i="22"/>
  <c r="D506" i="22"/>
  <c r="D507" i="22"/>
  <c r="D508" i="22"/>
  <c r="D509" i="22"/>
  <c r="D510" i="22"/>
  <c r="D511" i="22"/>
  <c r="D512" i="22"/>
  <c r="D513" i="22"/>
  <c r="D514" i="22"/>
  <c r="D515" i="22"/>
  <c r="D516" i="22"/>
  <c r="D517" i="22"/>
  <c r="D518" i="22"/>
  <c r="D519" i="22"/>
  <c r="D520" i="22"/>
  <c r="D521" i="22"/>
  <c r="D522" i="22"/>
  <c r="D523" i="22"/>
  <c r="D524" i="22"/>
  <c r="D525" i="22"/>
  <c r="D526" i="22"/>
  <c r="D527" i="22"/>
  <c r="D528" i="22"/>
  <c r="D529" i="22"/>
  <c r="D530" i="22"/>
  <c r="D531" i="22"/>
  <c r="D532" i="22"/>
  <c r="D533" i="22"/>
  <c r="D534" i="22"/>
  <c r="D535" i="22"/>
  <c r="D536" i="22"/>
  <c r="D537" i="22"/>
  <c r="D538" i="22"/>
  <c r="D539" i="22"/>
  <c r="D540" i="22"/>
  <c r="D541" i="22"/>
  <c r="D542" i="22"/>
  <c r="D543" i="22"/>
  <c r="D544" i="22"/>
  <c r="D545" i="22"/>
  <c r="D546" i="22"/>
  <c r="D547" i="22"/>
  <c r="D548" i="22"/>
  <c r="D549" i="22"/>
  <c r="D550" i="22"/>
  <c r="D551" i="22"/>
  <c r="D552" i="22"/>
  <c r="D553" i="22"/>
  <c r="D554" i="22"/>
  <c r="D555" i="22"/>
  <c r="D556" i="22"/>
  <c r="D557" i="22"/>
  <c r="D558" i="22"/>
  <c r="D559" i="22"/>
  <c r="D560" i="22"/>
  <c r="D561" i="22"/>
  <c r="D562" i="22"/>
  <c r="D563" i="22"/>
  <c r="D564" i="22"/>
  <c r="D565" i="22"/>
  <c r="D566" i="22"/>
  <c r="D567" i="22"/>
  <c r="D568" i="22"/>
  <c r="D569" i="22"/>
  <c r="D570" i="22"/>
  <c r="D571" i="22"/>
  <c r="D572" i="22"/>
  <c r="D573" i="22"/>
  <c r="D574" i="22"/>
  <c r="D575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E346" i="22"/>
  <c r="E347" i="22"/>
  <c r="E348" i="22"/>
  <c r="E349" i="22"/>
  <c r="E350" i="22"/>
  <c r="E351" i="22"/>
  <c r="E352" i="22"/>
  <c r="E353" i="22"/>
  <c r="E354" i="22"/>
  <c r="E355" i="22"/>
  <c r="E356" i="22"/>
  <c r="E357" i="22"/>
  <c r="E358" i="22"/>
  <c r="E359" i="22"/>
  <c r="E360" i="22"/>
  <c r="E361" i="22"/>
  <c r="E362" i="22"/>
  <c r="E363" i="22"/>
  <c r="E364" i="22"/>
  <c r="E365" i="22"/>
  <c r="E366" i="22"/>
  <c r="E367" i="22"/>
  <c r="E368" i="22"/>
  <c r="E369" i="22"/>
  <c r="E370" i="22"/>
  <c r="E371" i="22"/>
  <c r="E372" i="22"/>
  <c r="E373" i="22"/>
  <c r="E374" i="22"/>
  <c r="E375" i="22"/>
  <c r="E376" i="22"/>
  <c r="E377" i="22"/>
  <c r="E378" i="22"/>
  <c r="E379" i="22"/>
  <c r="E380" i="22"/>
  <c r="E381" i="22"/>
  <c r="E382" i="22"/>
  <c r="E383" i="22"/>
  <c r="E384" i="22"/>
  <c r="E385" i="22"/>
  <c r="E386" i="22"/>
  <c r="E387" i="22"/>
  <c r="E388" i="22"/>
  <c r="E389" i="22"/>
  <c r="E390" i="22"/>
  <c r="E391" i="22"/>
  <c r="E392" i="22"/>
  <c r="E393" i="22"/>
  <c r="E394" i="22"/>
  <c r="E395" i="22"/>
  <c r="E396" i="22"/>
  <c r="E397" i="22"/>
  <c r="E398" i="22"/>
  <c r="E399" i="22"/>
  <c r="E400" i="22"/>
  <c r="E401" i="22"/>
  <c r="E402" i="22"/>
  <c r="E403" i="22"/>
  <c r="E404" i="22"/>
  <c r="E405" i="22"/>
  <c r="E406" i="22"/>
  <c r="E407" i="22"/>
  <c r="E408" i="22"/>
  <c r="E409" i="22"/>
  <c r="E410" i="22"/>
  <c r="E411" i="22"/>
  <c r="E412" i="22"/>
  <c r="E413" i="22"/>
  <c r="E414" i="22"/>
  <c r="E415" i="22"/>
  <c r="E416" i="22"/>
  <c r="E417" i="22"/>
  <c r="E418" i="22"/>
  <c r="E419" i="22"/>
  <c r="E420" i="22"/>
  <c r="E421" i="22"/>
  <c r="E422" i="22"/>
  <c r="E423" i="22"/>
  <c r="E424" i="22"/>
  <c r="E425" i="22"/>
  <c r="E426" i="22"/>
  <c r="E427" i="22"/>
  <c r="E428" i="22"/>
  <c r="E429" i="22"/>
  <c r="E430" i="22"/>
  <c r="E431" i="22"/>
  <c r="E432" i="22"/>
  <c r="E433" i="22"/>
  <c r="E434" i="22"/>
  <c r="E435" i="22"/>
  <c r="E436" i="22"/>
  <c r="E437" i="22"/>
  <c r="E438" i="22"/>
  <c r="E439" i="22"/>
  <c r="E440" i="22"/>
  <c r="E441" i="22"/>
  <c r="E442" i="22"/>
  <c r="E443" i="22"/>
  <c r="E444" i="22"/>
  <c r="E445" i="22"/>
  <c r="E446" i="22"/>
  <c r="E447" i="22"/>
  <c r="E448" i="22"/>
  <c r="E449" i="22"/>
  <c r="E450" i="22"/>
  <c r="E451" i="22"/>
  <c r="E452" i="22"/>
  <c r="E453" i="22"/>
  <c r="E454" i="22"/>
  <c r="E455" i="22"/>
  <c r="E456" i="22"/>
  <c r="E457" i="22"/>
  <c r="E458" i="22"/>
  <c r="E459" i="22"/>
  <c r="E460" i="22"/>
  <c r="E461" i="22"/>
  <c r="E462" i="22"/>
  <c r="E463" i="22"/>
  <c r="E464" i="22"/>
  <c r="E465" i="22"/>
  <c r="E466" i="22"/>
  <c r="E467" i="22"/>
  <c r="E468" i="22"/>
  <c r="E469" i="22"/>
  <c r="E470" i="22"/>
  <c r="E471" i="22"/>
  <c r="E472" i="22"/>
  <c r="E473" i="22"/>
  <c r="E474" i="22"/>
  <c r="E475" i="22"/>
  <c r="E476" i="22"/>
  <c r="E477" i="22"/>
  <c r="E478" i="22"/>
  <c r="E479" i="22"/>
  <c r="E480" i="22"/>
  <c r="E481" i="22"/>
  <c r="E482" i="22"/>
  <c r="E483" i="22"/>
  <c r="E484" i="22"/>
  <c r="E485" i="22"/>
  <c r="E486" i="22"/>
  <c r="E487" i="22"/>
  <c r="E488" i="22"/>
  <c r="E489" i="22"/>
  <c r="E490" i="22"/>
  <c r="E491" i="22"/>
  <c r="E492" i="22"/>
  <c r="E493" i="22"/>
  <c r="E494" i="22"/>
  <c r="E495" i="22"/>
  <c r="E496" i="22"/>
  <c r="E497" i="22"/>
  <c r="E498" i="22"/>
  <c r="E499" i="22"/>
  <c r="E500" i="22"/>
  <c r="E501" i="22"/>
  <c r="E502" i="22"/>
  <c r="E503" i="22"/>
  <c r="E504" i="22"/>
  <c r="E505" i="22"/>
  <c r="E506" i="22"/>
  <c r="E507" i="22"/>
  <c r="E508" i="22"/>
  <c r="E509" i="22"/>
  <c r="E510" i="22"/>
  <c r="E511" i="22"/>
  <c r="E512" i="22"/>
  <c r="E513" i="22"/>
  <c r="E514" i="22"/>
  <c r="E515" i="22"/>
  <c r="E516" i="22"/>
  <c r="E517" i="22"/>
  <c r="E518" i="22"/>
  <c r="E519" i="22"/>
  <c r="E520" i="22"/>
  <c r="E521" i="22"/>
  <c r="E522" i="22"/>
  <c r="E523" i="22"/>
  <c r="E524" i="22"/>
  <c r="E525" i="22"/>
  <c r="E526" i="22"/>
  <c r="E527" i="22"/>
  <c r="E528" i="22"/>
  <c r="E529" i="22"/>
  <c r="E530" i="22"/>
  <c r="E531" i="22"/>
  <c r="E532" i="22"/>
  <c r="E533" i="22"/>
  <c r="E534" i="22"/>
  <c r="E535" i="22"/>
  <c r="E536" i="22"/>
  <c r="E537" i="22"/>
  <c r="E538" i="22"/>
  <c r="E539" i="22"/>
  <c r="E540" i="22"/>
  <c r="E541" i="22"/>
  <c r="E542" i="22"/>
  <c r="E543" i="22"/>
  <c r="E544" i="22"/>
  <c r="E545" i="22"/>
  <c r="E546" i="22"/>
  <c r="E547" i="22"/>
  <c r="E548" i="22"/>
  <c r="E549" i="22"/>
  <c r="E550" i="22"/>
  <c r="E551" i="22"/>
  <c r="E552" i="22"/>
  <c r="E553" i="22"/>
  <c r="E554" i="22"/>
  <c r="E555" i="22"/>
  <c r="E556" i="22"/>
  <c r="E557" i="22"/>
  <c r="E558" i="22"/>
  <c r="E559" i="22"/>
  <c r="E560" i="22"/>
  <c r="E561" i="22"/>
  <c r="E562" i="22"/>
  <c r="E563" i="22"/>
  <c r="E564" i="22"/>
  <c r="E565" i="22"/>
  <c r="E566" i="22"/>
  <c r="E567" i="22"/>
  <c r="E568" i="22"/>
  <c r="E569" i="22"/>
  <c r="E570" i="22"/>
  <c r="E571" i="22"/>
  <c r="E572" i="22"/>
  <c r="E573" i="22"/>
  <c r="E574" i="22"/>
  <c r="E575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172" i="22"/>
  <c r="F173" i="22"/>
  <c r="F174" i="22"/>
  <c r="F175" i="22"/>
  <c r="F176" i="22"/>
  <c r="F177" i="22"/>
  <c r="F178" i="22"/>
  <c r="F179" i="22"/>
  <c r="F180" i="22"/>
  <c r="F181" i="22"/>
  <c r="F182" i="22"/>
  <c r="F183" i="22"/>
  <c r="F184" i="22"/>
  <c r="F185" i="22"/>
  <c r="F186" i="22"/>
  <c r="F187" i="22"/>
  <c r="F188" i="22"/>
  <c r="F189" i="22"/>
  <c r="F190" i="22"/>
  <c r="F191" i="22"/>
  <c r="F192" i="22"/>
  <c r="F193" i="22"/>
  <c r="F194" i="22"/>
  <c r="F195" i="22"/>
  <c r="F196" i="22"/>
  <c r="F197" i="22"/>
  <c r="F198" i="22"/>
  <c r="F199" i="22"/>
  <c r="F200" i="22"/>
  <c r="F201" i="22"/>
  <c r="F202" i="22"/>
  <c r="F203" i="22"/>
  <c r="F204" i="22"/>
  <c r="F205" i="22"/>
  <c r="F206" i="22"/>
  <c r="F207" i="22"/>
  <c r="F208" i="22"/>
  <c r="F209" i="22"/>
  <c r="F210" i="22"/>
  <c r="F211" i="22"/>
  <c r="F212" i="22"/>
  <c r="F213" i="22"/>
  <c r="F214" i="22"/>
  <c r="F215" i="22"/>
  <c r="F216" i="22"/>
  <c r="F217" i="22"/>
  <c r="F218" i="22"/>
  <c r="F219" i="22"/>
  <c r="F220" i="22"/>
  <c r="F221" i="22"/>
  <c r="F222" i="22"/>
  <c r="F223" i="22"/>
  <c r="F224" i="22"/>
  <c r="F225" i="22"/>
  <c r="F226" i="22"/>
  <c r="F227" i="22"/>
  <c r="F228" i="22"/>
  <c r="F229" i="22"/>
  <c r="F230" i="22"/>
  <c r="F231" i="22"/>
  <c r="F232" i="22"/>
  <c r="F233" i="22"/>
  <c r="F234" i="22"/>
  <c r="F235" i="22"/>
  <c r="F236" i="22"/>
  <c r="F237" i="22"/>
  <c r="F238" i="22"/>
  <c r="F239" i="22"/>
  <c r="F240" i="22"/>
  <c r="F241" i="22"/>
  <c r="F242" i="22"/>
  <c r="F243" i="22"/>
  <c r="F244" i="22"/>
  <c r="F245" i="22"/>
  <c r="F246" i="22"/>
  <c r="F247" i="22"/>
  <c r="F248" i="22"/>
  <c r="F249" i="22"/>
  <c r="F250" i="22"/>
  <c r="F251" i="22"/>
  <c r="F252" i="22"/>
  <c r="F253" i="22"/>
  <c r="F254" i="22"/>
  <c r="F255" i="22"/>
  <c r="F256" i="22"/>
  <c r="F257" i="22"/>
  <c r="F258" i="22"/>
  <c r="F259" i="22"/>
  <c r="F260" i="22"/>
  <c r="F261" i="22"/>
  <c r="F262" i="22"/>
  <c r="F263" i="22"/>
  <c r="F264" i="22"/>
  <c r="F265" i="22"/>
  <c r="F266" i="22"/>
  <c r="F267" i="22"/>
  <c r="F268" i="22"/>
  <c r="F269" i="22"/>
  <c r="F270" i="22"/>
  <c r="F271" i="22"/>
  <c r="F272" i="22"/>
  <c r="F273" i="22"/>
  <c r="F274" i="22"/>
  <c r="F275" i="22"/>
  <c r="F276" i="22"/>
  <c r="F277" i="22"/>
  <c r="F278" i="22"/>
  <c r="F279" i="22"/>
  <c r="F280" i="22"/>
  <c r="F281" i="22"/>
  <c r="F282" i="22"/>
  <c r="F283" i="22"/>
  <c r="F284" i="22"/>
  <c r="F285" i="22"/>
  <c r="F286" i="22"/>
  <c r="F287" i="22"/>
  <c r="F288" i="22"/>
  <c r="F289" i="22"/>
  <c r="F290" i="22"/>
  <c r="F291" i="22"/>
  <c r="F292" i="22"/>
  <c r="F293" i="22"/>
  <c r="F294" i="22"/>
  <c r="F295" i="22"/>
  <c r="F296" i="22"/>
  <c r="F297" i="22"/>
  <c r="F298" i="22"/>
  <c r="F299" i="22"/>
  <c r="F300" i="22"/>
  <c r="F301" i="22"/>
  <c r="F302" i="22"/>
  <c r="F303" i="22"/>
  <c r="F304" i="22"/>
  <c r="F305" i="22"/>
  <c r="F306" i="22"/>
  <c r="F307" i="22"/>
  <c r="F308" i="22"/>
  <c r="F309" i="22"/>
  <c r="F310" i="22"/>
  <c r="F311" i="22"/>
  <c r="F312" i="22"/>
  <c r="F313" i="22"/>
  <c r="F314" i="22"/>
  <c r="F315" i="22"/>
  <c r="F316" i="22"/>
  <c r="F317" i="22"/>
  <c r="F318" i="22"/>
  <c r="F319" i="22"/>
  <c r="F320" i="22"/>
  <c r="F321" i="22"/>
  <c r="F322" i="22"/>
  <c r="F323" i="22"/>
  <c r="F324" i="22"/>
  <c r="F325" i="22"/>
  <c r="F326" i="22"/>
  <c r="F327" i="22"/>
  <c r="F328" i="22"/>
  <c r="F329" i="22"/>
  <c r="F330" i="22"/>
  <c r="F331" i="22"/>
  <c r="F332" i="22"/>
  <c r="F333" i="22"/>
  <c r="F334" i="22"/>
  <c r="F335" i="22"/>
  <c r="F336" i="22"/>
  <c r="F337" i="22"/>
  <c r="F338" i="22"/>
  <c r="F339" i="22"/>
  <c r="F340" i="22"/>
  <c r="F341" i="22"/>
  <c r="F342" i="22"/>
  <c r="F343" i="22"/>
  <c r="F344" i="22"/>
  <c r="F345" i="22"/>
  <c r="F346" i="22"/>
  <c r="F347" i="22"/>
  <c r="F348" i="22"/>
  <c r="F349" i="22"/>
  <c r="F350" i="22"/>
  <c r="F351" i="22"/>
  <c r="F352" i="22"/>
  <c r="F353" i="22"/>
  <c r="F354" i="22"/>
  <c r="F355" i="22"/>
  <c r="F356" i="22"/>
  <c r="F357" i="22"/>
  <c r="F358" i="22"/>
  <c r="F359" i="22"/>
  <c r="F360" i="22"/>
  <c r="F361" i="22"/>
  <c r="F362" i="22"/>
  <c r="F363" i="22"/>
  <c r="F364" i="22"/>
  <c r="F365" i="22"/>
  <c r="F366" i="22"/>
  <c r="F367" i="22"/>
  <c r="F368" i="22"/>
  <c r="F369" i="22"/>
  <c r="F370" i="22"/>
  <c r="F371" i="22"/>
  <c r="F372" i="22"/>
  <c r="F373" i="22"/>
  <c r="F374" i="22"/>
  <c r="F375" i="22"/>
  <c r="F376" i="22"/>
  <c r="F377" i="22"/>
  <c r="F378" i="22"/>
  <c r="F379" i="22"/>
  <c r="F380" i="22"/>
  <c r="F381" i="22"/>
  <c r="F382" i="22"/>
  <c r="F383" i="22"/>
  <c r="F384" i="22"/>
  <c r="F385" i="22"/>
  <c r="F386" i="22"/>
  <c r="F387" i="22"/>
  <c r="F388" i="22"/>
  <c r="F389" i="22"/>
  <c r="F390" i="22"/>
  <c r="F391" i="22"/>
  <c r="F392" i="22"/>
  <c r="F393" i="22"/>
  <c r="F394" i="22"/>
  <c r="F395" i="22"/>
  <c r="F396" i="22"/>
  <c r="F397" i="22"/>
  <c r="F398" i="22"/>
  <c r="F399" i="22"/>
  <c r="F400" i="22"/>
  <c r="F401" i="22"/>
  <c r="F402" i="22"/>
  <c r="F403" i="22"/>
  <c r="F404" i="22"/>
  <c r="F405" i="22"/>
  <c r="F406" i="22"/>
  <c r="F407" i="22"/>
  <c r="F408" i="22"/>
  <c r="F409" i="22"/>
  <c r="F410" i="22"/>
  <c r="F411" i="22"/>
  <c r="F412" i="22"/>
  <c r="F413" i="22"/>
  <c r="F414" i="22"/>
  <c r="F415" i="22"/>
  <c r="F416" i="22"/>
  <c r="F417" i="22"/>
  <c r="F418" i="22"/>
  <c r="F419" i="22"/>
  <c r="F420" i="22"/>
  <c r="F421" i="22"/>
  <c r="F422" i="22"/>
  <c r="F423" i="22"/>
  <c r="F424" i="22"/>
  <c r="F425" i="22"/>
  <c r="F426" i="22"/>
  <c r="F427" i="22"/>
  <c r="F428" i="22"/>
  <c r="F429" i="22"/>
  <c r="F430" i="22"/>
  <c r="F431" i="22"/>
  <c r="F432" i="22"/>
  <c r="F433" i="22"/>
  <c r="F434" i="22"/>
  <c r="F435" i="22"/>
  <c r="F436" i="22"/>
  <c r="F437" i="22"/>
  <c r="F438" i="22"/>
  <c r="F439" i="22"/>
  <c r="F440" i="22"/>
  <c r="F441" i="22"/>
  <c r="F442" i="22"/>
  <c r="F443" i="22"/>
  <c r="F444" i="22"/>
  <c r="F445" i="22"/>
  <c r="F446" i="22"/>
  <c r="F447" i="22"/>
  <c r="F448" i="22"/>
  <c r="F449" i="22"/>
  <c r="F450" i="22"/>
  <c r="F451" i="22"/>
  <c r="F452" i="22"/>
  <c r="F453" i="22"/>
  <c r="F454" i="22"/>
  <c r="F455" i="22"/>
  <c r="F456" i="22"/>
  <c r="F457" i="22"/>
  <c r="F458" i="22"/>
  <c r="F459" i="22"/>
  <c r="F460" i="22"/>
  <c r="F461" i="22"/>
  <c r="F462" i="22"/>
  <c r="F463" i="22"/>
  <c r="F464" i="22"/>
  <c r="F465" i="22"/>
  <c r="F466" i="22"/>
  <c r="F467" i="22"/>
  <c r="F468" i="22"/>
  <c r="F469" i="22"/>
  <c r="F470" i="22"/>
  <c r="F471" i="22"/>
  <c r="F472" i="22"/>
  <c r="F473" i="22"/>
  <c r="F474" i="22"/>
  <c r="F475" i="22"/>
  <c r="F476" i="22"/>
  <c r="F477" i="22"/>
  <c r="F478" i="22"/>
  <c r="F479" i="22"/>
  <c r="F480" i="22"/>
  <c r="F481" i="22"/>
  <c r="F482" i="22"/>
  <c r="F483" i="22"/>
  <c r="F484" i="22"/>
  <c r="F485" i="22"/>
  <c r="F486" i="22"/>
  <c r="F487" i="22"/>
  <c r="F488" i="22"/>
  <c r="F489" i="22"/>
  <c r="F490" i="22"/>
  <c r="F491" i="22"/>
  <c r="F492" i="22"/>
  <c r="F493" i="22"/>
  <c r="F494" i="22"/>
  <c r="F495" i="22"/>
  <c r="F496" i="22"/>
  <c r="F497" i="22"/>
  <c r="F498" i="22"/>
  <c r="F499" i="22"/>
  <c r="F500" i="22"/>
  <c r="F501" i="22"/>
  <c r="F502" i="22"/>
  <c r="F503" i="22"/>
  <c r="F504" i="22"/>
  <c r="F505" i="22"/>
  <c r="F506" i="22"/>
  <c r="F507" i="22"/>
  <c r="F508" i="22"/>
  <c r="F509" i="22"/>
  <c r="F510" i="22"/>
  <c r="F511" i="22"/>
  <c r="F512" i="22"/>
  <c r="F513" i="22"/>
  <c r="F514" i="22"/>
  <c r="F515" i="22"/>
  <c r="F516" i="22"/>
  <c r="F517" i="22"/>
  <c r="F518" i="22"/>
  <c r="F519" i="22"/>
  <c r="F520" i="22"/>
  <c r="F521" i="22"/>
  <c r="F522" i="22"/>
  <c r="F523" i="22"/>
  <c r="F524" i="22"/>
  <c r="F525" i="22"/>
  <c r="F526" i="22"/>
  <c r="F527" i="22"/>
  <c r="F528" i="22"/>
  <c r="F529" i="22"/>
  <c r="F530" i="22"/>
  <c r="F531" i="22"/>
  <c r="F532" i="22"/>
  <c r="F533" i="22"/>
  <c r="F534" i="22"/>
  <c r="F535" i="22"/>
  <c r="F536" i="22"/>
  <c r="F537" i="22"/>
  <c r="F538" i="22"/>
  <c r="F539" i="22"/>
  <c r="F540" i="22"/>
  <c r="F541" i="22"/>
  <c r="F542" i="22"/>
  <c r="F543" i="22"/>
  <c r="F544" i="22"/>
  <c r="F545" i="22"/>
  <c r="F546" i="22"/>
  <c r="F547" i="22"/>
  <c r="F548" i="22"/>
  <c r="F549" i="22"/>
  <c r="F550" i="22"/>
  <c r="F551" i="22"/>
  <c r="F552" i="22"/>
  <c r="F553" i="22"/>
  <c r="F554" i="22"/>
  <c r="F555" i="22"/>
  <c r="F556" i="22"/>
  <c r="F557" i="22"/>
  <c r="F558" i="22"/>
  <c r="F559" i="22"/>
  <c r="F560" i="22"/>
  <c r="F561" i="22"/>
  <c r="F562" i="22"/>
  <c r="F563" i="22"/>
  <c r="F564" i="22"/>
  <c r="F565" i="22"/>
  <c r="F566" i="22"/>
  <c r="F567" i="22"/>
  <c r="F568" i="22"/>
  <c r="F569" i="22"/>
  <c r="F570" i="22"/>
  <c r="F571" i="22"/>
  <c r="F572" i="22"/>
  <c r="F573" i="22"/>
  <c r="F574" i="22"/>
  <c r="F575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H580" i="22" l="1"/>
  <c r="H461" i="22"/>
  <c r="H978" i="22"/>
  <c r="H562" i="22"/>
  <c r="H427" i="22"/>
  <c r="H425" i="22"/>
  <c r="H376" i="22"/>
  <c r="H364" i="22"/>
  <c r="H338" i="22"/>
  <c r="H301" i="22"/>
  <c r="H707" i="22"/>
  <c r="H696" i="22"/>
  <c r="H651" i="22"/>
  <c r="D727" i="19"/>
  <c r="D767" i="19"/>
  <c r="D630" i="19"/>
  <c r="D618" i="19"/>
  <c r="D753" i="19"/>
  <c r="D775" i="19"/>
  <c r="D669" i="19"/>
  <c r="D801" i="19"/>
  <c r="D631" i="19"/>
  <c r="D619" i="19"/>
  <c r="D758" i="19"/>
  <c r="D668" i="19"/>
  <c r="D827" i="19"/>
  <c r="D653" i="19"/>
  <c r="D659" i="19"/>
  <c r="D660" i="19"/>
  <c r="D742" i="19"/>
  <c r="D746" i="19"/>
  <c r="D748" i="19"/>
  <c r="D743" i="19"/>
  <c r="D745" i="19"/>
  <c r="D744" i="19"/>
  <c r="D828" i="19"/>
  <c r="D829" i="19"/>
  <c r="D781" i="19"/>
  <c r="D782" i="19"/>
  <c r="D632" i="19"/>
  <c r="D621" i="19"/>
  <c r="D646" i="19"/>
  <c r="D694" i="19"/>
  <c r="D684" i="19"/>
  <c r="D672" i="19"/>
  <c r="D807" i="19"/>
  <c r="D809" i="19"/>
  <c r="D763" i="19"/>
  <c r="D798" i="19"/>
  <c r="D682" i="19"/>
  <c r="D794" i="19"/>
  <c r="D777" i="19"/>
  <c r="D755" i="19"/>
  <c r="D756" i="19"/>
  <c r="D648" i="19"/>
  <c r="D780" i="19"/>
  <c r="D779" i="19"/>
  <c r="D693" i="19"/>
  <c r="D666" i="19"/>
  <c r="D772" i="19"/>
  <c r="D825" i="19"/>
  <c r="D824" i="19"/>
  <c r="D703" i="19"/>
  <c r="D661" i="19"/>
  <c r="D739" i="19"/>
  <c r="D740" i="19"/>
  <c r="D738" i="19"/>
  <c r="D826" i="19"/>
  <c r="D728" i="19"/>
  <c r="D821" i="19"/>
  <c r="D835" i="19"/>
  <c r="D784" i="19"/>
  <c r="D765" i="19"/>
  <c r="D766" i="19"/>
  <c r="D706" i="19"/>
  <c r="D705" i="19"/>
  <c r="D731" i="19"/>
  <c r="D730" i="19"/>
  <c r="D732" i="19"/>
  <c r="D683" i="19"/>
  <c r="D791" i="19"/>
  <c r="D790" i="19"/>
  <c r="D789" i="19"/>
  <c r="D719" i="19"/>
  <c r="D718" i="19"/>
  <c r="D787" i="19"/>
  <c r="D771" i="19"/>
  <c r="D637" i="19"/>
  <c r="D786" i="19"/>
  <c r="D785" i="19"/>
  <c r="D697" i="19"/>
  <c r="D674" i="19"/>
  <c r="D700" i="19"/>
  <c r="D702" i="19"/>
  <c r="D699" i="19"/>
  <c r="D701" i="19"/>
  <c r="D698" i="19"/>
  <c r="D797" i="19"/>
  <c r="D639" i="19"/>
  <c r="D673" i="19"/>
  <c r="D736" i="19"/>
  <c r="D803" i="19"/>
  <c r="D805" i="19"/>
  <c r="D804" i="19"/>
  <c r="D806" i="19"/>
  <c r="D808" i="19"/>
  <c r="D812" i="19"/>
  <c r="D813" i="19"/>
  <c r="D810" i="19"/>
  <c r="D815" i="19"/>
  <c r="D814" i="19"/>
  <c r="D817" i="19"/>
  <c r="D715" i="19"/>
  <c r="D709" i="19"/>
  <c r="D749" i="19"/>
  <c r="D820" i="19"/>
  <c r="D722" i="19"/>
  <c r="D690" i="19"/>
  <c r="D610" i="19"/>
  <c r="D686" i="19"/>
  <c r="D685" i="19"/>
  <c r="D687" i="19"/>
  <c r="D721" i="19"/>
  <c r="D720" i="19"/>
  <c r="D733" i="19"/>
  <c r="D688" i="19"/>
  <c r="D689" i="19"/>
  <c r="D716" i="19"/>
  <c r="D834" i="19"/>
  <c r="D793" i="19"/>
  <c r="D796" i="19"/>
  <c r="D795" i="19"/>
  <c r="D647" i="19"/>
  <c r="D802" i="19"/>
  <c r="D757" i="19"/>
  <c r="D761" i="19"/>
  <c r="D760" i="19"/>
  <c r="D681" i="19"/>
  <c r="D680" i="19"/>
  <c r="D662" i="19"/>
  <c r="D679" i="19"/>
  <c r="D611" i="19"/>
  <c r="D768" i="19"/>
  <c r="D837" i="19"/>
  <c r="D773" i="19"/>
  <c r="D836" i="19"/>
  <c r="D663" i="19"/>
  <c r="D622" i="19"/>
  <c r="D774" i="19"/>
  <c r="D737" i="19"/>
  <c r="D770" i="19"/>
  <c r="D643" i="19"/>
  <c r="D645" i="19"/>
  <c r="D644" i="19"/>
  <c r="D641" i="19"/>
  <c r="D642" i="19"/>
  <c r="D640" i="19"/>
  <c r="D678" i="19"/>
  <c r="D628" i="19"/>
  <c r="D624" i="19"/>
  <c r="D627" i="19"/>
  <c r="D626" i="19"/>
  <c r="D625" i="19"/>
  <c r="D635" i="19"/>
  <c r="D633" i="19"/>
  <c r="D636" i="19"/>
  <c r="D629" i="19"/>
  <c r="D634" i="19"/>
  <c r="D616" i="19"/>
  <c r="D615" i="19"/>
  <c r="D613" i="19"/>
  <c r="D614" i="19"/>
  <c r="D617" i="19"/>
  <c r="D620" i="19"/>
  <c r="D652" i="19"/>
  <c r="D657" i="19"/>
  <c r="D654" i="19"/>
  <c r="D655" i="19"/>
  <c r="D658" i="19"/>
  <c r="D656" i="19"/>
  <c r="D724" i="19"/>
  <c r="D726" i="19"/>
  <c r="D723" i="19"/>
  <c r="D725" i="19"/>
  <c r="D692" i="19"/>
  <c r="D708" i="19"/>
  <c r="D788" i="19"/>
  <c r="D792" i="19"/>
  <c r="D741" i="19"/>
  <c r="D747" i="19"/>
  <c r="D691" i="19"/>
  <c r="D783" i="19"/>
  <c r="D830" i="19"/>
  <c r="D831" i="19"/>
  <c r="D769" i="19"/>
  <c r="D696" i="19"/>
  <c r="D695" i="19"/>
  <c r="D712" i="19"/>
  <c r="D713" i="19"/>
  <c r="D714" i="19"/>
  <c r="D710" i="19"/>
  <c r="D711" i="19"/>
  <c r="D670" i="19"/>
  <c r="D833" i="19"/>
  <c r="D735" i="19"/>
  <c r="D734" i="19"/>
  <c r="D650" i="19"/>
  <c r="D649" i="19"/>
  <c r="D651" i="19"/>
  <c r="D811" i="19"/>
  <c r="D816" i="19"/>
  <c r="D638" i="19"/>
  <c r="D778" i="19"/>
  <c r="D819" i="19"/>
  <c r="D665" i="19"/>
  <c r="D664" i="19"/>
  <c r="D838" i="19"/>
  <c r="D776" i="19"/>
  <c r="D818" i="19"/>
  <c r="D822" i="19"/>
  <c r="D762" i="19"/>
  <c r="D764" i="19"/>
  <c r="D704" i="19"/>
  <c r="D823" i="19"/>
  <c r="D832" i="19"/>
  <c r="D676" i="19"/>
  <c r="D675" i="19"/>
  <c r="D677" i="19"/>
  <c r="D729" i="19"/>
  <c r="D707" i="19"/>
  <c r="D899" i="19"/>
  <c r="D896" i="19"/>
  <c r="D904" i="19"/>
  <c r="D903" i="19"/>
  <c r="D898" i="19"/>
  <c r="D885" i="19"/>
  <c r="D886" i="19"/>
  <c r="D936" i="19"/>
  <c r="D912" i="19"/>
  <c r="D933" i="19"/>
  <c r="D929" i="19"/>
  <c r="D930" i="19"/>
  <c r="D931" i="19"/>
  <c r="D932" i="19"/>
  <c r="D900" i="19"/>
  <c r="D878" i="19"/>
  <c r="D887" i="19"/>
  <c r="D880" i="19"/>
  <c r="D882" i="19"/>
  <c r="D877" i="19"/>
  <c r="D879" i="19"/>
  <c r="D913" i="19"/>
  <c r="D905" i="19"/>
  <c r="D914" i="19"/>
  <c r="D884" i="19"/>
  <c r="D937" i="19"/>
  <c r="D883" i="19"/>
  <c r="D902" i="19"/>
  <c r="D901" i="19"/>
  <c r="D897" i="19"/>
  <c r="D895" i="19"/>
  <c r="D915" i="19"/>
  <c r="D916" i="19"/>
  <c r="D924" i="19"/>
  <c r="D923" i="19"/>
  <c r="D917" i="19"/>
  <c r="D918" i="19"/>
  <c r="D919" i="19"/>
  <c r="D920" i="19"/>
  <c r="D921" i="19"/>
  <c r="D922" i="19"/>
  <c r="D927" i="19"/>
  <c r="D928" i="19"/>
  <c r="D925" i="19"/>
  <c r="D926" i="19"/>
  <c r="D943" i="19"/>
  <c r="D945" i="19"/>
  <c r="D940" i="19"/>
  <c r="D939" i="19"/>
  <c r="D938" i="19"/>
  <c r="D942" i="19"/>
  <c r="D944" i="19"/>
  <c r="D941" i="19"/>
  <c r="D906" i="19"/>
  <c r="D907" i="19"/>
  <c r="D908" i="19"/>
  <c r="D909" i="19"/>
  <c r="D911" i="19"/>
  <c r="D910" i="19"/>
  <c r="D934" i="19"/>
  <c r="D935" i="19"/>
  <c r="D890" i="19"/>
  <c r="D891" i="19"/>
  <c r="D892" i="19"/>
  <c r="D893" i="19"/>
  <c r="D894" i="19"/>
  <c r="D888" i="19"/>
  <c r="D889" i="19"/>
  <c r="D881" i="19"/>
  <c r="D972" i="19"/>
  <c r="D970" i="19"/>
  <c r="D974" i="19"/>
  <c r="D966" i="19"/>
  <c r="D973" i="19"/>
  <c r="D969" i="19"/>
  <c r="D968" i="19"/>
  <c r="D964" i="19"/>
  <c r="D967" i="19"/>
  <c r="D965" i="19"/>
  <c r="D971" i="19"/>
  <c r="D980" i="19"/>
  <c r="D981" i="19"/>
  <c r="D979" i="19"/>
  <c r="D983" i="19"/>
  <c r="D975" i="19"/>
  <c r="D976" i="19"/>
  <c r="D984" i="19"/>
  <c r="D982" i="19"/>
  <c r="D978" i="19"/>
  <c r="D977" i="19"/>
  <c r="D950" i="19"/>
  <c r="D954" i="19"/>
  <c r="D949" i="19"/>
  <c r="D956" i="19"/>
  <c r="D955" i="19"/>
  <c r="D953" i="19"/>
  <c r="D952" i="19"/>
  <c r="D951" i="19"/>
  <c r="D948" i="19"/>
  <c r="D960" i="19"/>
  <c r="D963" i="19"/>
  <c r="D958" i="19"/>
  <c r="D961" i="19"/>
  <c r="D959" i="19"/>
  <c r="D962" i="19"/>
  <c r="D957" i="19"/>
  <c r="D870" i="19"/>
  <c r="D867" i="19"/>
  <c r="D868" i="19"/>
  <c r="D860" i="19"/>
  <c r="D857" i="19"/>
  <c r="D861" i="19"/>
  <c r="D859" i="19"/>
  <c r="D856" i="19"/>
  <c r="D858" i="19"/>
  <c r="D865" i="19"/>
  <c r="D851" i="19"/>
  <c r="D863" i="19"/>
  <c r="D869" i="19"/>
  <c r="D871" i="19"/>
  <c r="D864" i="19"/>
  <c r="D873" i="19"/>
  <c r="D866" i="19"/>
  <c r="D852" i="19"/>
  <c r="D875" i="19"/>
  <c r="D874" i="19"/>
  <c r="D872" i="19"/>
  <c r="D853" i="19"/>
  <c r="D862" i="19"/>
  <c r="D855" i="19"/>
  <c r="D854" i="19"/>
  <c r="D876" i="19"/>
  <c r="D843" i="19"/>
  <c r="D849" i="19"/>
  <c r="D841" i="19"/>
  <c r="D844" i="19"/>
  <c r="D840" i="19"/>
  <c r="D846" i="19"/>
  <c r="D847" i="19"/>
  <c r="D850" i="19"/>
  <c r="D839" i="19"/>
  <c r="D842" i="19"/>
  <c r="D845" i="19"/>
  <c r="D848" i="19"/>
  <c r="D528" i="19"/>
  <c r="D516" i="19"/>
  <c r="D515" i="19"/>
  <c r="D496" i="19"/>
  <c r="D508" i="19"/>
  <c r="D495" i="19"/>
  <c r="D537" i="19"/>
  <c r="D520" i="19"/>
  <c r="D522" i="19"/>
  <c r="D519" i="19"/>
  <c r="D518" i="19"/>
  <c r="D517" i="19"/>
  <c r="D523" i="19"/>
  <c r="D521" i="19"/>
  <c r="D536" i="19"/>
  <c r="D535" i="19"/>
  <c r="D534" i="19"/>
  <c r="D492" i="19"/>
  <c r="D494" i="19"/>
  <c r="D491" i="19"/>
  <c r="D490" i="19"/>
  <c r="D488" i="19"/>
  <c r="D529" i="19"/>
  <c r="D530" i="19"/>
  <c r="D527" i="19"/>
  <c r="D526" i="19"/>
  <c r="D525" i="19"/>
  <c r="D524" i="19"/>
  <c r="D510" i="19"/>
  <c r="D509" i="19"/>
  <c r="D511" i="19"/>
  <c r="D538" i="19"/>
  <c r="D499" i="19"/>
  <c r="D500" i="19"/>
  <c r="D498" i="19"/>
  <c r="D501" i="19"/>
  <c r="D506" i="19"/>
  <c r="D507" i="19"/>
  <c r="D502" i="19"/>
  <c r="D504" i="19"/>
  <c r="D505" i="19"/>
  <c r="D503" i="19"/>
  <c r="D533" i="19"/>
  <c r="D531" i="19"/>
  <c r="D532" i="19"/>
  <c r="D514" i="19"/>
  <c r="D513" i="19"/>
  <c r="D512" i="19"/>
  <c r="D497" i="19"/>
  <c r="D947" i="19"/>
  <c r="D946" i="19"/>
  <c r="D26" i="19"/>
  <c r="D29" i="19"/>
  <c r="D32" i="19"/>
  <c r="D28" i="19"/>
  <c r="D31" i="19"/>
  <c r="D35" i="19"/>
  <c r="D7" i="19"/>
  <c r="D17" i="19"/>
  <c r="D11" i="19"/>
  <c r="D23" i="19"/>
  <c r="D985" i="19"/>
  <c r="D6" i="19"/>
  <c r="D20" i="19"/>
  <c r="D16" i="19"/>
  <c r="D13" i="19"/>
  <c r="D12" i="19"/>
  <c r="D24" i="19"/>
  <c r="D25" i="19"/>
  <c r="D18" i="19"/>
  <c r="D22" i="19"/>
  <c r="D15" i="19"/>
  <c r="D19" i="19"/>
  <c r="D10" i="19"/>
  <c r="D38" i="19"/>
  <c r="D8" i="19"/>
  <c r="D9" i="19"/>
  <c r="D36" i="19"/>
  <c r="D37" i="19"/>
  <c r="D21" i="19"/>
  <c r="D14" i="19"/>
  <c r="D30" i="19"/>
  <c r="D27" i="19"/>
  <c r="D34" i="19"/>
  <c r="D33" i="19"/>
  <c r="D84" i="19"/>
  <c r="D108" i="19"/>
  <c r="D107" i="19"/>
  <c r="D42" i="19"/>
  <c r="D41" i="19"/>
  <c r="D126" i="19"/>
  <c r="D48" i="19"/>
  <c r="D87" i="19"/>
  <c r="D88" i="19"/>
  <c r="D89" i="19"/>
  <c r="D121" i="19"/>
  <c r="D76" i="19"/>
  <c r="D56" i="19"/>
  <c r="D55" i="19"/>
  <c r="D127" i="19"/>
  <c r="D44" i="19"/>
  <c r="D123" i="19"/>
  <c r="D57" i="19"/>
  <c r="D81" i="19"/>
  <c r="D119" i="19"/>
  <c r="D120" i="19"/>
  <c r="D45" i="19"/>
  <c r="D46" i="19"/>
  <c r="D137" i="19"/>
  <c r="D125" i="19"/>
  <c r="D122" i="19"/>
  <c r="D69" i="19"/>
  <c r="D73" i="19"/>
  <c r="D106" i="19"/>
  <c r="D90" i="19"/>
  <c r="D135" i="19"/>
  <c r="D40" i="19"/>
  <c r="D98" i="19"/>
  <c r="D96" i="19"/>
  <c r="D95" i="19"/>
  <c r="D93" i="19"/>
  <c r="D60" i="19"/>
  <c r="D71" i="19"/>
  <c r="D74" i="19"/>
  <c r="D67" i="19"/>
  <c r="D66" i="19"/>
  <c r="D64" i="19"/>
  <c r="D65" i="19"/>
  <c r="D97" i="19"/>
  <c r="D128" i="19"/>
  <c r="D132" i="19"/>
  <c r="D104" i="19"/>
  <c r="D58" i="19"/>
  <c r="D138" i="19"/>
  <c r="D140" i="19"/>
  <c r="D130" i="19"/>
  <c r="D105" i="19"/>
  <c r="D131" i="19"/>
  <c r="D134" i="19"/>
  <c r="D133" i="19"/>
  <c r="D117" i="19"/>
  <c r="D54" i="19"/>
  <c r="D118" i="19"/>
  <c r="D68" i="19"/>
  <c r="D75" i="19"/>
  <c r="D129" i="19"/>
  <c r="D86" i="19"/>
  <c r="D136" i="19"/>
  <c r="D70" i="19"/>
  <c r="D43" i="19"/>
  <c r="D78" i="19"/>
  <c r="D79" i="19"/>
  <c r="D103" i="19"/>
  <c r="D77" i="19"/>
  <c r="D51" i="19"/>
  <c r="D139" i="19"/>
  <c r="D59" i="19"/>
  <c r="D49" i="19"/>
  <c r="D111" i="19"/>
  <c r="D116" i="19"/>
  <c r="D110" i="19"/>
  <c r="D115" i="19"/>
  <c r="D109" i="19"/>
  <c r="D112" i="19"/>
  <c r="D124" i="19"/>
  <c r="D94" i="19"/>
  <c r="D62" i="19"/>
  <c r="D61" i="19"/>
  <c r="D80" i="19"/>
  <c r="D85" i="19"/>
  <c r="D83" i="19"/>
  <c r="D82" i="19"/>
  <c r="D63" i="19"/>
  <c r="D100" i="19"/>
  <c r="D114" i="19"/>
  <c r="D113" i="19"/>
  <c r="D99" i="19"/>
  <c r="D91" i="19"/>
  <c r="D92" i="19"/>
  <c r="D53" i="19"/>
  <c r="D52" i="19"/>
  <c r="D50" i="19"/>
  <c r="D47" i="19"/>
  <c r="D72" i="19"/>
  <c r="D102" i="19"/>
  <c r="D101" i="19"/>
  <c r="E24" i="20"/>
  <c r="E18" i="21"/>
  <c r="E16" i="21"/>
  <c r="E17" i="21"/>
  <c r="E23" i="20"/>
  <c r="E22" i="20"/>
  <c r="E17" i="20"/>
  <c r="E18" i="20"/>
  <c r="E19" i="20"/>
  <c r="E20" i="20"/>
  <c r="E21" i="20"/>
  <c r="T16" i="22"/>
  <c r="V16" i="22" s="1"/>
  <c r="T17" i="22"/>
  <c r="U17" i="22" s="1"/>
  <c r="T18" i="22"/>
  <c r="V18" i="22" s="1"/>
  <c r="N11" i="23"/>
  <c r="AA20" i="23" s="1"/>
  <c r="M11" i="23"/>
  <c r="AA19" i="23" s="1"/>
  <c r="L11" i="23"/>
  <c r="AA18" i="23" s="1"/>
  <c r="K11" i="23"/>
  <c r="AA17" i="23" s="1"/>
  <c r="J11" i="23"/>
  <c r="AA16" i="23" s="1"/>
  <c r="I11" i="23"/>
  <c r="AA15" i="23" s="1"/>
  <c r="H11" i="23"/>
  <c r="AA14" i="23" s="1"/>
  <c r="G11" i="23"/>
  <c r="AA13" i="23" s="1"/>
  <c r="F11" i="23"/>
  <c r="AA12" i="23" s="1"/>
  <c r="E11" i="23"/>
  <c r="AA11" i="23" s="1"/>
  <c r="D11" i="23"/>
  <c r="AA10" i="23" s="1"/>
  <c r="C11" i="23"/>
  <c r="AA9" i="23" s="1"/>
  <c r="N10" i="23"/>
  <c r="Z20" i="23" s="1"/>
  <c r="M10" i="23"/>
  <c r="Z19" i="23" s="1"/>
  <c r="L10" i="23"/>
  <c r="Z18" i="23" s="1"/>
  <c r="K10" i="23"/>
  <c r="Z17" i="23" s="1"/>
  <c r="J10" i="23"/>
  <c r="Z16" i="23" s="1"/>
  <c r="I10" i="23"/>
  <c r="Z15" i="23" s="1"/>
  <c r="H10" i="23"/>
  <c r="Z14" i="23" s="1"/>
  <c r="G10" i="23"/>
  <c r="Z13" i="23" s="1"/>
  <c r="F10" i="23"/>
  <c r="Z12" i="23" s="1"/>
  <c r="Z11" i="23"/>
  <c r="D10" i="23"/>
  <c r="Z10" i="23" s="1"/>
  <c r="E16" i="20"/>
  <c r="E10" i="20"/>
  <c r="E11" i="20"/>
  <c r="E12" i="20"/>
  <c r="E13" i="20"/>
  <c r="E14" i="20"/>
  <c r="E15" i="20"/>
  <c r="E7" i="20"/>
  <c r="E8" i="20"/>
  <c r="E9" i="20"/>
  <c r="C6" i="23"/>
  <c r="H9" i="22" l="1"/>
  <c r="U16" i="22"/>
  <c r="W16" i="22" s="1"/>
  <c r="V17" i="22"/>
  <c r="W17" i="22" s="1"/>
  <c r="U18" i="22"/>
  <c r="W18" i="22" s="1"/>
  <c r="E12" i="23"/>
  <c r="D12" i="23"/>
  <c r="M12" i="23"/>
  <c r="H12" i="23"/>
  <c r="K12" i="23"/>
  <c r="L12" i="23"/>
  <c r="O11" i="23"/>
  <c r="I12" i="23"/>
  <c r="J12" i="23"/>
  <c r="N12" i="23"/>
  <c r="F12" i="23"/>
  <c r="G12" i="23"/>
  <c r="B6" i="22"/>
  <c r="D6" i="22" s="1"/>
  <c r="B7" i="22"/>
  <c r="D7" i="22" s="1"/>
  <c r="B8" i="22"/>
  <c r="D8" i="22" s="1"/>
  <c r="B9" i="22"/>
  <c r="D9" i="22" s="1"/>
  <c r="B10" i="22"/>
  <c r="D10" i="22" s="1"/>
  <c r="D752" i="19"/>
  <c r="D754" i="19"/>
  <c r="D759" i="19"/>
  <c r="D751" i="19"/>
  <c r="D799" i="19"/>
  <c r="D612" i="19"/>
  <c r="D800" i="19"/>
  <c r="D750" i="19"/>
  <c r="D623" i="19"/>
  <c r="D667" i="19"/>
  <c r="E6" i="20"/>
  <c r="E6" i="21"/>
  <c r="E7" i="21"/>
  <c r="E8" i="21"/>
  <c r="E9" i="21"/>
  <c r="E10" i="21"/>
  <c r="E11" i="21"/>
  <c r="E12" i="21"/>
  <c r="E13" i="21"/>
  <c r="E14" i="21"/>
  <c r="E15" i="21"/>
  <c r="C7" i="23" l="1"/>
  <c r="F8" i="22"/>
  <c r="T8" i="22"/>
  <c r="F6" i="22"/>
  <c r="T6" i="22"/>
  <c r="T11" i="22"/>
  <c r="T14" i="22"/>
  <c r="T13" i="22"/>
  <c r="T12" i="22"/>
  <c r="F10" i="22"/>
  <c r="T10" i="22"/>
  <c r="C7" i="22"/>
  <c r="F7" i="22"/>
  <c r="T7" i="22"/>
  <c r="T15" i="22"/>
  <c r="T9" i="22"/>
  <c r="C10" i="23"/>
  <c r="C10" i="22"/>
  <c r="C9" i="22"/>
  <c r="C8" i="22"/>
  <c r="C6" i="22"/>
  <c r="E8" i="22" l="1"/>
  <c r="E6" i="22"/>
  <c r="U13" i="22"/>
  <c r="V13" i="22"/>
  <c r="U8" i="22"/>
  <c r="V8" i="22"/>
  <c r="V11" i="22"/>
  <c r="U11" i="22"/>
  <c r="V10" i="22"/>
  <c r="U10" i="22"/>
  <c r="U15" i="22"/>
  <c r="V15" i="22"/>
  <c r="V12" i="22"/>
  <c r="U12" i="22"/>
  <c r="V6" i="22"/>
  <c r="U6" i="22"/>
  <c r="U7" i="22"/>
  <c r="V7" i="22"/>
  <c r="V9" i="22"/>
  <c r="U9" i="22"/>
  <c r="V14" i="22"/>
  <c r="U14" i="22"/>
  <c r="E9" i="22"/>
  <c r="E10" i="22"/>
  <c r="F9" i="22"/>
  <c r="H232" i="22" s="1"/>
  <c r="H7" i="22" s="1"/>
  <c r="H12" i="22" s="1"/>
  <c r="Z9" i="23"/>
  <c r="O10" i="23"/>
  <c r="C12" i="23"/>
  <c r="E7" i="22"/>
  <c r="W8" i="22" l="1"/>
  <c r="W13" i="22"/>
  <c r="W10" i="22"/>
  <c r="W9" i="22"/>
  <c r="W14" i="22"/>
  <c r="W6" i="22"/>
  <c r="W11" i="22"/>
  <c r="W12" i="22"/>
  <c r="W15" i="22"/>
  <c r="W7" i="22"/>
  <c r="O12" i="23"/>
</calcChain>
</file>

<file path=xl/sharedStrings.xml><?xml version="1.0" encoding="utf-8"?>
<sst xmlns="http://schemas.openxmlformats.org/spreadsheetml/2006/main" count="5421" uniqueCount="2030">
  <si>
    <t>PRODUCTO</t>
  </si>
  <si>
    <t>SUCURSALES</t>
  </si>
  <si>
    <t>SUCURSAL</t>
  </si>
  <si>
    <t>CODIGO</t>
  </si>
  <si>
    <t>CANTIDAD</t>
  </si>
  <si>
    <t>FECHA</t>
  </si>
  <si>
    <t>STOCK MINIMO</t>
  </si>
  <si>
    <t>INDICADOR</t>
  </si>
  <si>
    <t>SUCURSAL:</t>
  </si>
  <si>
    <t>VALOR</t>
  </si>
  <si>
    <t>PRODUCTOS</t>
  </si>
  <si>
    <t>ARTÍCULOS EN STOCK</t>
  </si>
  <si>
    <t>ENTRADAS</t>
  </si>
  <si>
    <t>SALIDAS</t>
  </si>
  <si>
    <t>TOTAL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</si>
  <si>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</si>
  <si>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</si>
  <si>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</si>
  <si>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</si>
  <si>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</si>
  <si>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</si>
  <si>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</si>
  <si>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</si>
  <si>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</si>
  <si>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</si>
  <si>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</si>
  <si>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</si>
  <si>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</si>
  <si>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COSTO_UNITARIO</t>
  </si>
  <si>
    <t>EXISTENCIA</t>
  </si>
  <si>
    <t>VALORMONETARIO</t>
  </si>
  <si>
    <t>ENLACE VIDEO DE GUÍA</t>
  </si>
  <si>
    <t>MÁS PLANTILLAS</t>
  </si>
  <si>
    <t>SERVICIO PERSONALIZADO</t>
  </si>
  <si>
    <t>CORREO SOPORTE A CLIENTES: SOPORTE@MISHOJASDECALCULO.COM</t>
  </si>
  <si>
    <t>FER-E6013-332</t>
  </si>
  <si>
    <t>Electrodo (MW-E6013-3/32)</t>
  </si>
  <si>
    <t>FER-E6013-18</t>
  </si>
  <si>
    <t>Electrodo (MW-E6013-1/8)</t>
  </si>
  <si>
    <t>FER-DISCO4-001</t>
  </si>
  <si>
    <t>Disc. De corte  4-1/2"</t>
  </si>
  <si>
    <t>FER-E7018-18</t>
  </si>
  <si>
    <t>Electrodo Reves, (E7018-1/8"*18")</t>
  </si>
  <si>
    <t>FER-C165-001</t>
  </si>
  <si>
    <t>Cinta 3M 165 (Equipamiento)</t>
  </si>
  <si>
    <t>FER-TUEPA-716</t>
  </si>
  <si>
    <t>Tuerca hexagonal pavonada 7/16"</t>
  </si>
  <si>
    <t>FER-C155-002</t>
  </si>
  <si>
    <t>Cinta 3M 155 (Aforo)</t>
  </si>
  <si>
    <t>FER-E7018-532</t>
  </si>
  <si>
    <t>Electrodo Reves, (LE7018-5/32"*18")</t>
  </si>
  <si>
    <t>FER-TORPA-716</t>
  </si>
  <si>
    <t>Tornillo hexagonal pavonado 7/16" 3 1/2"</t>
  </si>
  <si>
    <t>FER-PREF-58</t>
  </si>
  <si>
    <t>Perro reforzado 5/8"</t>
  </si>
  <si>
    <t>FER-GISSO-002</t>
  </si>
  <si>
    <t>Gis para placa de soldadura</t>
  </si>
  <si>
    <t>FER-CS33-003</t>
  </si>
  <si>
    <t>Cinta aislante Super 33</t>
  </si>
  <si>
    <t>FER-TORGA-58</t>
  </si>
  <si>
    <t>Tornillo hexagonal galvanizado 5/8" x 2 1/2"</t>
  </si>
  <si>
    <t>FER-TUEGA-58</t>
  </si>
  <si>
    <t xml:space="preserve">Tuerca hexagonal galvanizada 5/8" </t>
  </si>
  <si>
    <t>FER-E6013-1814</t>
  </si>
  <si>
    <t>Electrodo Reves, (E6013-1/8"*14")</t>
  </si>
  <si>
    <t>FER-CMAS-004</t>
  </si>
  <si>
    <t>Cinta masilla (3M)</t>
  </si>
  <si>
    <t>FER-PREF-12</t>
  </si>
  <si>
    <t>Perro reforzado 1/2"</t>
  </si>
  <si>
    <t>FER-C130C-005</t>
  </si>
  <si>
    <t>Cinta  130C</t>
  </si>
  <si>
    <t>FER-TORGA-516</t>
  </si>
  <si>
    <t>Tornillo hexagonal galvanizado 5/16 " x 1 3/4"</t>
  </si>
  <si>
    <t>FER-TUEGA-516</t>
  </si>
  <si>
    <t xml:space="preserve">Tuerca hexagonal galnaizada 5/16" </t>
  </si>
  <si>
    <t>FER-DISDE-412</t>
  </si>
  <si>
    <t>Disc. De desbaste Makita 4 1/2" *1/4"*7/8"</t>
  </si>
  <si>
    <t>FER-PREF-34</t>
  </si>
  <si>
    <t>Perro reforzado 3/4"</t>
  </si>
  <si>
    <t>FER-ALAM10-004</t>
  </si>
  <si>
    <t>Rollo alambre cal. 10</t>
  </si>
  <si>
    <t>FER-ROPPA-716</t>
  </si>
  <si>
    <t>Rondana presión pavonada 7/16"</t>
  </si>
  <si>
    <t>FER-ROESPA-716</t>
  </si>
  <si>
    <t>Rondana estructural negra 7/16</t>
  </si>
  <si>
    <t>FER-RESCEND-005</t>
  </si>
  <si>
    <t>Resina c/endurecedor</t>
  </si>
  <si>
    <t>FER-ESLFUSI-3A</t>
  </si>
  <si>
    <t>Eslabón fusible 27/15 KV 3amp</t>
  </si>
  <si>
    <t>FER-ESLFUS-15A</t>
  </si>
  <si>
    <t>Eslabón fusible 27/15 KV 15amp</t>
  </si>
  <si>
    <t>FER-ESLFUS-10A</t>
  </si>
  <si>
    <t>Eslabón fusible 27/15 KV 10amp</t>
  </si>
  <si>
    <t>FER-ESLFUS-7A</t>
  </si>
  <si>
    <t>Eslabón fusible 27/15 KV 7amp</t>
  </si>
  <si>
    <t>FER-ESLFUS-20A</t>
  </si>
  <si>
    <t>Eslabón fusible 27/15 KV 20amp</t>
  </si>
  <si>
    <t>FER-ESLFUS-5A</t>
  </si>
  <si>
    <t>Eslabón fusible 27/15 KV 5amp</t>
  </si>
  <si>
    <t>FER-AFLTO-550</t>
  </si>
  <si>
    <t>Aflojatodo 550ml</t>
  </si>
  <si>
    <t>FER-AFLTO-400</t>
  </si>
  <si>
    <t xml:space="preserve">Aflojatodo 400ml </t>
  </si>
  <si>
    <t>FER-CEP416-006</t>
  </si>
  <si>
    <t>Cepillo de alambre 4 x 16 hileras</t>
  </si>
  <si>
    <t>FER-CDUC-007</t>
  </si>
  <si>
    <t>Cinta para ducto</t>
  </si>
  <si>
    <t>FER-TORGA-38</t>
  </si>
  <si>
    <t>Tornillo hexagonal galvanizado 3/8" - 10</t>
  </si>
  <si>
    <t>FER-TUEGA-34</t>
  </si>
  <si>
    <t>Tuerca hexagonal galvanizada 3/4"</t>
  </si>
  <si>
    <t>FER-SUJMA-009</t>
  </si>
  <si>
    <t>Sujetardor con matraca 8.23m</t>
  </si>
  <si>
    <t>FER-LLACOL-9PZ</t>
  </si>
  <si>
    <t>Juego de llaves de colores 9pzs.</t>
  </si>
  <si>
    <t>FER-MARANTV-27MM</t>
  </si>
  <si>
    <t>Martillo antivibración  27mm</t>
  </si>
  <si>
    <t>FER-PINTRI-010</t>
  </si>
  <si>
    <t xml:space="preserve">Pinza de trinquete </t>
  </si>
  <si>
    <t>FER-BRO-5.5MM</t>
  </si>
  <si>
    <t>Broca 5.5mm</t>
  </si>
  <si>
    <t>FER-BRO-4.5MM</t>
  </si>
  <si>
    <t>Broca 4.5mm</t>
  </si>
  <si>
    <t>FER-DESGOL-6PZ</t>
  </si>
  <si>
    <t xml:space="preserve">Juego de  6 desarmadores de golpe (amarillos) </t>
  </si>
  <si>
    <t>FER-CADEM-4LB</t>
  </si>
  <si>
    <t>Cara demoledora 4lb</t>
  </si>
  <si>
    <t>FER-MICROAL-0.8MM</t>
  </si>
  <si>
    <t>Microalambre (SYNERGY) ((E71T-G5) Polaridad CC- 0,8mm*5KG</t>
  </si>
  <si>
    <t>FER-CAISR-006</t>
  </si>
  <si>
    <t>Cinta aislante roja</t>
  </si>
  <si>
    <t>FER-CFRAG-008</t>
  </si>
  <si>
    <t>Cinta de fragil</t>
  </si>
  <si>
    <t>FER-DISDIAZ-011</t>
  </si>
  <si>
    <t xml:space="preserve">Disco de diamante azul </t>
  </si>
  <si>
    <t>FER-DISDIAM-012</t>
  </si>
  <si>
    <t xml:space="preserve">Disco de diamante amarillo </t>
  </si>
  <si>
    <t>FER-SIELE-081</t>
  </si>
  <si>
    <t>Sierra electrica reciproca 5 seguetas (caladora)</t>
  </si>
  <si>
    <t>FER-CEPAC4-013</t>
  </si>
  <si>
    <t>Cepillo de acero 4"</t>
  </si>
  <si>
    <t>FER-CEPAC5-014</t>
  </si>
  <si>
    <t>Cepillo de acero 5"</t>
  </si>
  <si>
    <t>FER-LLAHEX-9PZ</t>
  </si>
  <si>
    <t>Llave hexágonal (juego 9pzs)</t>
  </si>
  <si>
    <t>FER-PROPL-015</t>
  </si>
  <si>
    <t xml:space="preserve">Protectores de plástico </t>
  </si>
  <si>
    <t>FER-CONCDUP-016</t>
  </si>
  <si>
    <t>Contacto C duplex</t>
  </si>
  <si>
    <t>FER-ALHIS-1L</t>
  </si>
  <si>
    <t>Alcohol isopropílico 1L</t>
  </si>
  <si>
    <t>FER-ALHIS-280ML</t>
  </si>
  <si>
    <t>Alcohol isopropílico 280ml</t>
  </si>
  <si>
    <t>FER-LIMDES-454ML</t>
  </si>
  <si>
    <t>Limpiador y desengrasante alto poder 454ml</t>
  </si>
  <si>
    <t>FER-REMPOL-660ML</t>
  </si>
  <si>
    <t>Removedor de polvo alto poder 660 ml</t>
  </si>
  <si>
    <t>FER-ESMGR-400ML</t>
  </si>
  <si>
    <t>Esmalte gris (pintura spray) 400ml</t>
  </si>
  <si>
    <t>FER-ESMAZ-400ML</t>
  </si>
  <si>
    <t>Esmalte Azul 400ml</t>
  </si>
  <si>
    <t>FER-ESMVE-400ML</t>
  </si>
  <si>
    <t>Esmalte Verde 400ml</t>
  </si>
  <si>
    <t>FER-ALCET-1L</t>
  </si>
  <si>
    <t>Alcohol etílico 1L</t>
  </si>
  <si>
    <t>FER-GISAZ-226GR</t>
  </si>
  <si>
    <t>Gis de repuesto azul 226gr</t>
  </si>
  <si>
    <t>FER-ANTICH-477GR</t>
  </si>
  <si>
    <t>Antichispa 477gr</t>
  </si>
  <si>
    <t>FER-ACEMOT-1L</t>
  </si>
  <si>
    <t>Aceite para motores de gasolina 1L</t>
  </si>
  <si>
    <t>FER-CARTGAS-27GR</t>
  </si>
  <si>
    <t>Cartucho de gas 27gr</t>
  </si>
  <si>
    <t>FER-CUCHLI-712</t>
  </si>
  <si>
    <t>Cuchillo para linoleo 7 1/2"</t>
  </si>
  <si>
    <t>FER-CUCHLI-7</t>
  </si>
  <si>
    <t>Cuchillo para linoleo 7"</t>
  </si>
  <si>
    <t>FER-JUEPUN-10PZ</t>
  </si>
  <si>
    <t>Juego de puntas de 10pzs.</t>
  </si>
  <si>
    <t>FER-JUEPUN-20PZ</t>
  </si>
  <si>
    <t xml:space="preserve">Juego de puntas de 20pzs. </t>
  </si>
  <si>
    <t>FER-FLEX5M-017</t>
  </si>
  <si>
    <t>Flexómetro 5m</t>
  </si>
  <si>
    <t>FER-FLEXAU3M-018</t>
  </si>
  <si>
    <t xml:space="preserve">Flexómetro 3m freno automático </t>
  </si>
  <si>
    <t>FER-FLEX3M-019</t>
  </si>
  <si>
    <t>Flexómetro 3m</t>
  </si>
  <si>
    <t>FER-MCEPAL7-3PZ</t>
  </si>
  <si>
    <t>Juego de minicepillos de alambre 7" 3pzs.</t>
  </si>
  <si>
    <t>FER-CAND-80MM</t>
  </si>
  <si>
    <t>Candado 80mm</t>
  </si>
  <si>
    <t>FER-CANDHI-40MM</t>
  </si>
  <si>
    <t>Candado de hierro 40mm</t>
  </si>
  <si>
    <t>FER-CANDHI-60MM</t>
  </si>
  <si>
    <t>Candado de hierro 60mm</t>
  </si>
  <si>
    <t>FER-HIPDESB-2.4MM</t>
  </si>
  <si>
    <t>Hilo redondo para desbrosadora 2.4mm</t>
  </si>
  <si>
    <t>FER-HIPDESB-2.7MM</t>
  </si>
  <si>
    <t>Hilo redondo para desobrosadora 2.7mm</t>
  </si>
  <si>
    <t>FER-CARCIR14-020</t>
  </si>
  <si>
    <t>Carda circular 1/4"</t>
  </si>
  <si>
    <t>FER-CONLAT12-021</t>
  </si>
  <si>
    <t>Conector de latón para manguera 1/2"</t>
  </si>
  <si>
    <t>FER-TOMAG-022</t>
  </si>
  <si>
    <t>Tope magnetico</t>
  </si>
  <si>
    <t>FER-CARCONT58-023</t>
  </si>
  <si>
    <t>Carda tipo conico almabre trenzado 5/8"</t>
  </si>
  <si>
    <t>FER-CARCOP234-024</t>
  </si>
  <si>
    <t xml:space="preserve">Carda de copa 2 3/4" </t>
  </si>
  <si>
    <t>FER-LITRI4-025</t>
  </si>
  <si>
    <t>Lima triangulo 4"</t>
  </si>
  <si>
    <t>FER-PINPRE-026</t>
  </si>
  <si>
    <t xml:space="preserve">Pinza de presión </t>
  </si>
  <si>
    <t>FER-LIMPLBA6-027</t>
  </si>
  <si>
    <t>Lima plana bastarda 6"</t>
  </si>
  <si>
    <t>FER-LIMESC8-028</t>
  </si>
  <si>
    <t>Lima escofina media caña 8" truper</t>
  </si>
  <si>
    <t>FER-LIMPLMU8-029</t>
  </si>
  <si>
    <t>Lima plana muza 8" truper</t>
  </si>
  <si>
    <t>FER-LIMMACH8-030</t>
  </si>
  <si>
    <t>Lima triangular p/machete 8" truper</t>
  </si>
  <si>
    <t>FER-LIMRE6-031</t>
  </si>
  <si>
    <t>Lima redonda 6" truper</t>
  </si>
  <si>
    <t>FER-CAIMREP-4PZ</t>
  </si>
  <si>
    <t>Caimanes de repuesto (paq 4)</t>
  </si>
  <si>
    <t>FER-TERPLOM-032</t>
  </si>
  <si>
    <t>Terminales de plomo para bateria pretul</t>
  </si>
  <si>
    <t>FER-PINPRECH-033</t>
  </si>
  <si>
    <t>Pinza de presión chica</t>
  </si>
  <si>
    <t>FER-ESTBRO-034</t>
  </si>
  <si>
    <t xml:space="preserve">Estuche de brocas </t>
  </si>
  <si>
    <t>FER-BRO-8MM</t>
  </si>
  <si>
    <t>Broca 8mm</t>
  </si>
  <si>
    <t>FER-BRO-6.5MM</t>
  </si>
  <si>
    <t>Broca 6.5mm</t>
  </si>
  <si>
    <t>FER-BRO-6MM</t>
  </si>
  <si>
    <t>Broca 6mm</t>
  </si>
  <si>
    <t>FER-BRO-5MM</t>
  </si>
  <si>
    <t>Broca 5mm</t>
  </si>
  <si>
    <t>FER-BRO-4MM</t>
  </si>
  <si>
    <t>Broca 4mm</t>
  </si>
  <si>
    <t>FER-BRO-3.5MM</t>
  </si>
  <si>
    <t>Broca 3.5mm</t>
  </si>
  <si>
    <t>FER-BRO-3.2MM</t>
  </si>
  <si>
    <t>Broca 3.2mm</t>
  </si>
  <si>
    <t>FER-BRO-3MM</t>
  </si>
  <si>
    <t>Broca 3mm</t>
  </si>
  <si>
    <t>FER-BRO-2.5MM</t>
  </si>
  <si>
    <t>Broca 2.5mm</t>
  </si>
  <si>
    <t>FER-BRO-2MM</t>
  </si>
  <si>
    <t>Broca 2mm</t>
  </si>
  <si>
    <t>FER-BRO-1.5MM</t>
  </si>
  <si>
    <t>Broca 1.5mm</t>
  </si>
  <si>
    <t>FER-JDESELEC-035</t>
  </si>
  <si>
    <t xml:space="preserve">Juego de desarmadores electrico </t>
  </si>
  <si>
    <t>FER-JUDESA-8PZ</t>
  </si>
  <si>
    <t>Juego de desarmadores 8pzs (5 planos, 3 cruz)</t>
  </si>
  <si>
    <t>FER-EMBGA-036</t>
  </si>
  <si>
    <t>Embudo grande</t>
  </si>
  <si>
    <t>FER-ARCCEG12-037</t>
  </si>
  <si>
    <t>Arco con cegueta 12"</t>
  </si>
  <si>
    <t>FER-HACAZ-038</t>
  </si>
  <si>
    <t xml:space="preserve">Hacha cazadora </t>
  </si>
  <si>
    <t>FER-MACH12-039</t>
  </si>
  <si>
    <t>Machete de tiro rambo 12"</t>
  </si>
  <si>
    <t>FER-ZAP7LB-040</t>
  </si>
  <si>
    <t>Zapapico 7lb</t>
  </si>
  <si>
    <t>FER-MAR20OZ-041</t>
  </si>
  <si>
    <t>Martillo 20oz</t>
  </si>
  <si>
    <t>FER-MAR6LB-042</t>
  </si>
  <si>
    <t>Marro 6lb</t>
  </si>
  <si>
    <t>FER-MAR12LB-043</t>
  </si>
  <si>
    <t>Marro 12lb</t>
  </si>
  <si>
    <t>FER-HELEV-366</t>
  </si>
  <si>
    <t>Hebilla de leva 3.66m</t>
  </si>
  <si>
    <t>FER-HELEV-823</t>
  </si>
  <si>
    <t>Hebilla de leva 8.23m</t>
  </si>
  <si>
    <t>FER-FLE58-044</t>
  </si>
  <si>
    <t xml:space="preserve">Fleje 5/8 de acero </t>
  </si>
  <si>
    <t>FER-MANG-300PSI</t>
  </si>
  <si>
    <t>Manguera A. Com. 300PSI (1/4"*100M)</t>
  </si>
  <si>
    <t>FER-MANG-250PSI</t>
  </si>
  <si>
    <t xml:space="preserve"> Carrete de Manguera A. Com. 250PSI (1/4"*750M)</t>
  </si>
  <si>
    <t>FER-INTSYEMENS-045</t>
  </si>
  <si>
    <t>Gab. De Interruptores (SYEMENS)</t>
  </si>
  <si>
    <t>FER-ACOPL-046</t>
  </si>
  <si>
    <t>Acoplador de tierras fisicas</t>
  </si>
  <si>
    <t>FER-CAISV-009</t>
  </si>
  <si>
    <t>Cinta aislante verde</t>
  </si>
  <si>
    <t>FER-CAISA-010</t>
  </si>
  <si>
    <t>Cinta aislante amarilla</t>
  </si>
  <si>
    <t>FER-CAISG-011</t>
  </si>
  <si>
    <t>Cinta aislante gris</t>
  </si>
  <si>
    <t>FER-SOEXOT-046</t>
  </si>
  <si>
    <t>soldadura exotermica</t>
  </si>
  <si>
    <t>FER-BUJGO-047</t>
  </si>
  <si>
    <t>Buje de goma</t>
  </si>
  <si>
    <t>FER-DISDE7-048</t>
  </si>
  <si>
    <t>Disc. De desvaste Makita 7" *1/4"*7/8"</t>
  </si>
  <si>
    <t>FER-DISAC14-049</t>
  </si>
  <si>
    <t>Disc. Para acero makita 14" * 1/8" *1"</t>
  </si>
  <si>
    <t>FER-DISCDIA-050</t>
  </si>
  <si>
    <t>Disco de corte diamante 4 1/2" hoteche</t>
  </si>
  <si>
    <t>FER-NIVHI3-051</t>
  </si>
  <si>
    <t xml:space="preserve">Nivel de hilo 3" </t>
  </si>
  <si>
    <t>FER-NIVTO9-052</t>
  </si>
  <si>
    <t>Nivel torpedo 9"</t>
  </si>
  <si>
    <t>FER-REGCAL-053</t>
  </si>
  <si>
    <t xml:space="preserve">Regleta Calibradora </t>
  </si>
  <si>
    <t>FER-ORGAN-17C</t>
  </si>
  <si>
    <t xml:space="preserve">Organizador reforzado 17 compartimentos </t>
  </si>
  <si>
    <t>FER-UNMAN-14</t>
  </si>
  <si>
    <t xml:space="preserve">Unión de manguera 1/4 * 1/4 </t>
  </si>
  <si>
    <t>FER-CRUZ14-054</t>
  </si>
  <si>
    <t>Cruz 1/4</t>
  </si>
  <si>
    <t>FER-ABR58-114</t>
  </si>
  <si>
    <t>Abrazadera 5/8 a 1 1/4"</t>
  </si>
  <si>
    <t>FER-CONAIR-055</t>
  </si>
  <si>
    <t xml:space="preserve">Conexión de aire </t>
  </si>
  <si>
    <t>FER-ABRCH-14</t>
  </si>
  <si>
    <t>Abrazadera chica</t>
  </si>
  <si>
    <t>FER-REBUSH14-18</t>
  </si>
  <si>
    <t>Reducción bushing 1/4 - 1/8</t>
  </si>
  <si>
    <t>FER-TROSC-056</t>
  </si>
  <si>
    <t>T Roscada</t>
  </si>
  <si>
    <t>FER-CNX18-716</t>
  </si>
  <si>
    <t>Conexión p/tanque comp 1/8 npt * 7/16 nip</t>
  </si>
  <si>
    <t>FER-ESPMACH14-14</t>
  </si>
  <si>
    <t>Espiga macho 1/4 * 1/4 espiga manguera</t>
  </si>
  <si>
    <t>FER-CORAP-14</t>
  </si>
  <si>
    <t>Conector rápido c/rosca 1/4</t>
  </si>
  <si>
    <t>FER-TAEXP-38</t>
  </si>
  <si>
    <t>Taquete expansor 3/8 (z 3/8)</t>
  </si>
  <si>
    <t>FER-TAEXP-12</t>
  </si>
  <si>
    <t>Taquete expansor 1/2" (z 1/2)</t>
  </si>
  <si>
    <t>FER-TAEXP-14</t>
  </si>
  <si>
    <t>Taquete expansor 1/4" (z 1/4)</t>
  </si>
  <si>
    <t>FER-TAEXPTR-38</t>
  </si>
  <si>
    <t>Taquete expansivo tropicalizado 1/4" x 2 1/2" (3/8)</t>
  </si>
  <si>
    <t>FER-TAEXPTR-12</t>
  </si>
  <si>
    <t>Taquete expansivo tropicalizado 3/8" x 3" (1/2)</t>
  </si>
  <si>
    <t>FER-TAEXPTR-58</t>
  </si>
  <si>
    <t>Taquete expansivo tropicalizado 1/2" x 3" (5/8)</t>
  </si>
  <si>
    <t>FER-PERREF-38</t>
  </si>
  <si>
    <t>Perro reforzado 3/8"</t>
  </si>
  <si>
    <t>FER-TORINX-716</t>
  </si>
  <si>
    <t>Tornillo acero inoxidable 7/16" x 1 1/2"</t>
  </si>
  <si>
    <t>FER-TORPA38-2</t>
  </si>
  <si>
    <t>Tornillo hex. Pavonado 3/8" x 2"</t>
  </si>
  <si>
    <t>FER-TORPA12-2</t>
  </si>
  <si>
    <t>Tornillo hex. Pavonado 1/2" x 2"</t>
  </si>
  <si>
    <t>FER-TORPA12-3</t>
  </si>
  <si>
    <t>Tornillo hex. Pavonado 1/2" x 3"</t>
  </si>
  <si>
    <t>FER-TORPA14-112</t>
  </si>
  <si>
    <t>Tornillo hex. Pavonado 1/4" x 1 1/2"</t>
  </si>
  <si>
    <t>FER-TORGA-14</t>
  </si>
  <si>
    <t>Tornillo galvanizado 1/4" x 2"</t>
  </si>
  <si>
    <t>Tornillo galvanizado 3/8" x 2"</t>
  </si>
  <si>
    <t>FER-TORGA-12</t>
  </si>
  <si>
    <t xml:space="preserve">Tornillo galvanizado 1/2" x 2 1/2" </t>
  </si>
  <si>
    <t>FER-TORINX-516</t>
  </si>
  <si>
    <t>Tornillo acero inoxidable 5/16" x 1 1/2"</t>
  </si>
  <si>
    <t>FER-TORGA-34</t>
  </si>
  <si>
    <t>Tornillo hexagonal galvanizado 3/4" x 3 1/2"</t>
  </si>
  <si>
    <t>FER-TUEINX-716</t>
  </si>
  <si>
    <t>Tuerca acero inoxidable 7/16"</t>
  </si>
  <si>
    <t>FER-TUEPA-12</t>
  </si>
  <si>
    <t>Tuerca hex. Pavonada 1/2"</t>
  </si>
  <si>
    <t>FER-TUEPA-38</t>
  </si>
  <si>
    <t>Tuerca hex. Pavonada 3/8"</t>
  </si>
  <si>
    <t>FER-TUEPA-14</t>
  </si>
  <si>
    <t>Tuerca pavonada 1/4"</t>
  </si>
  <si>
    <t>FER-TUEINX-516</t>
  </si>
  <si>
    <t>Tuerca acero inoxidable 5/16"</t>
  </si>
  <si>
    <t>FER-TUEGA-38</t>
  </si>
  <si>
    <t xml:space="preserve">Tuerca hexagonal galvanizada 3/8" </t>
  </si>
  <si>
    <t>FER-ROPRNGA-516</t>
  </si>
  <si>
    <t>Rondana presión galvanizada 5/16"</t>
  </si>
  <si>
    <t>FER-RONPLINX-716</t>
  </si>
  <si>
    <t>Rondana plana acero inox. 7/16"</t>
  </si>
  <si>
    <t>FER-RONPRINX-716</t>
  </si>
  <si>
    <t>Rondana de presión  acero inox. 7/16</t>
  </si>
  <si>
    <t>FER-RONPRINX-516</t>
  </si>
  <si>
    <t>Rondana de presión acero inox. 5/16</t>
  </si>
  <si>
    <t>FER-RONPLINX-516</t>
  </si>
  <si>
    <t>Rondana plana acero inox. 5/16</t>
  </si>
  <si>
    <t>FER-RONPPL-38</t>
  </si>
  <si>
    <t>Rondana plana 3/8"</t>
  </si>
  <si>
    <t>FER-GUAREF-38</t>
  </si>
  <si>
    <t>Guardacabo ref. 3/8"</t>
  </si>
  <si>
    <t>FER-GUAREF-12</t>
  </si>
  <si>
    <t>Guardacabo ref. 1/2"</t>
  </si>
  <si>
    <t>FER-GUAREF-58</t>
  </si>
  <si>
    <t xml:space="preserve">Guardacabo ref. 5/8" </t>
  </si>
  <si>
    <t>FER-GUAREF-34</t>
  </si>
  <si>
    <t>Guardacabo ref. 3/4"</t>
  </si>
  <si>
    <t>FER-LLAMILI-081</t>
  </si>
  <si>
    <t>Juego de llaves milimétricas s/marca 9 - 19 mm española/corona flexible con racher</t>
  </si>
  <si>
    <t>FER-JUEGA-21</t>
  </si>
  <si>
    <t>Juego de taladros impacto/atornillador IRONHOOF  21V</t>
  </si>
  <si>
    <t>FER-CANLAM-057</t>
  </si>
  <si>
    <t xml:space="preserve">Candado laminado </t>
  </si>
  <si>
    <t>FER-CAND-70MM</t>
  </si>
  <si>
    <t>Candado 70mm</t>
  </si>
  <si>
    <t>FER-ESMANG-058</t>
  </si>
  <si>
    <t>Esmeriladora angular</t>
  </si>
  <si>
    <t>Fusible 27/15KV 15AMP</t>
  </si>
  <si>
    <t>FER-LLATUB-15PZ</t>
  </si>
  <si>
    <t>Juego de llaves de tubo (15 pzs.)</t>
  </si>
  <si>
    <t>FER-CDADR-059</t>
  </si>
  <si>
    <t>Caja de dados (roja)</t>
  </si>
  <si>
    <t>FER-AERVE-400ML</t>
  </si>
  <si>
    <t>Pintura en aerosol verde 400ml</t>
  </si>
  <si>
    <t>FER-AERAZ-400ML</t>
  </si>
  <si>
    <t>Pintura en aerosol azul 400ml</t>
  </si>
  <si>
    <t>FER-CRISOM-060</t>
  </si>
  <si>
    <t>Cristal sombra #2 (para soldar)</t>
  </si>
  <si>
    <t>FER-LLAARTI1-118</t>
  </si>
  <si>
    <t>Llave de artillería 1" - 1 1/8"</t>
  </si>
  <si>
    <t>FER-LLAARTI114-1116</t>
  </si>
  <si>
    <t>Llave de artillería 1 1/4" - 1 1/16"</t>
  </si>
  <si>
    <t>FER-JGOBRO-75PZ</t>
  </si>
  <si>
    <t xml:space="preserve">Juego de 75 accesorios Makita (brocas) </t>
  </si>
  <si>
    <t>FER-JGOBRO-15PZ</t>
  </si>
  <si>
    <t>Juego de brocas y cinceles truper (15 piezas)</t>
  </si>
  <si>
    <t>FER-JGOBRO-13PZ</t>
  </si>
  <si>
    <t>Juego de brocas 13  piezas truper</t>
  </si>
  <si>
    <t>FER-JGOBROES-13PZ</t>
  </si>
  <si>
    <t xml:space="preserve">Juego de brocas 13 piezas truper c/estuche </t>
  </si>
  <si>
    <t>FER-JGOBROES-10PZ</t>
  </si>
  <si>
    <t>Juego de brocas 10 piezas truper c/estuche</t>
  </si>
  <si>
    <t>FER-PLSAC-061</t>
  </si>
  <si>
    <t>Plastiacero</t>
  </si>
  <si>
    <t>FER-ADEPOX-062</t>
  </si>
  <si>
    <t>Adhesico epóxico 30g</t>
  </si>
  <si>
    <t>FER-EXTEN10M-063</t>
  </si>
  <si>
    <t>Extensión elect. Uso rudo 10m</t>
  </si>
  <si>
    <t>FER-EXTEN15M-064</t>
  </si>
  <si>
    <t>Extansión reforzada 15m.</t>
  </si>
  <si>
    <t>FER-RUED6-065</t>
  </si>
  <si>
    <t>Ruedas de 6"</t>
  </si>
  <si>
    <t>FER-RUED7-066</t>
  </si>
  <si>
    <t>Ruedas de 7"</t>
  </si>
  <si>
    <t>FER-RUED412-067</t>
  </si>
  <si>
    <t xml:space="preserve">Ruedas de 4 1/2" </t>
  </si>
  <si>
    <t>FER-BRO316-068</t>
  </si>
  <si>
    <t>Brocas 3/16" truper</t>
  </si>
  <si>
    <t>FER-BRO14-069</t>
  </si>
  <si>
    <t>Brocas 1/4" truper</t>
  </si>
  <si>
    <t>FER-TIRHIL30-070</t>
  </si>
  <si>
    <t>Tiralineas c/nivel de hilo 30 m Truper</t>
  </si>
  <si>
    <t>FER-CFIBV-012</t>
  </si>
  <si>
    <t>Cinta larga de fibra de vidrio 50m</t>
  </si>
  <si>
    <t>FER-ARCSEG12-071</t>
  </si>
  <si>
    <t>Arco de solera para segueta 12"</t>
  </si>
  <si>
    <t>FER-PSF12-072</t>
  </si>
  <si>
    <t>Prensas sargento tipo F 12"</t>
  </si>
  <si>
    <t>FER-PST34-073</t>
  </si>
  <si>
    <t>Prensas sargento para tubo 3/4</t>
  </si>
  <si>
    <t>FER-ABLC11-074</t>
  </si>
  <si>
    <t>Abrazaderas de bloqueo en C 11"</t>
  </si>
  <si>
    <t>FER-CLRE4-075</t>
  </si>
  <si>
    <t>Clip resorte 4"</t>
  </si>
  <si>
    <t>FER-BISINX-076</t>
  </si>
  <si>
    <t>Bisagra acero inoxidable 4"x3"x2.5" (pares)</t>
  </si>
  <si>
    <t>FER-ALIBR4-077</t>
  </si>
  <si>
    <t>Abrazadera de liberación rápida 4"</t>
  </si>
  <si>
    <t>FER-DESGOLV-6PZS</t>
  </si>
  <si>
    <t>Desarmador de golpe verde</t>
  </si>
  <si>
    <t>FER-CUPAT-078</t>
  </si>
  <si>
    <t>Cutter de pato</t>
  </si>
  <si>
    <t>FER-KITDES-18PZS</t>
  </si>
  <si>
    <t>Kit de desarmadores 18pzs (estuche negro)</t>
  </si>
  <si>
    <t>FER-ALIBR3-079</t>
  </si>
  <si>
    <t xml:space="preserve">Juego de piedras montadas truper </t>
  </si>
  <si>
    <t>FER-ADPTAL-080</t>
  </si>
  <si>
    <t>Adaptador taladro angulo 105 (juego 9pzs)</t>
  </si>
  <si>
    <t>FER-PINC6-082</t>
  </si>
  <si>
    <t>Pinza de presión tipo C 6"</t>
  </si>
  <si>
    <t>FER-PINC9-083</t>
  </si>
  <si>
    <t>Pinza de presión tipo C 9"</t>
  </si>
  <si>
    <t>Pinza de presión tipo C 11"</t>
  </si>
  <si>
    <t>FER-FREGD-10PZS</t>
  </si>
  <si>
    <t>Kit fresas grabado y desvaste 10pzs</t>
  </si>
  <si>
    <t>FER-JUEGA-38</t>
  </si>
  <si>
    <t>Juego de dados stanley 3/8- 1/4, 4mm - 19mm, 3/16 - 11/16</t>
  </si>
  <si>
    <t>ELE-MT1-0000</t>
  </si>
  <si>
    <t>Manga 1 - 4/0 AWG</t>
  </si>
  <si>
    <t>ELE-MT300-500</t>
  </si>
  <si>
    <t>manga 300 - 500 KCMIL</t>
  </si>
  <si>
    <t>ELE-INTTRM</t>
  </si>
  <si>
    <t>Interruptor termomagnético</t>
  </si>
  <si>
    <t>ELE-INTTRM-125</t>
  </si>
  <si>
    <t>Interruptores termomagneticos 125 amp.</t>
  </si>
  <si>
    <t>ELE-MT1000-2500</t>
  </si>
  <si>
    <t>Manga 1000 -2500 KCMIL</t>
  </si>
  <si>
    <t>ELE-REFL-18AWG</t>
  </si>
  <si>
    <t>Reflector c/cable 18 awg</t>
  </si>
  <si>
    <t>ELE-RAC-001</t>
  </si>
  <si>
    <t>Racor</t>
  </si>
  <si>
    <t>ELE-BUSINOX-002</t>
  </si>
  <si>
    <t>bushing inoxidable p/manguera</t>
  </si>
  <si>
    <t>ELE-CRECAL-3OR</t>
  </si>
  <si>
    <t>Caja rectangular de aluminio 3 orificios de 1/2"</t>
  </si>
  <si>
    <t>ELE-CCOND-100</t>
  </si>
  <si>
    <t>Conector conduit 100mm</t>
  </si>
  <si>
    <t>ELE-CCOND-75</t>
  </si>
  <si>
    <t>Conector conduit 75mm</t>
  </si>
  <si>
    <t>ELE-CCOND-60</t>
  </si>
  <si>
    <t>Conector conduit 60mm</t>
  </si>
  <si>
    <t>ELE-CCOND-50</t>
  </si>
  <si>
    <t>Conector conduit 50mm</t>
  </si>
  <si>
    <t>ELE-CCOND-25</t>
  </si>
  <si>
    <t>Conector conduit 25mm</t>
  </si>
  <si>
    <t>ELE-MONSME-002</t>
  </si>
  <si>
    <t>Monitor SME</t>
  </si>
  <si>
    <t>ELE-TRANSF-500A</t>
  </si>
  <si>
    <t>Transformador de corriente 500A / 5A</t>
  </si>
  <si>
    <t>ELE-PROSOBR-003</t>
  </si>
  <si>
    <t>Protección p/ sobretensiones</t>
  </si>
  <si>
    <t>ELE-TRANPR-004</t>
  </si>
  <si>
    <t xml:space="preserve">Transductor de presión </t>
  </si>
  <si>
    <t>ELE-SUPRV-005</t>
  </si>
  <si>
    <t>Supresor de picos de voltaje</t>
  </si>
  <si>
    <t>ELE-VAR-006</t>
  </si>
  <si>
    <t xml:space="preserve">Variador </t>
  </si>
  <si>
    <t>ELE-TRANSF-400A</t>
  </si>
  <si>
    <t>Transformador de corriente 400A/5A</t>
  </si>
  <si>
    <t>ELE-CORTC-007</t>
  </si>
  <si>
    <t>Cortacorriente (cuchilla)</t>
  </si>
  <si>
    <t>ELE-ELECLB-250</t>
  </si>
  <si>
    <t>Electroregistro LB oln 250 2.5"</t>
  </si>
  <si>
    <t>ELE-CONT-008</t>
  </si>
  <si>
    <t xml:space="preserve">Contactor </t>
  </si>
  <si>
    <t>ELE-RELESC-009</t>
  </si>
  <si>
    <t xml:space="preserve">Rele sobre carga </t>
  </si>
  <si>
    <t>ELE-ARRAN-010</t>
  </si>
  <si>
    <t xml:space="preserve">Arrancador a tensión plena </t>
  </si>
  <si>
    <t>ELE-RELEV-011</t>
  </si>
  <si>
    <t>Contactor de sobrecarga (relevador)</t>
  </si>
  <si>
    <t>ELE-INTTRM-250</t>
  </si>
  <si>
    <t>Interruptor termomagnético 250 amp.</t>
  </si>
  <si>
    <t>ELE-INTTRM-400</t>
  </si>
  <si>
    <t>Interruptor termomagnético 400 amp.</t>
  </si>
  <si>
    <t>ELE-MT2-00</t>
  </si>
  <si>
    <t>Manga 2 - 2/0 AWG</t>
  </si>
  <si>
    <t>ELE-MT600-1250</t>
  </si>
  <si>
    <t>Manga 600 - 1250 KCMIL</t>
  </si>
  <si>
    <t>ELE-CONLZ-250</t>
  </si>
  <si>
    <t>Conector LZ 250</t>
  </si>
  <si>
    <t>ELE-CONLZ100</t>
  </si>
  <si>
    <t>Conector LZ 100</t>
  </si>
  <si>
    <t>ELE-CODPVC-13</t>
  </si>
  <si>
    <t>Codo PVC conduit 13mm/1/2"</t>
  </si>
  <si>
    <t>ELE-COND-100</t>
  </si>
  <si>
    <t>Conduit pesado  100 mm</t>
  </si>
  <si>
    <t>ELE-COND-75</t>
  </si>
  <si>
    <t>Conduit pesado  75 mm</t>
  </si>
  <si>
    <t>ELE-COND-60</t>
  </si>
  <si>
    <t>Conduit pesado  60 mm</t>
  </si>
  <si>
    <t>ELE-COND-50</t>
  </si>
  <si>
    <t>Conduit pesado  50 mm</t>
  </si>
  <si>
    <t>ELE-COND-38</t>
  </si>
  <si>
    <t>Conduit pesado  38 mm</t>
  </si>
  <si>
    <t>ELE-COND-25</t>
  </si>
  <si>
    <t>Conduit pesado  25 mm</t>
  </si>
  <si>
    <t>ELE-COND-13</t>
  </si>
  <si>
    <t>Conduit pesado  1/2"</t>
  </si>
  <si>
    <t>ELE-CGALV-112</t>
  </si>
  <si>
    <t>Conector galvanizado 1 1/2"</t>
  </si>
  <si>
    <t>ELE-CGALV-1</t>
  </si>
  <si>
    <t>Conector galvanizado 1"</t>
  </si>
  <si>
    <t>ELE-CGALV-34</t>
  </si>
  <si>
    <t>Conector galvanizado 3/4"</t>
  </si>
  <si>
    <t>ELE-CGALV-12</t>
  </si>
  <si>
    <t>Conector galvanizado 1/2"</t>
  </si>
  <si>
    <t>ELE-ABROM-12</t>
  </si>
  <si>
    <t>Abrazadera omega 1/2"</t>
  </si>
  <si>
    <t>ELE-ABROM-1</t>
  </si>
  <si>
    <t>Abrazadera omega 1"</t>
  </si>
  <si>
    <t>ELE-ABROM-3</t>
  </si>
  <si>
    <t>Abrazadera omega 3"</t>
  </si>
  <si>
    <t>ELE-ABROM-34</t>
  </si>
  <si>
    <t>Abrazadera omega OC 34</t>
  </si>
  <si>
    <t>ELE-ABROOM-114</t>
  </si>
  <si>
    <t>Abrazadera omega OC114</t>
  </si>
  <si>
    <t>ELE-ABROM-200</t>
  </si>
  <si>
    <t>Abrazadera omega OC 200</t>
  </si>
  <si>
    <t>ELE-ABROM-112</t>
  </si>
  <si>
    <t>Abrazadera omega OC 112</t>
  </si>
  <si>
    <t>ELE-ABROM-212</t>
  </si>
  <si>
    <t>Abrazadera omega OC 212</t>
  </si>
  <si>
    <t>ELE-CRLIC-4</t>
  </si>
  <si>
    <t>Conector Recto licuatite 4"</t>
  </si>
  <si>
    <t>ELE-CRLIC-3</t>
  </si>
  <si>
    <t>Conector Recto licuatite 3"</t>
  </si>
  <si>
    <t>ELE-CRLIC-212</t>
  </si>
  <si>
    <t>Conector Recto licuatite 2 1/2"</t>
  </si>
  <si>
    <t>ELE-CRLIC-2</t>
  </si>
  <si>
    <t>Conector Recto licuatite 2"</t>
  </si>
  <si>
    <t>ELE-CRLIC-1</t>
  </si>
  <si>
    <t>Conector Recto licuatite 1"</t>
  </si>
  <si>
    <t>ELE-CRLIC-12</t>
  </si>
  <si>
    <t>Conector Recto licuatite 1/2"</t>
  </si>
  <si>
    <t>ELE-CCOD-3</t>
  </si>
  <si>
    <t>Conector codo 3"</t>
  </si>
  <si>
    <t>ELE-CCOD-2</t>
  </si>
  <si>
    <t>Conector codo 2"</t>
  </si>
  <si>
    <t>ELE-NIPLE-4</t>
  </si>
  <si>
    <t>Niple 4"</t>
  </si>
  <si>
    <t>ELE-NIPLE-3</t>
  </si>
  <si>
    <t>Niple 3"</t>
  </si>
  <si>
    <t>ELE-NIPLE-212</t>
  </si>
  <si>
    <t>Niple 2 1/2"</t>
  </si>
  <si>
    <t>ELE-NIPLE-2</t>
  </si>
  <si>
    <t>Niple 2"</t>
  </si>
  <si>
    <t>ELE-NIPLE-112</t>
  </si>
  <si>
    <t>Niple 1 - 1/2"</t>
  </si>
  <si>
    <t>ELE-NIPREX-3</t>
  </si>
  <si>
    <t>Niple rosca externa 3"</t>
  </si>
  <si>
    <t>ELE-NIPREX-2</t>
  </si>
  <si>
    <t>Niple rosca externa 2"</t>
  </si>
  <si>
    <t>ELE-TAPMACH-2</t>
  </si>
  <si>
    <t>Tapon macho 2"</t>
  </si>
  <si>
    <t>CONB-T00-01</t>
  </si>
  <si>
    <t xml:space="preserve">Conector tope 2/0 Burndy corto </t>
  </si>
  <si>
    <t>CONB-T0-03</t>
  </si>
  <si>
    <t xml:space="preserve">Conctor tope 1/0 Burndy corto </t>
  </si>
  <si>
    <t>CONB-T0000-04</t>
  </si>
  <si>
    <t xml:space="preserve">Conector tope 4/0 AWG Burndy corto </t>
  </si>
  <si>
    <t>CONB-T250-05</t>
  </si>
  <si>
    <t xml:space="preserve">Conector tope 250 KCMIL Burndy corto </t>
  </si>
  <si>
    <t>CONB-T000-02</t>
  </si>
  <si>
    <t xml:space="preserve">Conector tope 3/0 Burndy corto </t>
  </si>
  <si>
    <t>CONB-T02-06</t>
  </si>
  <si>
    <t xml:space="preserve">Conector tope 2 Burndy corto </t>
  </si>
  <si>
    <t>CONB-T04-07</t>
  </si>
  <si>
    <t>Conector tope 4 Burndy corto</t>
  </si>
  <si>
    <t>CONB-T500-08</t>
  </si>
  <si>
    <t>Conector tope 500 KCMIL Burndy</t>
  </si>
  <si>
    <t>CONB-T06-09</t>
  </si>
  <si>
    <t xml:space="preserve">Conector tope 6 Burndy corto </t>
  </si>
  <si>
    <t>CONB-T250-11</t>
  </si>
  <si>
    <t>Conector tope 250 KCMIL Burndy largo</t>
  </si>
  <si>
    <t>CONB-T000-10</t>
  </si>
  <si>
    <t xml:space="preserve">Conector tope 3/0 Burndy largo </t>
  </si>
  <si>
    <t>CONB-O00-001</t>
  </si>
  <si>
    <t xml:space="preserve">Conector ojo 2/0 Burndy corto </t>
  </si>
  <si>
    <t>CONB-O000-002</t>
  </si>
  <si>
    <t xml:space="preserve">Conector ojo 3/0 Burndy corto </t>
  </si>
  <si>
    <t>CONB-O0-003</t>
  </si>
  <si>
    <t xml:space="preserve">Conector ojo 1/0 Burndy corto </t>
  </si>
  <si>
    <t>CONB-O0000-005</t>
  </si>
  <si>
    <t xml:space="preserve">Conector ojo 4/0 Burndy corto </t>
  </si>
  <si>
    <t>CONB-O350-007</t>
  </si>
  <si>
    <t xml:space="preserve">Conector ojo 350 KCMIL Burndy largo </t>
  </si>
  <si>
    <t>CONB-O250-008</t>
  </si>
  <si>
    <t xml:space="preserve">Conector ojo 250 KCMIL Burndy largo </t>
  </si>
  <si>
    <t xml:space="preserve">Conector ojo 4/0 Burndy largo </t>
  </si>
  <si>
    <t xml:space="preserve">Conector ojo 3/0 Burndy largo </t>
  </si>
  <si>
    <t>CONB-O02-009</t>
  </si>
  <si>
    <t xml:space="preserve">Conector ojo 2 Burndy corto </t>
  </si>
  <si>
    <t>CONB-O04-004</t>
  </si>
  <si>
    <t xml:space="preserve">Conector ojo 4 Burndy corto </t>
  </si>
  <si>
    <t>CONC-T04-01</t>
  </si>
  <si>
    <t>Conector tope #4</t>
  </si>
  <si>
    <t>CONC-T00-02</t>
  </si>
  <si>
    <t>Conector tope 2/0</t>
  </si>
  <si>
    <t>CONC-T06-03</t>
  </si>
  <si>
    <t>Conector tope #6</t>
  </si>
  <si>
    <t>CONC-T0000-04</t>
  </si>
  <si>
    <t>Conector tope 4/0</t>
  </si>
  <si>
    <t>CONC-T000-05</t>
  </si>
  <si>
    <t>Conector tope 3/0</t>
  </si>
  <si>
    <t>CONC-T0-06</t>
  </si>
  <si>
    <t>Conector tope 1/0</t>
  </si>
  <si>
    <t>CONC-T02-07</t>
  </si>
  <si>
    <t>Conector tope #2</t>
  </si>
  <si>
    <t>CONC-T03-08</t>
  </si>
  <si>
    <t>Conector tope #3</t>
  </si>
  <si>
    <t>CONC-T12-09</t>
  </si>
  <si>
    <t>Conector tope #12</t>
  </si>
  <si>
    <t>CONC-O0-003</t>
  </si>
  <si>
    <t>Conec. Ojo 1/0</t>
  </si>
  <si>
    <t>CONC-O0000-001</t>
  </si>
  <si>
    <t xml:space="preserve">Conec. Ojo 4/0 </t>
  </si>
  <si>
    <t>CONC-O04-005</t>
  </si>
  <si>
    <t>Conec. Ojo #4</t>
  </si>
  <si>
    <t>CONC-O00-004</t>
  </si>
  <si>
    <t>Conec. Ojo 2/0</t>
  </si>
  <si>
    <t>CONC-O02-002</t>
  </si>
  <si>
    <t>Conect. Ojo #2</t>
  </si>
  <si>
    <t>CONC-O000-006</t>
  </si>
  <si>
    <t>Conec. Ojo 3/0</t>
  </si>
  <si>
    <t>CONC-O08-007</t>
  </si>
  <si>
    <t>Conec. Ojo #8</t>
  </si>
  <si>
    <t>EPP-GCAR-001</t>
  </si>
  <si>
    <t>Guantes de carnaza</t>
  </si>
  <si>
    <t>EPP-GNIT8-002</t>
  </si>
  <si>
    <t>Guante de nitrilo T.8</t>
  </si>
  <si>
    <t>EPP-GKEVA-003</t>
  </si>
  <si>
    <t>Guantes de soldar Kevlar azul</t>
  </si>
  <si>
    <t>EPP-LENEG-004</t>
  </si>
  <si>
    <t>Lentes negros</t>
  </si>
  <si>
    <t>EPP-LETRA-005</t>
  </si>
  <si>
    <t>Lentes transparentes</t>
  </si>
  <si>
    <t>EPP-LEAZ-006</t>
  </si>
  <si>
    <t xml:space="preserve">Lentes azules </t>
  </si>
  <si>
    <t>EPP-LENMN-007</t>
  </si>
  <si>
    <t>Lentes tipo nemesis negro</t>
  </si>
  <si>
    <t>EPP-LNMA-008</t>
  </si>
  <si>
    <t>Lentes tipo nemesis azul</t>
  </si>
  <si>
    <t>EPP-LESOLD-009</t>
  </si>
  <si>
    <t>Lente para soldar sombra 5</t>
  </si>
  <si>
    <t>EPP-GOSEG-010</t>
  </si>
  <si>
    <t>Gogles de seguridad</t>
  </si>
  <si>
    <t>EPP-RESMC-011</t>
  </si>
  <si>
    <t>Respirador media cara</t>
  </si>
  <si>
    <t>EPP-GSOLR-012</t>
  </si>
  <si>
    <t>Guantes para soldar rojo (pares)</t>
  </si>
  <si>
    <t>EPP-GDIEL-013</t>
  </si>
  <si>
    <t>Guantes dielectricos (pares)</t>
  </si>
  <si>
    <t>EPP-GANTD-014</t>
  </si>
  <si>
    <t xml:space="preserve">Guantes antiderrapantes </t>
  </si>
  <si>
    <t>EPP-GPCAB-015</t>
  </si>
  <si>
    <t>Guantes piel de cabra</t>
  </si>
  <si>
    <t>EPP-CHPDOB-016</t>
  </si>
  <si>
    <t>Guante chino doble palma</t>
  </si>
  <si>
    <t>EPP-GNIT9-017</t>
  </si>
  <si>
    <t>Guante de nitrilo T.9</t>
  </si>
  <si>
    <t>EPP-PROTFA-018</t>
  </si>
  <si>
    <t>Protector facial de malla</t>
  </si>
  <si>
    <t>EPP-CASAZ-019</t>
  </si>
  <si>
    <t>Cascos azules</t>
  </si>
  <si>
    <t>EPP-CASBL-020</t>
  </si>
  <si>
    <t xml:space="preserve">Cascos blancos </t>
  </si>
  <si>
    <t>EPP-CUBRN-021</t>
  </si>
  <si>
    <t>Cubrenuca</t>
  </si>
  <si>
    <t>EPP-OVLAM-022</t>
  </si>
  <si>
    <t xml:space="preserve">Overol laminado </t>
  </si>
  <si>
    <t>EPP-IMPER-023</t>
  </si>
  <si>
    <t xml:space="preserve">Impermeable </t>
  </si>
  <si>
    <t>EPP-MANCAR-024</t>
  </si>
  <si>
    <t>Mandiles de carnaza</t>
  </si>
  <si>
    <t>EPP-MANGCA-025</t>
  </si>
  <si>
    <t>Mangas de carnaza (pares)</t>
  </si>
  <si>
    <t>EPP-CARSOLD-026</t>
  </si>
  <si>
    <t xml:space="preserve">Careta de soldador </t>
  </si>
  <si>
    <t>EQU-MULT600-001</t>
  </si>
  <si>
    <t>Multimetro intelgente FNIRSI 600A 600V</t>
  </si>
  <si>
    <t>EQU-INROT600-002</t>
  </si>
  <si>
    <t>Indicador de rotación UNIT-T UT261B 600V</t>
  </si>
  <si>
    <t>EQU-PITEM-003</t>
  </si>
  <si>
    <t>Pistola de temperatura MESTEK IR01D</t>
  </si>
  <si>
    <t>EQU-MITACO-004</t>
  </si>
  <si>
    <t>Mini tacometro UNIT-T UT373</t>
  </si>
  <si>
    <t>EQU-PITERMG-005</t>
  </si>
  <si>
    <t xml:space="preserve">Pistola-camara Termografica  UNIT-T UTi260B </t>
  </si>
  <si>
    <t>EQU-MEGG-006</t>
  </si>
  <si>
    <t>Megger UNIT-T UT512 2500V</t>
  </si>
  <si>
    <t>EQU-MEDVIB-007</t>
  </si>
  <si>
    <t xml:space="preserve">Medidor de vibración WINTAC WT63B </t>
  </si>
  <si>
    <t>EQU-ANEM-008</t>
  </si>
  <si>
    <t>Anemometro UNIT-T UT63S</t>
  </si>
  <si>
    <t>EQU-TERROD-009</t>
  </si>
  <si>
    <t>Terrometro digital DUOYI 20 - 2000 OHMS</t>
  </si>
  <si>
    <t>EQU-PINTERR-010</t>
  </si>
  <si>
    <t xml:space="preserve">Pinza terrómica UNIT-T UT278A+ </t>
  </si>
  <si>
    <t>EQU-MEGG1000-011</t>
  </si>
  <si>
    <t>Megger FLUKE 1587 1000V</t>
  </si>
  <si>
    <t>EQU-MEDFLU-012</t>
  </si>
  <si>
    <t xml:space="preserve">Medidor de flujo Ultrasonico ABDT-LCT-S </t>
  </si>
  <si>
    <t>HID-COPBO-3</t>
  </si>
  <si>
    <t>cople para bomba 3"</t>
  </si>
  <si>
    <t>HID-MAN-100</t>
  </si>
  <si>
    <t>Manómetro 100 psi</t>
  </si>
  <si>
    <t>HID-MAN-200</t>
  </si>
  <si>
    <t>Manometro 200 psi</t>
  </si>
  <si>
    <t>HID-VADEX-001</t>
  </si>
  <si>
    <t xml:space="preserve">Válvula de admisión y expulsión de aire aluminio </t>
  </si>
  <si>
    <t>HID-RED212-1</t>
  </si>
  <si>
    <t>Reducción para valvula 2 1/2" - 1"</t>
  </si>
  <si>
    <t>HID-VADEX2-002</t>
  </si>
  <si>
    <t xml:space="preserve">Válvula de admisón y expulsión 2"  sigma </t>
  </si>
  <si>
    <t>HID-COCOCH-14</t>
  </si>
  <si>
    <t>Tifon cola de cochino 1/4"</t>
  </si>
  <si>
    <t>HID-EMPAQ-3</t>
  </si>
  <si>
    <t>Empaque 3"</t>
  </si>
  <si>
    <t>HID-EMPAQ-2</t>
  </si>
  <si>
    <t>Empaque 2"</t>
  </si>
  <si>
    <t>HID-EMPAQ-4</t>
  </si>
  <si>
    <t>Empaque 4"</t>
  </si>
  <si>
    <t>HID-EMPAQ-6</t>
  </si>
  <si>
    <t>Empaque 6"</t>
  </si>
  <si>
    <t>HID-EMPAQ-8</t>
  </si>
  <si>
    <t>Empaque 8"</t>
  </si>
  <si>
    <t>HID-EMPAQ-12</t>
  </si>
  <si>
    <t>Empaque 12"</t>
  </si>
  <si>
    <t>HID-EMPAQ-214</t>
  </si>
  <si>
    <t>Empaque de 2 1/4"</t>
  </si>
  <si>
    <t>HID-CONC4-212</t>
  </si>
  <si>
    <t>Concentrica 4" - 2 1/2"</t>
  </si>
  <si>
    <t>HID-CONCE4-6</t>
  </si>
  <si>
    <t>Concentrica 4" - 6"</t>
  </si>
  <si>
    <t>HID-CONCE5-8</t>
  </si>
  <si>
    <t>Concentrica 5" - 8"</t>
  </si>
  <si>
    <t>HID-VCC40-8</t>
  </si>
  <si>
    <t>8" ced. 40</t>
  </si>
  <si>
    <t>HID-VCC40-4</t>
  </si>
  <si>
    <t>4" ced. 40</t>
  </si>
  <si>
    <t>HID-VCFLO-3</t>
  </si>
  <si>
    <t>3" flomatic</t>
  </si>
  <si>
    <t>HID-VCFLO-4</t>
  </si>
  <si>
    <t>4" flomatic</t>
  </si>
  <si>
    <t>HID-VCGOU-3</t>
  </si>
  <si>
    <t>3" Goulds</t>
  </si>
  <si>
    <t>HID-COPBO-112</t>
  </si>
  <si>
    <t>Cople para bomba 1 1/2"</t>
  </si>
  <si>
    <t>HID-COPBO-1</t>
  </si>
  <si>
    <t>Cople para bomba 1"</t>
  </si>
  <si>
    <t>HID-COPLE-112</t>
  </si>
  <si>
    <t>Cople 1 1/2"</t>
  </si>
  <si>
    <t>HID-COPLE-2</t>
  </si>
  <si>
    <t>Cople 2"</t>
  </si>
  <si>
    <t>HID-COPLE-212</t>
  </si>
  <si>
    <t>Cople 2 1/2"</t>
  </si>
  <si>
    <t>HID-COPLE-412</t>
  </si>
  <si>
    <t>Cople 4 1/2"</t>
  </si>
  <si>
    <t>HID-NIPLE-2</t>
  </si>
  <si>
    <t>HID-NIPLE-3</t>
  </si>
  <si>
    <t>HID-NIPLE-12</t>
  </si>
  <si>
    <t>Niple 1/2"</t>
  </si>
  <si>
    <t>HID-ADAMAN-001</t>
  </si>
  <si>
    <t xml:space="preserve">Adaptador para manómetro </t>
  </si>
  <si>
    <t>HID-RED68-23</t>
  </si>
  <si>
    <t>Reducción 6" x 8" long 23"</t>
  </si>
  <si>
    <t>HID-RED68-19</t>
  </si>
  <si>
    <t>Reducción 6" x 8" long 19"</t>
  </si>
  <si>
    <t>HID-RED68-24</t>
  </si>
  <si>
    <t>Reducción 6" x 8" long 24"</t>
  </si>
  <si>
    <t>HID-RED56-25</t>
  </si>
  <si>
    <t>Reducción 5" x 6" long 25 1/4"</t>
  </si>
  <si>
    <t>HID-RED34-25</t>
  </si>
  <si>
    <t>Reducción 3" x 4" long 25 1/4"</t>
  </si>
  <si>
    <t>HID-RED34-21</t>
  </si>
  <si>
    <t>Reducción 3" x 4" long 21 10/16"</t>
  </si>
  <si>
    <t>HID-RED46-27</t>
  </si>
  <si>
    <t>Reducción 4" x 6" long 27"</t>
  </si>
  <si>
    <t>HID-RED45-22</t>
  </si>
  <si>
    <t>Reducción 4" x 5" long 22"</t>
  </si>
  <si>
    <t>HID-RED36-26</t>
  </si>
  <si>
    <t>Reducción 3" x 6" long 26"</t>
  </si>
  <si>
    <t>HID-RED46-20</t>
  </si>
  <si>
    <t>Reducción 4" x 6" long 20 1/4"</t>
  </si>
  <si>
    <t>HID-COP4-3</t>
  </si>
  <si>
    <t>Cople 4" long 3 1/2"</t>
  </si>
  <si>
    <t>HID-COP6-4</t>
  </si>
  <si>
    <t>Cople 6" long 4"</t>
  </si>
  <si>
    <t>HID-COP4-5</t>
  </si>
  <si>
    <t>Cople 4" long 5"</t>
  </si>
  <si>
    <t>HID-NIP3-14</t>
  </si>
  <si>
    <t>Niple 3" long 14"</t>
  </si>
  <si>
    <t>HID-NIP4-11</t>
  </si>
  <si>
    <t>Niple 4" long 11"</t>
  </si>
  <si>
    <t>HID-NIP4-17</t>
  </si>
  <si>
    <t>Niple 4" long 17"</t>
  </si>
  <si>
    <t>HID-TUMH6 -17</t>
  </si>
  <si>
    <t>Tubo macho hembra 6" long 17"</t>
  </si>
  <si>
    <t>CON-MSUM-001</t>
  </si>
  <si>
    <t xml:space="preserve">Motor sumergible </t>
  </si>
  <si>
    <t>CON-SBM600-002</t>
  </si>
  <si>
    <t>Submonitor 600V</t>
  </si>
  <si>
    <t>SOU-LAPAB-001</t>
  </si>
  <si>
    <t xml:space="preserve">Lapiceras Azul c/blanco </t>
  </si>
  <si>
    <t>SOU-LAPF-002</t>
  </si>
  <si>
    <t xml:space="preserve">Lapiceras fosforescentes </t>
  </si>
  <si>
    <t>SOU-LAPNP-003</t>
  </si>
  <si>
    <t>Lapiceras negra c/plata</t>
  </si>
  <si>
    <t>SOU-LAPBN-004</t>
  </si>
  <si>
    <t xml:space="preserve">Lapiceras blanco/naranja </t>
  </si>
  <si>
    <t>SOU-LAPNB-005</t>
  </si>
  <si>
    <t xml:space="preserve">Lapiceras Naranja/blanco </t>
  </si>
  <si>
    <t>SOU-MOCHN-006</t>
  </si>
  <si>
    <t xml:space="preserve">Mochilas naranjas </t>
  </si>
  <si>
    <t>SOU-BOLAZ-007</t>
  </si>
  <si>
    <t xml:space="preserve">Bolsas azules </t>
  </si>
  <si>
    <t>SOU-GOGJ-008</t>
  </si>
  <si>
    <t xml:space="preserve">Gorra gris jaspeado </t>
  </si>
  <si>
    <t>SOU-GOAMLL-009</t>
  </si>
  <si>
    <t>Gorra azul malla</t>
  </si>
  <si>
    <t>SOU-GOTO-010</t>
  </si>
  <si>
    <t>Gorra Tornasol</t>
  </si>
  <si>
    <t>SOU-VANE-011</t>
  </si>
  <si>
    <t>Vasos negros</t>
  </si>
  <si>
    <t>SOU-BONE-012</t>
  </si>
  <si>
    <t>Bolsa negra expo</t>
  </si>
  <si>
    <t>SOU-GONE-013</t>
  </si>
  <si>
    <t xml:space="preserve">Gorra negra </t>
  </si>
  <si>
    <t>SOU-GOBN-014</t>
  </si>
  <si>
    <t>Gorra blanco y negro malla</t>
  </si>
  <si>
    <t>SOU-GOBL-015</t>
  </si>
  <si>
    <t xml:space="preserve">Gorra blanca </t>
  </si>
  <si>
    <t>SOU-GOAM-016</t>
  </si>
  <si>
    <t xml:space="preserve">Gorra azul marino </t>
  </si>
  <si>
    <t>SOU-GOCAM-017</t>
  </si>
  <si>
    <t xml:space="preserve">Gorras camuflajeadas </t>
  </si>
  <si>
    <t>SOU-GOGMLL-018</t>
  </si>
  <si>
    <t>Gorras gris malla</t>
  </si>
  <si>
    <t>SOU-GOGDA-019</t>
  </si>
  <si>
    <t xml:space="preserve">Gorra gris/café dama </t>
  </si>
  <si>
    <t>SOU-GORDA-020</t>
  </si>
  <si>
    <t>Gorra rosa dama</t>
  </si>
  <si>
    <t>SOU-GOBSP-021</t>
  </si>
  <si>
    <t>Gorra blanca sport</t>
  </si>
  <si>
    <t>SOU-GONCU-022</t>
  </si>
  <si>
    <t>Gorra naranja cuero</t>
  </si>
  <si>
    <t>SOU-GOACU-023</t>
  </si>
  <si>
    <t>Gorra azul cuero</t>
  </si>
  <si>
    <t>SOU-TERM-024</t>
  </si>
  <si>
    <t xml:space="preserve">Termos </t>
  </si>
  <si>
    <t>SOU-CALC-025</t>
  </si>
  <si>
    <t xml:space="preserve">Calcamonías </t>
  </si>
  <si>
    <t>SOU-DEST-026</t>
  </si>
  <si>
    <t xml:space="preserve">Destapadores </t>
  </si>
  <si>
    <t>SOU-PORTLL-027</t>
  </si>
  <si>
    <t>Portallaves</t>
  </si>
  <si>
    <t>SOU-TERMDI-028</t>
  </si>
  <si>
    <t xml:space="preserve">Termo digital </t>
  </si>
  <si>
    <t>SOU-GONDA-029</t>
  </si>
  <si>
    <t xml:space="preserve">gorra negra dama </t>
  </si>
  <si>
    <t>SOU-GOBDA-030</t>
  </si>
  <si>
    <t>Gorra blanca dama</t>
  </si>
  <si>
    <t>SOU-LAPGR-031</t>
  </si>
  <si>
    <t xml:space="preserve">Lapiceras grabadas </t>
  </si>
  <si>
    <t>SOU-LAPAIC-032</t>
  </si>
  <si>
    <t>Lapiceras azul ice</t>
  </si>
  <si>
    <t>SOU-LAPPLN-34</t>
  </si>
  <si>
    <t>Lapiceras plata c/negro</t>
  </si>
  <si>
    <t>SOU-LAPPLB-033</t>
  </si>
  <si>
    <t>Lapiceras plata c/blanco</t>
  </si>
  <si>
    <t>OFICINA</t>
  </si>
  <si>
    <t>PAP-MARPC-001</t>
  </si>
  <si>
    <t>Maracador p/pizarrón INDRA colores c/4pzs</t>
  </si>
  <si>
    <t>PAP-GISB-002</t>
  </si>
  <si>
    <t>Gises blancos (caja)</t>
  </si>
  <si>
    <t>PAP-GISC-003</t>
  </si>
  <si>
    <t>Gises colores (caja)</t>
  </si>
  <si>
    <t>PAP-TOAH-004</t>
  </si>
  <si>
    <t>Toallas antiestáticas húmedas (bote)</t>
  </si>
  <si>
    <t>PAP-TOAS-005</t>
  </si>
  <si>
    <t>Toallas antiestáticas secas (bote)</t>
  </si>
  <si>
    <t>PAP-CINV-006</t>
  </si>
  <si>
    <t>Cintas velcro (paq)</t>
  </si>
  <si>
    <t>PAP-SUJD-007</t>
  </si>
  <si>
    <t>Sujeta documentos (cajas)</t>
  </si>
  <si>
    <t>PAP-LOCL-008</t>
  </si>
  <si>
    <t>Loción limpiadora</t>
  </si>
  <si>
    <t>PAP-LISCB-009</t>
  </si>
  <si>
    <t xml:space="preserve">Listón curly blanco </t>
  </si>
  <si>
    <t>PAP-LISCA-010</t>
  </si>
  <si>
    <t>Listón curly azul</t>
  </si>
  <si>
    <t>PAP-CORRL-011</t>
  </si>
  <si>
    <t>Corrector lápiz</t>
  </si>
  <si>
    <t>PAP-MICF-012</t>
  </si>
  <si>
    <t>Microfiltro</t>
  </si>
  <si>
    <t>PAP-SACP-013</t>
  </si>
  <si>
    <t>Sacapuntas</t>
  </si>
  <si>
    <t>PAP-SACP-014</t>
  </si>
  <si>
    <t>Sacapuntas metálico</t>
  </si>
  <si>
    <t>PAP-CINTT-015</t>
  </si>
  <si>
    <t>Cinta transparente</t>
  </si>
  <si>
    <t>PAP-TIJ-016</t>
  </si>
  <si>
    <t xml:space="preserve">Tijeras </t>
  </si>
  <si>
    <t>PAP-CORC-017</t>
  </si>
  <si>
    <t>Cortador cutter con cuchilla</t>
  </si>
  <si>
    <t>PAP-REPET-018</t>
  </si>
  <si>
    <t>Repuestos para etiquetadora</t>
  </si>
  <si>
    <t>PAP-MARPI-001</t>
  </si>
  <si>
    <t>Marcadores magistral (paq 4)</t>
  </si>
  <si>
    <t>PAP-ENGR-019</t>
  </si>
  <si>
    <t>Engrapadora</t>
  </si>
  <si>
    <t>PAP-CUCHR-020</t>
  </si>
  <si>
    <t xml:space="preserve">Cuchillas repuesto </t>
  </si>
  <si>
    <t>PAP-TACHD-021</t>
  </si>
  <si>
    <t xml:space="preserve">Tachuela dorada (paq) </t>
  </si>
  <si>
    <t>Tachuela de color (paq)</t>
  </si>
  <si>
    <t>PAP-BLOCN-022</t>
  </si>
  <si>
    <t>Block de notas (expo)</t>
  </si>
  <si>
    <t>PAP-CLIP2-023</t>
  </si>
  <si>
    <t>Clips #2 (caja)</t>
  </si>
  <si>
    <t>PAP-CORRB-024</t>
  </si>
  <si>
    <t xml:space="preserve">Corrector brocha </t>
  </si>
  <si>
    <t>PAP-PERF2O-025</t>
  </si>
  <si>
    <t xml:space="preserve">Perforadora 2 orificios </t>
  </si>
  <si>
    <t>PAP-NOTAAD-026</t>
  </si>
  <si>
    <t xml:space="preserve">Notas adhesivas </t>
  </si>
  <si>
    <t>PAP-GRAP-027</t>
  </si>
  <si>
    <t>Grapas (caja)</t>
  </si>
  <si>
    <t>PAP-LIGAC-028</t>
  </si>
  <si>
    <t>ligas de colores (bolsa)</t>
  </si>
  <si>
    <t>PAP-BOTIQ-029</t>
  </si>
  <si>
    <t>Botiquin primeros aux.</t>
  </si>
  <si>
    <t>PAP-VELC-030</t>
  </si>
  <si>
    <t>Velcro negro (rollo)</t>
  </si>
  <si>
    <t>PAP-LAPAZ-031</t>
  </si>
  <si>
    <t>Lapiceras azules (caja)</t>
  </si>
  <si>
    <t>PAP-LAPNE-032</t>
  </si>
  <si>
    <t>Lapiceras negras (caja)</t>
  </si>
  <si>
    <t>PAP-LAPRO-033</t>
  </si>
  <si>
    <t>Lapiceras roja (caja)</t>
  </si>
  <si>
    <t>PAP-LAPVE-034</t>
  </si>
  <si>
    <t>Lapiceras verdes (caja)</t>
  </si>
  <si>
    <t>PAP-PLUVE-035</t>
  </si>
  <si>
    <t>Plumones verdes (caja)</t>
  </si>
  <si>
    <t>PAP-PANCO-036</t>
  </si>
  <si>
    <t>Panel de control</t>
  </si>
  <si>
    <t>PAP-MOUS-037</t>
  </si>
  <si>
    <t>Mouse</t>
  </si>
  <si>
    <t>PAP-PIL2A-038</t>
  </si>
  <si>
    <t>Pilas AA (pzas)</t>
  </si>
  <si>
    <t>PAP-PIL3A-039</t>
  </si>
  <si>
    <t>Pilas AAA (pzas)</t>
  </si>
  <si>
    <t>PAP-PILARE-040</t>
  </si>
  <si>
    <t>pilas recargables (paq)</t>
  </si>
  <si>
    <t>PAP-PILAL-041</t>
  </si>
  <si>
    <t>Pila alcalina 12V</t>
  </si>
  <si>
    <t>PAP-LAPIM-042</t>
  </si>
  <si>
    <t>Lapices (caja)</t>
  </si>
  <si>
    <t>PAP-CINTD-043</t>
  </si>
  <si>
    <t xml:space="preserve">Cinta decoración </t>
  </si>
  <si>
    <t>PAP-CALCN-044</t>
  </si>
  <si>
    <t>Calcamonías núcleo gde.</t>
  </si>
  <si>
    <t>PAP-HDMI2P-045</t>
  </si>
  <si>
    <t xml:space="preserve">HDMI 2 puertos </t>
  </si>
  <si>
    <t>PAP-RELLAV-046</t>
  </si>
  <si>
    <t>Caja de llaves</t>
  </si>
  <si>
    <t>PAP-BLOCG-047</t>
  </si>
  <si>
    <t xml:space="preserve">Block comprobante de gastos </t>
  </si>
  <si>
    <t>PAP-APUN-048</t>
  </si>
  <si>
    <t>Apuntador</t>
  </si>
  <si>
    <t>PAP-CARGP-049</t>
  </si>
  <si>
    <t>Cargador de pila</t>
  </si>
  <si>
    <t>PAP-HDMI-050</t>
  </si>
  <si>
    <t xml:space="preserve">Cable HDMI </t>
  </si>
  <si>
    <t>PAP-CARG-051</t>
  </si>
  <si>
    <t>Cargador</t>
  </si>
  <si>
    <t>PAP-CABIM-052</t>
  </si>
  <si>
    <t>Cable impresora</t>
  </si>
  <si>
    <t>PAP-CABSO-053</t>
  </si>
  <si>
    <t>Cable sonido</t>
  </si>
  <si>
    <t>PAP-ETIQ-054</t>
  </si>
  <si>
    <t>Etiquetadora</t>
  </si>
  <si>
    <t>PAP-SELLF-055</t>
  </si>
  <si>
    <t>Sello formulado</t>
  </si>
  <si>
    <t>PAP-ESCA-056</t>
  </si>
  <si>
    <t>Escalimetro</t>
  </si>
  <si>
    <t>PAP-PERFG-057</t>
  </si>
  <si>
    <t>Perforadora grande</t>
  </si>
  <si>
    <t>PAP-MICTE-058</t>
  </si>
  <si>
    <t>mica termica (paq)</t>
  </si>
  <si>
    <t>PAP-CATHE-059</t>
  </si>
  <si>
    <t xml:space="preserve">Catalogo herramienta </t>
  </si>
  <si>
    <t>PAP-MANEL-060</t>
  </si>
  <si>
    <t xml:space="preserve">Manual de electrisista </t>
  </si>
  <si>
    <t>PAP-BORR-061</t>
  </si>
  <si>
    <t xml:space="preserve">Borradores </t>
  </si>
  <si>
    <t>PAP-PEG-062</t>
  </si>
  <si>
    <t>Pegamento</t>
  </si>
  <si>
    <t>PAP-TINSE-063</t>
  </si>
  <si>
    <t xml:space="preserve">Tinta para sellos </t>
  </si>
  <si>
    <t>PAP-MARTV-064</t>
  </si>
  <si>
    <t xml:space="preserve">Marcatextos verde </t>
  </si>
  <si>
    <t>PAP-MARTN-065</t>
  </si>
  <si>
    <t xml:space="preserve">Marcatextos naranja </t>
  </si>
  <si>
    <t>PAP-HOJAB-066</t>
  </si>
  <si>
    <t xml:space="preserve">Hojas blancas </t>
  </si>
  <si>
    <t>PAP-MEMAD-067</t>
  </si>
  <si>
    <t>Memorias ADATA 16GB</t>
  </si>
  <si>
    <t>PAP-SOB5-068</t>
  </si>
  <si>
    <t>Sobres #5 (8.8 x 16.4 cm)</t>
  </si>
  <si>
    <t>PAP-ARCH-069</t>
  </si>
  <si>
    <t>Archifuelle tamaño chequera</t>
  </si>
  <si>
    <t>PAP-PROTP-070</t>
  </si>
  <si>
    <t>Protector de plástico (paq)</t>
  </si>
  <si>
    <t>PAP-SOPTC-071</t>
  </si>
  <si>
    <t>sobre de plástico t/carta</t>
  </si>
  <si>
    <t>PAP-FOLDV-072</t>
  </si>
  <si>
    <t>Folder t/carta verde</t>
  </si>
  <si>
    <t>PAP-FOLDAA-073</t>
  </si>
  <si>
    <t>Folder t/carta azul</t>
  </si>
  <si>
    <t>PAP-FOLDVB-074</t>
  </si>
  <si>
    <t xml:space="preserve">Folder t/carta verde bandera </t>
  </si>
  <si>
    <t>PAP-FOLDAO-075</t>
  </si>
  <si>
    <t>Folder t/oficio azul</t>
  </si>
  <si>
    <t>PAP-FOLDVO-076</t>
  </si>
  <si>
    <t>Folder t/oficio verde</t>
  </si>
  <si>
    <t>PAP-FOLDS-077</t>
  </si>
  <si>
    <t>Folder surtido</t>
  </si>
  <si>
    <t>PAP-CLIP3-078</t>
  </si>
  <si>
    <t>Clips #3 (caja)</t>
  </si>
  <si>
    <t>PAP-LAPRO-079</t>
  </si>
  <si>
    <t>Lapiceras rosa (caja)</t>
  </si>
  <si>
    <t>PAP-PIZ-080</t>
  </si>
  <si>
    <t>Pizarrón</t>
  </si>
  <si>
    <t>PAP-PIZCO-081</t>
  </si>
  <si>
    <t xml:space="preserve">pizarron de corcho </t>
  </si>
  <si>
    <t>PAP-MARPN-082</t>
  </si>
  <si>
    <t>Marcador p/pizarrón INDRA negro c/12pz</t>
  </si>
  <si>
    <t>PAP-MARPA-083</t>
  </si>
  <si>
    <t>Marcador p/pizarrón INDRA azul c/12pz</t>
  </si>
  <si>
    <t>PAP-MARPEA-084</t>
  </si>
  <si>
    <t>Marcador permanente INDRA azul c/12pz</t>
  </si>
  <si>
    <t>PAP-MARPER-085</t>
  </si>
  <si>
    <t>Marcador permanente INDRA rojo c/12pz</t>
  </si>
  <si>
    <t>PAP-PINC-086</t>
  </si>
  <si>
    <t>Pines de colores caja c/100 pzs</t>
  </si>
  <si>
    <t>PAP-JUEGF-087</t>
  </si>
  <si>
    <t>Juego geométrico flexible</t>
  </si>
  <si>
    <t>PAP-FOLDPA-088</t>
  </si>
  <si>
    <t>Folder plástico azul pastel</t>
  </si>
  <si>
    <t>PAP-FOLDPV-089</t>
  </si>
  <si>
    <t xml:space="preserve">Folder plástico verde pastel </t>
  </si>
  <si>
    <t>PAP-LAPAD-90</t>
  </si>
  <si>
    <t>Lápiz adhesivo 12pzs</t>
  </si>
  <si>
    <t>PAP-LETREX-91</t>
  </si>
  <si>
    <t>Letrero "Extintor"</t>
  </si>
  <si>
    <t>PAP-LETRB-092</t>
  </si>
  <si>
    <t>Letrero "Botiquin"</t>
  </si>
  <si>
    <t>PAP-SEÑPE-093</t>
  </si>
  <si>
    <t>Señalamiento Peligro</t>
  </si>
  <si>
    <t>PAP-SEÑPR-094</t>
  </si>
  <si>
    <t>Señalamiento Precaución</t>
  </si>
  <si>
    <t>PAP-SOBRP-095</t>
  </si>
  <si>
    <t>Sobre pequeño c/hilo color negro</t>
  </si>
  <si>
    <t>PAP-TABLP-096</t>
  </si>
  <si>
    <t xml:space="preserve">Tabla plástica pequeña </t>
  </si>
  <si>
    <t>PAP-NOTGA-097</t>
  </si>
  <si>
    <t xml:space="preserve">Notas comprobante para gastos </t>
  </si>
  <si>
    <t>PAP-HOJET-098</t>
  </si>
  <si>
    <t xml:space="preserve">Hoja t/carta de etiquetas </t>
  </si>
  <si>
    <t>PAP-HOJOP-099</t>
  </si>
  <si>
    <t xml:space="preserve">Hojas opalina </t>
  </si>
  <si>
    <t>MAQ-COMOAK-2.5HP</t>
  </si>
  <si>
    <t>Compresor verde Oakland 2.5 Hp 25Lts</t>
  </si>
  <si>
    <t>MAQ-COMOAK-1HP</t>
  </si>
  <si>
    <t>Compresor negro Oakland 1 Hp 108Lts</t>
  </si>
  <si>
    <t>MAQ-DS220-210</t>
  </si>
  <si>
    <t>Máquina de soldar 220 -110 Lincoln 250 Ampr</t>
  </si>
  <si>
    <t>MAQ-DS210-220</t>
  </si>
  <si>
    <t>Máquina de soldar 210 - 110 Microalambre Kerhër</t>
  </si>
  <si>
    <t>MAQ-DS220-440</t>
  </si>
  <si>
    <t>Máquina de soldar 220- 440 Infra 300 Ampr</t>
  </si>
  <si>
    <t>MAQ-TOR220</t>
  </si>
  <si>
    <t>Torno 220 - Regal</t>
  </si>
  <si>
    <t>MAQ-SCRAX-200A</t>
  </si>
  <si>
    <t>Soldadora con regenerador AX Tech 200 A</t>
  </si>
  <si>
    <t>MAQ-SCGAX-160A</t>
  </si>
  <si>
    <t>Soldadora con generador AX Tech 160 A 5,500 W</t>
  </si>
  <si>
    <t>MAQ-SCG-7HP</t>
  </si>
  <si>
    <t>Soldadora con generador Power Hunt 7 Hp 5 Lts 130 A</t>
  </si>
  <si>
    <t>MAQ-EDB-1/2HP</t>
  </si>
  <si>
    <t>Esmeril  de banco Dewalt 1/2Hp 373 W  3.1 A  3,450 r/min</t>
  </si>
  <si>
    <t>MAQ-PDW-412</t>
  </si>
  <si>
    <t>Pulidora Dewalt 4 1/2" 12,00 r/min de 5/8" a 1"</t>
  </si>
  <si>
    <t>MAQ-PMR-412</t>
  </si>
  <si>
    <t>Pulidora makita roja 4 1/2" 11,00 r/min 1,050W</t>
  </si>
  <si>
    <t>MAQ-PMV-412</t>
  </si>
  <si>
    <t>Pulidora makita verde 4 1/2" 12,00 r/min  1,100 W</t>
  </si>
  <si>
    <t>MAQ-REDW-450</t>
  </si>
  <si>
    <t>Rectificador Dewalt 450 W 3.1 A 3450 r/min</t>
  </si>
  <si>
    <t>MAQ-CDWC-14</t>
  </si>
  <si>
    <t>Cortadora Dewalt circular 14" 25,000 r/min 2,300W</t>
  </si>
  <si>
    <t>MAQ-PUKB-6</t>
  </si>
  <si>
    <t>Pulidora de 6" blanca de ker</t>
  </si>
  <si>
    <t>MAQ-MOHU-2.5</t>
  </si>
  <si>
    <t>Motosierra Husky 20" 2.5 Hp</t>
  </si>
  <si>
    <t>MAQ-CABA-1200</t>
  </si>
  <si>
    <t>Cargador de baterias Schumacher Instant Power 1,200 ampr 150 psi</t>
  </si>
  <si>
    <t>HER-JDST-37P</t>
  </si>
  <si>
    <t xml:space="preserve">Juego de dados stanley 37 piezas </t>
  </si>
  <si>
    <t>HER-LLASU-1116</t>
  </si>
  <si>
    <t>Llave surtek 1 1/16"</t>
  </si>
  <si>
    <t>HER-MATPR-38</t>
  </si>
  <si>
    <t xml:space="preserve">Matraca 3/8 pretul </t>
  </si>
  <si>
    <t>HER-LLACO-78</t>
  </si>
  <si>
    <t>Llave c/corona 7/8"</t>
  </si>
  <si>
    <t>HER-LLACO-1116</t>
  </si>
  <si>
    <t>Llave c/corona China 1 1/16"</t>
  </si>
  <si>
    <t>HER-LLAJUP-10</t>
  </si>
  <si>
    <t xml:space="preserve">Llave ajustable pretul 10" </t>
  </si>
  <si>
    <t>HER-LLACO-118</t>
  </si>
  <si>
    <t>Llave c/corona China 1 1/8"</t>
  </si>
  <si>
    <t>HER-DESVE-001</t>
  </si>
  <si>
    <t xml:space="preserve">Desarmador verde </t>
  </si>
  <si>
    <t>HER-LLACOP-12</t>
  </si>
  <si>
    <t>Llave c/corona pretul 1/2"</t>
  </si>
  <si>
    <t>HER-MAGO-002</t>
  </si>
  <si>
    <t>Maso de goma Total</t>
  </si>
  <si>
    <t>HER-CEPALTR-003</t>
  </si>
  <si>
    <t xml:space="preserve">Cepillo de alambre mango de plástico Truper </t>
  </si>
  <si>
    <t>HER-FORTR-1</t>
  </si>
  <si>
    <t xml:space="preserve">Furmon truper 1" </t>
  </si>
  <si>
    <t>HER-PIPRW-004</t>
  </si>
  <si>
    <t>Pinza de presión wisegrip</t>
  </si>
  <si>
    <t>HER-PINPU-005</t>
  </si>
  <si>
    <t>Pinza de punta</t>
  </si>
  <si>
    <t>HER-PIELPR-006</t>
  </si>
  <si>
    <t xml:space="preserve">Pinza de electricista pretul </t>
  </si>
  <si>
    <t>HER-DPPR-007</t>
  </si>
  <si>
    <t>Desarmador plano pretul</t>
  </si>
  <si>
    <t>HER-CUT-008</t>
  </si>
  <si>
    <t xml:space="preserve">Cuter </t>
  </si>
  <si>
    <t>HER-DECRPR-009</t>
  </si>
  <si>
    <t>desarmador cruz pretul dp-316 x 4tp</t>
  </si>
  <si>
    <t>HER-MATRU-12</t>
  </si>
  <si>
    <t>Matraca truper 1/2"</t>
  </si>
  <si>
    <t>HER-JDMA-010</t>
  </si>
  <si>
    <t xml:space="preserve">Juego de dados con matraca y extensión </t>
  </si>
  <si>
    <t>HER-JDAD-45P</t>
  </si>
  <si>
    <t>Juego de dados Total 45 pzs.</t>
  </si>
  <si>
    <t>HER-JDJUM-43P</t>
  </si>
  <si>
    <t>Juego de dados juemel 43 pzs.</t>
  </si>
  <si>
    <t>HER-JSCB-12P</t>
  </si>
  <si>
    <t>juego de sacabocados 12 pzs</t>
  </si>
  <si>
    <t>HER-PONCH-011</t>
  </si>
  <si>
    <t>Ponchadora pinza hidráulica teeno</t>
  </si>
  <si>
    <t>HER-CIME-30</t>
  </si>
  <si>
    <t xml:space="preserve">Cinta métrica 30m </t>
  </si>
  <si>
    <t>HER-JMATR-16P</t>
  </si>
  <si>
    <t>Juego de machuelos 16pzs truper</t>
  </si>
  <si>
    <t>HER-CIZA-012</t>
  </si>
  <si>
    <t>Cizalla corta pernos</t>
  </si>
  <si>
    <t>HER-CERRU-50</t>
  </si>
  <si>
    <t xml:space="preserve">Cerrucho Total 50" </t>
  </si>
  <si>
    <t>HER-FLEJSEA-10</t>
  </si>
  <si>
    <t>Flejadora manual azul 10" marca seafon</t>
  </si>
  <si>
    <t>HER-DAURR-11316</t>
  </si>
  <si>
    <t>Dado urrea 1 13/16"</t>
  </si>
  <si>
    <t>HER-TORT-6T</t>
  </si>
  <si>
    <t xml:space="preserve">Tortuga 6 toneladas vevor </t>
  </si>
  <si>
    <t>HER-JSCBM-8P</t>
  </si>
  <si>
    <t>Juego de sacabocados para madera 8pzs</t>
  </si>
  <si>
    <t>HER-PIPASUR-013</t>
  </si>
  <si>
    <t xml:space="preserve">Pinzas de presión surtek tipo pato </t>
  </si>
  <si>
    <t>HER-PIPRE-014</t>
  </si>
  <si>
    <t xml:space="preserve">Pinza de presión de una pulgada </t>
  </si>
  <si>
    <t>HER-PICANG-015</t>
  </si>
  <si>
    <t>Pinza de presión tipo cangrego truper</t>
  </si>
  <si>
    <t>HER-DESPL-316</t>
  </si>
  <si>
    <t>desarmador plano truper dg 3/16 x 4"</t>
  </si>
  <si>
    <t>HER-PIPUN-016</t>
  </si>
  <si>
    <t>Pinzas de punta pretul</t>
  </si>
  <si>
    <t>HER-DESDIE-017</t>
  </si>
  <si>
    <t>Desarmador dielectrico 0.8x4x100</t>
  </si>
  <si>
    <t>HER-LLAV11-16</t>
  </si>
  <si>
    <t xml:space="preserve">Llave 11/16 </t>
  </si>
  <si>
    <t>HER-PISOLD-018</t>
  </si>
  <si>
    <t xml:space="preserve">Pinza soldadura microalambre </t>
  </si>
  <si>
    <t>HER-LTRTR-019</t>
  </si>
  <si>
    <t xml:space="preserve">Lima triangular marca truper </t>
  </si>
  <si>
    <t>HER-PIARE-612</t>
  </si>
  <si>
    <t xml:space="preserve">Pinza para anillo de retención 6 1/2" </t>
  </si>
  <si>
    <t>HER-ESCSU-9</t>
  </si>
  <si>
    <t xml:space="preserve">Escuadra surtek 9" </t>
  </si>
  <si>
    <t>HER-BERPR-12</t>
  </si>
  <si>
    <t>Berbiqui pretul con broquero de 1/2"</t>
  </si>
  <si>
    <t>HER-NPRTR-3G</t>
  </si>
  <si>
    <t xml:space="preserve">Nivel profesional marca truper 24" 3 gotas </t>
  </si>
  <si>
    <t>HER-NIVTR8-3G</t>
  </si>
  <si>
    <t>Nivel 3 gotas truper 8"</t>
  </si>
  <si>
    <t>HER-CEPALTR-020</t>
  </si>
  <si>
    <t xml:space="preserve">Cepillo de alambre metálico marca truper </t>
  </si>
  <si>
    <t>HER-TOBAPR-6</t>
  </si>
  <si>
    <t xml:space="preserve">Tornillo de banco 6" pretul </t>
  </si>
  <si>
    <t>HER-JLLATO-9P</t>
  </si>
  <si>
    <t>Juego de llaves tork  9pzs</t>
  </si>
  <si>
    <t>HER-DESPL-021</t>
  </si>
  <si>
    <t xml:space="preserve">Desarmador plano Total </t>
  </si>
  <si>
    <t>HER-ARCCEG-022</t>
  </si>
  <si>
    <t xml:space="preserve">Arco de cegueta Total </t>
  </si>
  <si>
    <t>HER-JLLAES-023</t>
  </si>
  <si>
    <t xml:space="preserve">Juego de llaves españolas para rotular </t>
  </si>
  <si>
    <t>HER-CAIM-6</t>
  </si>
  <si>
    <t>Caimanes 6"</t>
  </si>
  <si>
    <t>HER-CAIM-12</t>
  </si>
  <si>
    <t>Caimanes 12"</t>
  </si>
  <si>
    <t>HER-ELEV-8</t>
  </si>
  <si>
    <t>Elevadores par 8"</t>
  </si>
  <si>
    <t>HER-ELEV-6</t>
  </si>
  <si>
    <t>Elevadores par 6"</t>
  </si>
  <si>
    <t>HER-ELEV-4</t>
  </si>
  <si>
    <t>Elevadores par 4"</t>
  </si>
  <si>
    <t>HER-ELEV-3</t>
  </si>
  <si>
    <t>Elevadores par 3"</t>
  </si>
  <si>
    <t>HER-GUILL-024</t>
  </si>
  <si>
    <t xml:space="preserve">Guillotina </t>
  </si>
  <si>
    <t>HER-PACUAPR-025</t>
  </si>
  <si>
    <t>Pala cuadrada pretul</t>
  </si>
  <si>
    <t>HER-PAANPR-026</t>
  </si>
  <si>
    <t>Pala ancha pretul</t>
  </si>
  <si>
    <t>HER-PARED-027</t>
  </si>
  <si>
    <t>Pala redonda mango largo</t>
  </si>
  <si>
    <t>HER-PICOS-028</t>
  </si>
  <si>
    <t xml:space="preserve">Picos </t>
  </si>
  <si>
    <t>HER-MARR-8L</t>
  </si>
  <si>
    <t>Marro 8lb</t>
  </si>
  <si>
    <t>HER-MARR-12L</t>
  </si>
  <si>
    <t>Marro 12Lb</t>
  </si>
  <si>
    <t>HER-DESCRZ-316</t>
  </si>
  <si>
    <t>Desarmador cruz dp 3/16 x 3</t>
  </si>
  <si>
    <t>HER-ALENTR-516</t>
  </si>
  <si>
    <t>alen truper 5/16</t>
  </si>
  <si>
    <t>HER-LLACO-10</t>
  </si>
  <si>
    <t>Llave con corona 10</t>
  </si>
  <si>
    <t>HER-CLAV-029</t>
  </si>
  <si>
    <t>Clavos (g)</t>
  </si>
  <si>
    <t>HER-CINCH-1500</t>
  </si>
  <si>
    <t>Cincho de 5.8 cm x 8.23 m capacidad 1500k</t>
  </si>
  <si>
    <t>HER-MATR-030</t>
  </si>
  <si>
    <t xml:space="preserve">Matraca </t>
  </si>
  <si>
    <t>MM-TUB2-1</t>
  </si>
  <si>
    <t>tubular 2 x 1" tramo 6 mts</t>
  </si>
  <si>
    <t>MM-TUB4-112</t>
  </si>
  <si>
    <t>TUBULAR 4 x 1 1/2" 6 mts</t>
  </si>
  <si>
    <t>MM-PTR-12</t>
  </si>
  <si>
    <t>ptr cuadrado de 1/2 2.75 mts</t>
  </si>
  <si>
    <t>MM-TUHUE-12</t>
  </si>
  <si>
    <t>Tubo de 1/2" hueco tramo de 2.68mts</t>
  </si>
  <si>
    <t>ptr 1" tramo 5.20 mts</t>
  </si>
  <si>
    <t>MM-SOL18-1</t>
  </si>
  <si>
    <t>solera de 1/8 x 1" tramo de 6 mts</t>
  </si>
  <si>
    <t>MM-SOL116-1</t>
  </si>
  <si>
    <t>solera de 1/16" x 1" tramo de 6 mts</t>
  </si>
  <si>
    <t>MM-SOL112-18</t>
  </si>
  <si>
    <t>solera de 1 1/2" x 1/8 tramos de 6 mts</t>
  </si>
  <si>
    <t>MM-SOL-12-16</t>
  </si>
  <si>
    <t xml:space="preserve">Solera de 1/2" x 1/6" tramo de 6mts </t>
  </si>
  <si>
    <t>MM-SOL516-112</t>
  </si>
  <si>
    <t>Solera de 5/16" x 1 1/2" tramo de 45"</t>
  </si>
  <si>
    <t>MM-SOL18-112</t>
  </si>
  <si>
    <t>Solera de 1/8" x 1 1/2" tramos de 76"</t>
  </si>
  <si>
    <t xml:space="preserve">Solera de 1/8 x 1" tramo de 2.7 mts </t>
  </si>
  <si>
    <t>MM-PTR-1</t>
  </si>
  <si>
    <t>PTR 1" Tramo 2.95 mts</t>
  </si>
  <si>
    <t>MM-PTR-2</t>
  </si>
  <si>
    <t>PTR 2" tramo de 2.99mts</t>
  </si>
  <si>
    <t>Ptr 2" tramo de 1.12m</t>
  </si>
  <si>
    <t>MM-PTR-212</t>
  </si>
  <si>
    <t xml:space="preserve">PTR 2 1/2" tramo de 80 cm </t>
  </si>
  <si>
    <t>MM-PTR-112</t>
  </si>
  <si>
    <t>PTR 1 1/2" tramo de 1.30 mts</t>
  </si>
  <si>
    <t>MM-BREF-1</t>
  </si>
  <si>
    <t>Barra reforzada 1" tramo de 2.85 mts</t>
  </si>
  <si>
    <t xml:space="preserve">PTR 2" tramo de 3 mts </t>
  </si>
  <si>
    <t>MM-ANG-14</t>
  </si>
  <si>
    <t>Angulo 1/4 x 2 x 2" tramo de 2.39mts</t>
  </si>
  <si>
    <t xml:space="preserve">PTR 2" tramo 6 mts reforzado </t>
  </si>
  <si>
    <t>PTR 1 1/2" tramo de 1.10m</t>
  </si>
  <si>
    <t>MM-PTR-3</t>
  </si>
  <si>
    <t>PTR 3" tramo de 6mts</t>
  </si>
  <si>
    <t>MM-PTRREF-3</t>
  </si>
  <si>
    <t>PTR 3" reforzado de 3.81 mts</t>
  </si>
  <si>
    <t>PTR 2" tramo 6mts</t>
  </si>
  <si>
    <t>MM-ANG12-18</t>
  </si>
  <si>
    <t>Angulo 1/2 x 1/8 tramo 6 mts</t>
  </si>
  <si>
    <t>MM-ANG112-18</t>
  </si>
  <si>
    <t>Angulo 1 1/2 x 1/8 tramo de 3.96</t>
  </si>
  <si>
    <t>MM-ANG1-18</t>
  </si>
  <si>
    <t>Angulo 1" x 1/8" tramo 6 mts</t>
  </si>
  <si>
    <t>MM-BARR-12</t>
  </si>
  <si>
    <t xml:space="preserve">barra 1/2" tramo de 6mts </t>
  </si>
  <si>
    <t>MM-BARR-14</t>
  </si>
  <si>
    <t>Barra 1/4" tramo 2.32mts</t>
  </si>
  <si>
    <t>Barra 1/4" tramo de 4.75mts</t>
  </si>
  <si>
    <t>MM-BARR-582</t>
  </si>
  <si>
    <t>Barra 5/82 tramo de 4.25mts</t>
  </si>
  <si>
    <t>MM-ANG34-116</t>
  </si>
  <si>
    <t>Angulo 3/4" x 1/16" tramo 6mts</t>
  </si>
  <si>
    <t>Barra 1/2" tramo de 5mts</t>
  </si>
  <si>
    <t>MM-BARR-34</t>
  </si>
  <si>
    <t>Barra 3/4" tramo 3.25 mts</t>
  </si>
  <si>
    <t>Angulo 1" x 1/8" tramo 2.94mts</t>
  </si>
  <si>
    <t>MM-VIG-4</t>
  </si>
  <si>
    <t xml:space="preserve">Viga 4" tramo 6 mts </t>
  </si>
  <si>
    <t>MM-TUBO-2</t>
  </si>
  <si>
    <t>Tubo 2" tramo 6mts</t>
  </si>
  <si>
    <t>MM-TUBO-312</t>
  </si>
  <si>
    <t>Tubo 3 1/2" tramo 6mts</t>
  </si>
  <si>
    <t>Tubo 2" tramo 4.80mts</t>
  </si>
  <si>
    <t>MM-TUBO-212</t>
  </si>
  <si>
    <t>Tubo 2 1/2" tramo 3mts</t>
  </si>
  <si>
    <t>MM-CAN-112</t>
  </si>
  <si>
    <t>Canaleta 1 1/2" tramo 88"</t>
  </si>
  <si>
    <t>MM-VARCO-34</t>
  </si>
  <si>
    <t>Varilla corrugada 3/4" tramo 3.79mts</t>
  </si>
  <si>
    <t>Varilla corrugada 3/4" tramo 2.37mts</t>
  </si>
  <si>
    <t>Varilla corrugada 3/4" tramo 2.61mts</t>
  </si>
  <si>
    <t>LIM-QDIS-001</t>
  </si>
  <si>
    <t>Químico dispersante (bidones)</t>
  </si>
  <si>
    <t>LIM-LIDES-002</t>
  </si>
  <si>
    <t>Químico liquid acid descaler (bidones)</t>
  </si>
  <si>
    <t>LIM-QAQCL-003</t>
  </si>
  <si>
    <t>Químico aqua clear (bidones)</t>
  </si>
  <si>
    <t>LIM-JAAZ-004</t>
  </si>
  <si>
    <t>Jabon azul (bidones)</t>
  </si>
  <si>
    <t>LIM-CLOR-005</t>
  </si>
  <si>
    <t>Cloro estabilizado y concentrado para piscinas 21k</t>
  </si>
  <si>
    <t>LIM-DIES-006</t>
  </si>
  <si>
    <t>Diesel (bidones)</t>
  </si>
  <si>
    <t>LIM-DIES-007</t>
  </si>
  <si>
    <t>Diesel p/limpieza de pzs. (bidones)</t>
  </si>
  <si>
    <t>LIM-GASO-008</t>
  </si>
  <si>
    <t>Gasolina</t>
  </si>
  <si>
    <t>LIM-GRAS-009</t>
  </si>
  <si>
    <t>Grasa (kg)</t>
  </si>
  <si>
    <t>LIM-GASBL-010</t>
  </si>
  <si>
    <t>Gasolina blanca (l)</t>
  </si>
  <si>
    <t>LIM-TIN-011</t>
  </si>
  <si>
    <t xml:space="preserve">Tiner </t>
  </si>
  <si>
    <t>MACO-DISDE-S-4</t>
  </si>
  <si>
    <t xml:space="preserve">Discos de desvaste marca makita 4"- 1/2 x 1/4 x 7/8 </t>
  </si>
  <si>
    <t>MACO-DISCO-4</t>
  </si>
  <si>
    <t>Disco de corte 4" - 1/2 x 3/64 x 7/8</t>
  </si>
  <si>
    <t>MACO-E6013-18</t>
  </si>
  <si>
    <t>Electrodo 6013 1/8</t>
  </si>
  <si>
    <t>MACO-E7018-18</t>
  </si>
  <si>
    <t>electrodo 7018 1/8</t>
  </si>
  <si>
    <t>MACO-VARC-14</t>
  </si>
  <si>
    <t xml:space="preserve">Varilla para arcaid carbón 1/4 </t>
  </si>
  <si>
    <t>MACO-E7018-532</t>
  </si>
  <si>
    <t>Electrodo 7018 5/32</t>
  </si>
  <si>
    <t>MACO-E6013-316</t>
  </si>
  <si>
    <t xml:space="preserve">Electrodo 6013 3/16 </t>
  </si>
  <si>
    <t>MACO-EBRO-18</t>
  </si>
  <si>
    <t>Electrodo bronce 1/8</t>
  </si>
  <si>
    <t>MACO-CECIR-4</t>
  </si>
  <si>
    <t xml:space="preserve">cepillo circular 4" </t>
  </si>
  <si>
    <t>MACO-DISABRC-4</t>
  </si>
  <si>
    <t>Disco abrasivo para corte 4"</t>
  </si>
  <si>
    <t>MACO-CEPCO-4</t>
  </si>
  <si>
    <t>Cepillo en forma de copa 4"</t>
  </si>
  <si>
    <t>MACO-DISDIA-412</t>
  </si>
  <si>
    <t>Disco de diamamante 4 1/2"</t>
  </si>
  <si>
    <t>MACO-JBRODE-001</t>
  </si>
  <si>
    <t>Juego de brocas black+decker</t>
  </si>
  <si>
    <t>MACO-BRO-14ME</t>
  </si>
  <si>
    <t>Brocas 1/4 metal</t>
  </si>
  <si>
    <t>MACO-BRO-516ME</t>
  </si>
  <si>
    <t>Brocas 5/16 metal</t>
  </si>
  <si>
    <t>MACO-BRO-532ME</t>
  </si>
  <si>
    <t>Brocas 5/32 metal</t>
  </si>
  <si>
    <t>MACO-BRO-18ME</t>
  </si>
  <si>
    <t>Brocas 1/8 metal</t>
  </si>
  <si>
    <t>MACO-BRO-316ME</t>
  </si>
  <si>
    <t xml:space="preserve">Brocas 3/16 metal </t>
  </si>
  <si>
    <t>MACO-BRO-732MA</t>
  </si>
  <si>
    <t xml:space="preserve">Brocas 7/32 madera </t>
  </si>
  <si>
    <t>MACO-BRO-14CO</t>
  </si>
  <si>
    <t xml:space="preserve">Brocas 1/4 concreto </t>
  </si>
  <si>
    <t>MACO-BRO-38CO</t>
  </si>
  <si>
    <t>Brocas 3/8 concreto</t>
  </si>
  <si>
    <t>MACO-BRO-53ME</t>
  </si>
  <si>
    <t>Brocas 5/3 metal</t>
  </si>
  <si>
    <t>MACO-BRO-12ME</t>
  </si>
  <si>
    <t>Brocas 1/2 metal</t>
  </si>
  <si>
    <t>MACO-BRO-12</t>
  </si>
  <si>
    <t>Brocas 1/2"</t>
  </si>
  <si>
    <t>MACO-BRO-38ME</t>
  </si>
  <si>
    <t>Brocas 3/8 metal</t>
  </si>
  <si>
    <t>MACO-BRO-516MA</t>
  </si>
  <si>
    <t xml:space="preserve">Borcas 5/16 madera </t>
  </si>
  <si>
    <t>MACO-BRO-516CO</t>
  </si>
  <si>
    <t>Brocas 5/16 concreto</t>
  </si>
  <si>
    <t>MACO-BRO-716ME</t>
  </si>
  <si>
    <t>Brocas 7/16 metal</t>
  </si>
  <si>
    <t>MACO-BRO-332ME</t>
  </si>
  <si>
    <t>Brocas 3/32 metal</t>
  </si>
  <si>
    <t>MACO-BRO-732ME</t>
  </si>
  <si>
    <t>Brocas 7/32 metal</t>
  </si>
  <si>
    <t>MACO-TOR53-212</t>
  </si>
  <si>
    <t>Tornillo 5/3 x 2 1/2"</t>
  </si>
  <si>
    <t>MACO-TOR23-3</t>
  </si>
  <si>
    <t xml:space="preserve">Tronillo 5/3 x 3" </t>
  </si>
  <si>
    <t>MACO-TOR12-212</t>
  </si>
  <si>
    <t>Tornillo 1/2 x 2 1/2"</t>
  </si>
  <si>
    <t>MACO-TOR12-2</t>
  </si>
  <si>
    <t>Tornillo 1/2 x 2"</t>
  </si>
  <si>
    <t>MACO-TOR12-138</t>
  </si>
  <si>
    <t>Tornillo 1/2 x 1 3/8"</t>
  </si>
  <si>
    <t>MACO-TOR716-34</t>
  </si>
  <si>
    <t>Tornillo 7/16 x 3/4</t>
  </si>
  <si>
    <t>MACO-TOR716-1</t>
  </si>
  <si>
    <t>Tornillo 7/16 x 1"</t>
  </si>
  <si>
    <t>MACO-TOR716-112</t>
  </si>
  <si>
    <t>Tornillo 7/16 x 1 1/2"</t>
  </si>
  <si>
    <t>MACO-TOR716-134</t>
  </si>
  <si>
    <t>Tornillo 7/16 x 1 3/4"</t>
  </si>
  <si>
    <t>MACO-TOR716-2</t>
  </si>
  <si>
    <t>Tornillo 7/16 x 2"</t>
  </si>
  <si>
    <t>MACO-TOR38-34</t>
  </si>
  <si>
    <t>Tornillo 3/8 x 3/4</t>
  </si>
  <si>
    <t>MACO-TOR38-1</t>
  </si>
  <si>
    <t>Tornillo 3/8 x 1"</t>
  </si>
  <si>
    <t>MACO-TOR38-112</t>
  </si>
  <si>
    <t>Tronillo 3/8 x 1 1/2"</t>
  </si>
  <si>
    <t>MACO-TOR716-312</t>
  </si>
  <si>
    <t>Tornillo 7/16 x 3 1/2"</t>
  </si>
  <si>
    <t>MACO-TOR53-2</t>
  </si>
  <si>
    <t>Tornillo 5/3 x 2"</t>
  </si>
  <si>
    <t>MACO-TOR4MM-100MM</t>
  </si>
  <si>
    <t xml:space="preserve">Tornillo 4mm x 100mm </t>
  </si>
  <si>
    <t>MACO-TOR53-4</t>
  </si>
  <si>
    <t>Tornillo 5/3 x 4"</t>
  </si>
  <si>
    <t>MACO-TOR53-112</t>
  </si>
  <si>
    <t>Tornillo 5/3 x 1 1/2"</t>
  </si>
  <si>
    <t>MACO-TOR34-412</t>
  </si>
  <si>
    <t>Tornillo 3/4 x 4 1/2"</t>
  </si>
  <si>
    <t>MACO-TOR34-312</t>
  </si>
  <si>
    <t>Tornillo 3/4 x 3 1/2"</t>
  </si>
  <si>
    <t>MACO-TOR34-58</t>
  </si>
  <si>
    <t>Tornillo 3/4 x 5/8"</t>
  </si>
  <si>
    <t>MACO-TOR516-1</t>
  </si>
  <si>
    <t xml:space="preserve">Tornillo 5/16 x 1" </t>
  </si>
  <si>
    <t>MACO-TOR-716-212</t>
  </si>
  <si>
    <t>Tornillo 7/16 x 2 1/2"</t>
  </si>
  <si>
    <t>MACO-TOR716-3</t>
  </si>
  <si>
    <t>Tornillo 7/16 x 3"</t>
  </si>
  <si>
    <t>MACO-TOR12-112</t>
  </si>
  <si>
    <t>Tronillo 1/2 x 1 1/2"</t>
  </si>
  <si>
    <t>MACO-TOR-10MM</t>
  </si>
  <si>
    <t>Tornillo 10mm</t>
  </si>
  <si>
    <t>MACO-TOR38-2</t>
  </si>
  <si>
    <t>Tornillo 3/8 x 2"</t>
  </si>
  <si>
    <t>MACO-TOR14-434</t>
  </si>
  <si>
    <t>Tornillo 1/4" x 4 3/4"</t>
  </si>
  <si>
    <t>MACO-TOR38-212</t>
  </si>
  <si>
    <t>Tornillo 3/8 x 2 1/2"</t>
  </si>
  <si>
    <t>MACO-TORSO12MM-45MM</t>
  </si>
  <si>
    <t>Tornillo socket 12mm x 45mm</t>
  </si>
  <si>
    <t>MACO-TORSO516-58</t>
  </si>
  <si>
    <t>Tornillo socket 5/16 x 5/8</t>
  </si>
  <si>
    <t>MACO-TORSO716-3</t>
  </si>
  <si>
    <t>Tornillo socket 7/16 x 3"</t>
  </si>
  <si>
    <t>MACO-TORSO12-3</t>
  </si>
  <si>
    <t>Tornillo socket 1/2 x 3"</t>
  </si>
  <si>
    <t>MACO-TORSO716-34</t>
  </si>
  <si>
    <t>Tornillo socket 7/16 x 3/4</t>
  </si>
  <si>
    <t>MACO-TORSO516-212</t>
  </si>
  <si>
    <t>Tornillo socket 5/16 x 2 1/2"</t>
  </si>
  <si>
    <t>MACO-TORSO516-112</t>
  </si>
  <si>
    <t>Tornillo socket 5/16 x 1 1/2"</t>
  </si>
  <si>
    <t>MACO-TUER-58</t>
  </si>
  <si>
    <t>Tuerca 5/8"</t>
  </si>
  <si>
    <t>MACO-TUER-716</t>
  </si>
  <si>
    <t>Tuerca 7/16"</t>
  </si>
  <si>
    <t>MACO-TUER-916</t>
  </si>
  <si>
    <t>Tuerca 9/16"</t>
  </si>
  <si>
    <t>MACO-TUER-38</t>
  </si>
  <si>
    <t>Tuerca 3/8"</t>
  </si>
  <si>
    <t>MACO-TUER-34</t>
  </si>
  <si>
    <t>Tuerca 3/4"</t>
  </si>
  <si>
    <t>MACO-TUER-53</t>
  </si>
  <si>
    <t>Tuerca 5/3"</t>
  </si>
  <si>
    <t>MACO-TUER-516</t>
  </si>
  <si>
    <t>Tuerca 5/16"</t>
  </si>
  <si>
    <t>MACO-TUER-12</t>
  </si>
  <si>
    <t>Tuerca 1/2"</t>
  </si>
  <si>
    <t>MACO-TUER-14</t>
  </si>
  <si>
    <t>Tuerca 1/4"</t>
  </si>
  <si>
    <t>MACO-TUER-14MM</t>
  </si>
  <si>
    <t>Tuerca 14mm</t>
  </si>
  <si>
    <t>MACO-TUER-10MM</t>
  </si>
  <si>
    <t>Tuerca 10mm</t>
  </si>
  <si>
    <t>MACO-TUER-9MM</t>
  </si>
  <si>
    <t xml:space="preserve">Tuerca 9mm </t>
  </si>
  <si>
    <t>MACO-TUER-6MM</t>
  </si>
  <si>
    <t>Tuerca 6mm</t>
  </si>
  <si>
    <t>MACO-TUERAC-38</t>
  </si>
  <si>
    <t>Tuerca de acople 3/8</t>
  </si>
  <si>
    <t>MACO-TUERSEG-12</t>
  </si>
  <si>
    <t>Tuerca de seguridad 1/2"</t>
  </si>
  <si>
    <t>MACO-RON-716</t>
  </si>
  <si>
    <t>Rondana 7/16"</t>
  </si>
  <si>
    <t>MACO-RON-12</t>
  </si>
  <si>
    <t>Rondana 1/2"</t>
  </si>
  <si>
    <t>MACO-RON-516</t>
  </si>
  <si>
    <t>Rondana 5/16"</t>
  </si>
  <si>
    <t>MACO-RON-38</t>
  </si>
  <si>
    <t>Rondana 3/8"</t>
  </si>
  <si>
    <t>MACO-RON-58</t>
  </si>
  <si>
    <t>Rondana 5/8"</t>
  </si>
  <si>
    <t>MACO-RON-34</t>
  </si>
  <si>
    <t>Rondana 3/4"</t>
  </si>
  <si>
    <t>MACO-RON-20MM</t>
  </si>
  <si>
    <t>Ronadana 20mm</t>
  </si>
  <si>
    <t>MACO-RON-18MM</t>
  </si>
  <si>
    <t>Rondana 18mm</t>
  </si>
  <si>
    <t>MACO-RON-16MM</t>
  </si>
  <si>
    <t>Rondana 16mm</t>
  </si>
  <si>
    <t>MACO-RON-15MM</t>
  </si>
  <si>
    <t>Ronadana 15mm</t>
  </si>
  <si>
    <t>MACO-RON-14MM</t>
  </si>
  <si>
    <t>Rondana 14mm</t>
  </si>
  <si>
    <t>MACO-RONB-38</t>
  </si>
  <si>
    <t>Rondana de bloqueo 3/8"</t>
  </si>
  <si>
    <t>MACO-RONB-13MM</t>
  </si>
  <si>
    <t>Rondana de bloqueo 13mm</t>
  </si>
  <si>
    <t>MACO-RONS-20MM</t>
  </si>
  <si>
    <t>Rondana de seguridad 20mm</t>
  </si>
  <si>
    <t>MACO-RONS-10MM</t>
  </si>
  <si>
    <t>Rondana de seguridad 10mm</t>
  </si>
  <si>
    <t>MACO-RONS-9MM</t>
  </si>
  <si>
    <t>Rondana de seguridad 9mm</t>
  </si>
  <si>
    <t>MACO-RONS-13MM</t>
  </si>
  <si>
    <t>Rondana de seguridad 13mm</t>
  </si>
  <si>
    <t>MACO-RONS-16MM</t>
  </si>
  <si>
    <t>Rondana de seguridad 16mm</t>
  </si>
  <si>
    <t>MACO-RONS-8MM</t>
  </si>
  <si>
    <t>Rondana de seguridad 8mm</t>
  </si>
  <si>
    <t>MACO-RONP-716</t>
  </si>
  <si>
    <t>Rondana de presión 7/16</t>
  </si>
  <si>
    <t>MACO-RONP-34</t>
  </si>
  <si>
    <t>Rondana de presión 3/4</t>
  </si>
  <si>
    <t>MACO-RONR-12</t>
  </si>
  <si>
    <t>Rondana Reforzada 1/2"</t>
  </si>
  <si>
    <t>MACO-CLA-40MM</t>
  </si>
  <si>
    <t>Clavos 40mm</t>
  </si>
  <si>
    <t>MACO-CLA-10MM</t>
  </si>
  <si>
    <t>Clavos 10mm x 35mm</t>
  </si>
  <si>
    <t>MACO-CLA-5MM</t>
  </si>
  <si>
    <t>Clavos 5mm x 50mm</t>
  </si>
  <si>
    <t>MACO-PIJ-4MM</t>
  </si>
  <si>
    <t>Pja 4mm x 35</t>
  </si>
  <si>
    <t>MACO-PIJ-2</t>
  </si>
  <si>
    <t>Pija 2 x 1/4"</t>
  </si>
  <si>
    <t>Pija 4mm x 1 1/2"</t>
  </si>
  <si>
    <t>MACO-PIJ-8MM</t>
  </si>
  <si>
    <t>Pija 8mm x 2 1/4"</t>
  </si>
  <si>
    <t>MACO-PERR-34</t>
  </si>
  <si>
    <t>Perros 3/4"</t>
  </si>
  <si>
    <t>MACO-PERR-58</t>
  </si>
  <si>
    <t>Perros 5/8"</t>
  </si>
  <si>
    <t>MACO-PERR-18</t>
  </si>
  <si>
    <t>Perros 1/8"</t>
  </si>
  <si>
    <t>MACO-CLAV-002</t>
  </si>
  <si>
    <t xml:space="preserve">Clavijas </t>
  </si>
  <si>
    <t>MACO-CONT003</t>
  </si>
  <si>
    <t>Contacto</t>
  </si>
  <si>
    <t>MACO-HEBDE8-35</t>
  </si>
  <si>
    <t xml:space="preserve">Hebilla deslizante 8mm x 35mm </t>
  </si>
  <si>
    <t>MACO-GRIDES-004</t>
  </si>
  <si>
    <t xml:space="preserve">Grilla deslizante </t>
  </si>
  <si>
    <t>MACO-TAQ6MM-45MM</t>
  </si>
  <si>
    <t>Taquetes 6mm x 45mm</t>
  </si>
  <si>
    <t>MACO-CARSOL-005</t>
  </si>
  <si>
    <t xml:space="preserve">Caretas de soldador </t>
  </si>
  <si>
    <t>MACO-CASBL-006</t>
  </si>
  <si>
    <t>Casco blanco</t>
  </si>
  <si>
    <t>MACO-CASNAR-007</t>
  </si>
  <si>
    <t xml:space="preserve">Casco naranja </t>
  </si>
  <si>
    <t>MACO-CASAMA-008</t>
  </si>
  <si>
    <t>Casca amarillo</t>
  </si>
  <si>
    <t>MACO-POLAI-009</t>
  </si>
  <si>
    <t>Polainas (pares)</t>
  </si>
  <si>
    <t>MACO-MANDCA-010</t>
  </si>
  <si>
    <t>Mandil carnaza</t>
  </si>
  <si>
    <t>MACO-CAPMEZ-011</t>
  </si>
  <si>
    <t>Capuchas mezclilla</t>
  </si>
  <si>
    <t>MACO-GUANIT-012</t>
  </si>
  <si>
    <t>Guante nitrilo (pares)</t>
  </si>
  <si>
    <t>MACO-MANGCA-013</t>
  </si>
  <si>
    <t>Mangas carnaza (pares)</t>
  </si>
  <si>
    <t>MACO-GUACA-014</t>
  </si>
  <si>
    <t>Guantes carnaza (pares)</t>
  </si>
  <si>
    <t>MACO-GUALAT-015</t>
  </si>
  <si>
    <t>Guantes latex (pares)</t>
  </si>
  <si>
    <t>MACO-GUASOLA-016</t>
  </si>
  <si>
    <t>Guantes soldador azul (pares)</t>
  </si>
  <si>
    <t>MACO-ABRAZ19-27</t>
  </si>
  <si>
    <t>Abrazadera 19 - 27mm</t>
  </si>
  <si>
    <t>MACO-ABRAZ-14</t>
  </si>
  <si>
    <t>Abrazadera 1/4"</t>
  </si>
  <si>
    <t>MACO-ACEGR-017</t>
  </si>
  <si>
    <t>Aceite grua  17 lts</t>
  </si>
  <si>
    <t>MACO-CLORPO-018</t>
  </si>
  <si>
    <t>Cloro (quimico polvo) 23kg</t>
  </si>
  <si>
    <t>MACO-LIQLP-019</t>
  </si>
  <si>
    <t xml:space="preserve">Líquido limpia parabrisas 3 - 7 lts </t>
  </si>
  <si>
    <t>MACO-ANTIC-020</t>
  </si>
  <si>
    <t>Anticongelante Quakel statc 2lts</t>
  </si>
  <si>
    <t>MACO-QUITGRAZ-021</t>
  </si>
  <si>
    <t>Quita grasa B10 - azul  5lts</t>
  </si>
  <si>
    <t>MACO-TINER-022</t>
  </si>
  <si>
    <t>Tiner 4lts</t>
  </si>
  <si>
    <t>MACO-RESIS-023</t>
  </si>
  <si>
    <t>Resistol 850 - 500ml</t>
  </si>
  <si>
    <t>MACO-CERACA-024</t>
  </si>
  <si>
    <t xml:space="preserve">Cera para carros </t>
  </si>
  <si>
    <t>MACO-AEROAZ-025</t>
  </si>
  <si>
    <t>Aerosol lata azul</t>
  </si>
  <si>
    <t>MACO-AERONA-026</t>
  </si>
  <si>
    <t xml:space="preserve">Aerosol lata naranja </t>
  </si>
  <si>
    <t>MACO-ESPEXP-027</t>
  </si>
  <si>
    <t xml:space="preserve">Espuma expansiva </t>
  </si>
  <si>
    <t>MACO-PISTPI-028</t>
  </si>
  <si>
    <t>Pistola de pintura</t>
  </si>
  <si>
    <t>MACO-CARTGAS-029</t>
  </si>
  <si>
    <t xml:space="preserve">Cartucho de gas </t>
  </si>
  <si>
    <t>MACO-BOLREF-030</t>
  </si>
  <si>
    <t xml:space="preserve">Bolas de rafia </t>
  </si>
  <si>
    <t>MACO-ESPA-031</t>
  </si>
  <si>
    <t xml:space="preserve">espatulas </t>
  </si>
  <si>
    <t>MACO-BROPI-032</t>
  </si>
  <si>
    <t>Brochas de pintura</t>
  </si>
  <si>
    <t>MACO-PINVEVI-033</t>
  </si>
  <si>
    <t>Pintura verde vinílica (1L)</t>
  </si>
  <si>
    <t>MACO-PINAZVI-034</t>
  </si>
  <si>
    <t>Pintura azul vinílica 4(l)</t>
  </si>
  <si>
    <t>MACO-PINBLVI-035</t>
  </si>
  <si>
    <t>pintura blanca vinílica (4l)</t>
  </si>
  <si>
    <t>MACO-LACNIT-036</t>
  </si>
  <si>
    <t>Laca de nitroselulosa 1L</t>
  </si>
  <si>
    <t>MACO-PINPLACR-037</t>
  </si>
  <si>
    <t>Pintura plateada acrílica 3L</t>
  </si>
  <si>
    <t>MACO-PINAZ-038</t>
  </si>
  <si>
    <t>Lata de pintura 4L azul</t>
  </si>
  <si>
    <t>MACO-PINROAE-039</t>
  </si>
  <si>
    <t xml:space="preserve">Lata de pintura roja en aerosol </t>
  </si>
  <si>
    <t>MACO-PINTUR-040</t>
  </si>
  <si>
    <t>Lata de pintura 4L turquesa</t>
  </si>
  <si>
    <t>MACO-PINMOR-041</t>
  </si>
  <si>
    <t>Lata de pintura 4L morado</t>
  </si>
  <si>
    <t>MACO-SILIC-042</t>
  </si>
  <si>
    <t xml:space="preserve">Silicon </t>
  </si>
  <si>
    <t>MACO-RESEPO-043</t>
  </si>
  <si>
    <t xml:space="preserve">Resina epoxica </t>
  </si>
  <si>
    <t>MACO-ENDUR-044</t>
  </si>
  <si>
    <t xml:space="preserve">Endurecedor </t>
  </si>
  <si>
    <t>MACO-ESMA-045</t>
  </si>
  <si>
    <t xml:space="preserve">Esmalte </t>
  </si>
  <si>
    <t>MACO-DESENG-046</t>
  </si>
  <si>
    <t>Desengrasante automotriz 2L</t>
  </si>
  <si>
    <t>MACO-ESMACO-045</t>
  </si>
  <si>
    <t>Esmaltes comex 4L</t>
  </si>
  <si>
    <t>MACO-PINCOAMA-046</t>
  </si>
  <si>
    <t>Bote de pintura comex amarillo</t>
  </si>
  <si>
    <t>MACO-PINCOVER-047</t>
  </si>
  <si>
    <t>Bote de pintura comex verde</t>
  </si>
  <si>
    <t>MACO-ESMCO-048</t>
  </si>
  <si>
    <t>Esmaltes comex 1L</t>
  </si>
  <si>
    <t>MACO-VINIMEX-049</t>
  </si>
  <si>
    <t>Vinimex 1L</t>
  </si>
  <si>
    <t>MACO-LACACHOC-050</t>
  </si>
  <si>
    <t>Laca color chocolate 1L</t>
  </si>
  <si>
    <t>MACO-ESMALQU-051</t>
  </si>
  <si>
    <t>Esmalte alquidalico 1l</t>
  </si>
  <si>
    <t>MACO-PEGPVC-052</t>
  </si>
  <si>
    <t>Pegamento pvc</t>
  </si>
  <si>
    <t>MACO-ACEMON-053</t>
  </si>
  <si>
    <t>Aceite monogrado para motores y gasolina 100ml</t>
  </si>
  <si>
    <t>MACO-ACEMDIE-054</t>
  </si>
  <si>
    <t>Aceite para motor diesel 15w-40 (8L)</t>
  </si>
  <si>
    <t>MACO-ACEHIDG-055</t>
  </si>
  <si>
    <t>Aceite hidráulico para grua cubeta 19L</t>
  </si>
  <si>
    <t>MACO-ACETRAN-056</t>
  </si>
  <si>
    <t>Aceite para transmisión STD 5L</t>
  </si>
  <si>
    <t>MACO-ACESISHI-057</t>
  </si>
  <si>
    <t>Aceite para sistema hidráulico 3L</t>
  </si>
  <si>
    <t>MACO-ACEMOGA-058</t>
  </si>
  <si>
    <t>Aceite para motor gasolina movil</t>
  </si>
  <si>
    <t>MACO-ACE4T-059</t>
  </si>
  <si>
    <t>Aceite 4 tiempos kawashima 900ml</t>
  </si>
  <si>
    <t>MACO-ACEMIN-060</t>
  </si>
  <si>
    <t>Aceite mineral compresor 900ml</t>
  </si>
  <si>
    <t>MACO-ACEQUA-061</t>
  </si>
  <si>
    <t>Aceite quaker state motor gasolina 1L</t>
  </si>
  <si>
    <t>MACO-LIQFRE-062</t>
  </si>
  <si>
    <t>líquido para frenos 900ml</t>
  </si>
  <si>
    <t>MACO-ACEM4T-063</t>
  </si>
  <si>
    <t>Aceite para motor 4 tiempos lth 900ml</t>
  </si>
  <si>
    <t>MACO-ACESISMG-064</t>
  </si>
  <si>
    <t>Aceite semisintetico para motor gasolina</t>
  </si>
  <si>
    <t>MACO-4TIEM-065</t>
  </si>
  <si>
    <t>4 Tiempos truper 1lt</t>
  </si>
  <si>
    <t>MACO-ANTICOAK-066</t>
  </si>
  <si>
    <t>Anticongelante akron 1lt</t>
  </si>
  <si>
    <t>MACO-ANTICOAU-067</t>
  </si>
  <si>
    <t>Anticongelante autozone 1lt</t>
  </si>
  <si>
    <t>MACO-ESPLIM-068</t>
  </si>
  <si>
    <t xml:space="preserve">Espuma limpiadora </t>
  </si>
  <si>
    <t>MACO-EMBU-069</t>
  </si>
  <si>
    <t xml:space="preserve">Embudo </t>
  </si>
  <si>
    <t>MACO-CABS3-0</t>
  </si>
  <si>
    <t>Cable sumergible 3x1/0</t>
  </si>
  <si>
    <t>MACO-CABS-0</t>
  </si>
  <si>
    <t>Cable sumergible 1/0</t>
  </si>
  <si>
    <t>MACO-CABS-6AWG</t>
  </si>
  <si>
    <t>Cable sumergible 6 AWG</t>
  </si>
  <si>
    <t>MACO-CABS3-0000</t>
  </si>
  <si>
    <t>Cable sumergible 3x4/0</t>
  </si>
  <si>
    <t>MACO-CABS-4AWG</t>
  </si>
  <si>
    <t>Cable sumergible 4 AWG</t>
  </si>
  <si>
    <t>MACO-CABS-00</t>
  </si>
  <si>
    <t>Cable sumergible 2/0</t>
  </si>
  <si>
    <t>MACO-CABREC-19H</t>
  </si>
  <si>
    <t>Cable con recubrimiento 3/10 19hilos</t>
  </si>
  <si>
    <t>MACO-BOMS-1HP</t>
  </si>
  <si>
    <t>Bomba sumergible 1hp truper</t>
  </si>
  <si>
    <t>MACO-LIMINT-070</t>
  </si>
  <si>
    <t>Limpiador de interiores 510g</t>
  </si>
  <si>
    <t>MACO-GRAFLE-12</t>
  </si>
  <si>
    <t>Grapas para flejes 1/2</t>
  </si>
  <si>
    <t>MACO-GUIRHO-071</t>
  </si>
  <si>
    <t xml:space="preserve">Guiro honda </t>
  </si>
  <si>
    <t>MACO-FLEJ-12</t>
  </si>
  <si>
    <t>Flejadora 1/2</t>
  </si>
  <si>
    <t>MACO-PINFLE-12</t>
  </si>
  <si>
    <t>pinza selladora flejes 1/2</t>
  </si>
  <si>
    <t>MACO-CIN508-823</t>
  </si>
  <si>
    <t>Cinchos 5.08 x 8.23</t>
  </si>
  <si>
    <t>MACO-FLEJ-34</t>
  </si>
  <si>
    <t>Flejadora 3/4</t>
  </si>
  <si>
    <t>MACO-MATR-072</t>
  </si>
  <si>
    <t xml:space="preserve">Matracas </t>
  </si>
  <si>
    <t>MACO-CINMAT-073</t>
  </si>
  <si>
    <t>Cincho con matraca 181k</t>
  </si>
  <si>
    <t>MACO-VELDIG-074</t>
  </si>
  <si>
    <t>Velocimetro digital miniatura para moto</t>
  </si>
  <si>
    <t>MACO-INTAT-075</t>
  </si>
  <si>
    <t xml:space="preserve">Interruptor atenuador de luz vertical </t>
  </si>
  <si>
    <t>MACO-FARO7-076</t>
  </si>
  <si>
    <t xml:space="preserve">Faro lea unidad de 7" halio turbo </t>
  </si>
  <si>
    <t>MACO-DARD-077</t>
  </si>
  <si>
    <t xml:space="preserve">Dardos </t>
  </si>
  <si>
    <t>MACO-SOPBR24-65</t>
  </si>
  <si>
    <t>Soporte de brazo 24" - 65"</t>
  </si>
  <si>
    <t>MACO-MONPS-078</t>
  </si>
  <si>
    <t xml:space="preserve">Montaje para paneles solares </t>
  </si>
  <si>
    <t>MACO-CONESTR-079</t>
  </si>
  <si>
    <t>Conector tipo estribo 210</t>
  </si>
  <si>
    <t>MACO-AISPO-080</t>
  </si>
  <si>
    <t>Aislador de porcelana tipo retenido</t>
  </si>
  <si>
    <t>MACO-REFL100-081</t>
  </si>
  <si>
    <t>Reflector lea 100W geopower</t>
  </si>
  <si>
    <t>MACO-AISSUS23KB-082</t>
  </si>
  <si>
    <t>Aislador de suspensión 23kb</t>
  </si>
  <si>
    <t>MACO-TORAIS-36P</t>
  </si>
  <si>
    <t>Tornillo para aislador (con juego de 36pz)</t>
  </si>
  <si>
    <t>MACO-ABRAZ-85</t>
  </si>
  <si>
    <t xml:space="preserve">Abrazaderas 8.5" </t>
  </si>
  <si>
    <t>MACO-CONEST-410</t>
  </si>
  <si>
    <t>Conector tipo estribo 410</t>
  </si>
  <si>
    <t>MACO-GUARD-58</t>
  </si>
  <si>
    <t>Guardacabos 5/8</t>
  </si>
  <si>
    <t>MACO-CONAND-14</t>
  </si>
  <si>
    <t>Conectores anderson 1/4</t>
  </si>
  <si>
    <t>MACO-GRILL-114</t>
  </si>
  <si>
    <t>Grillete 1 1/4</t>
  </si>
  <si>
    <t>MACO-CONCOM-083</t>
  </si>
  <si>
    <t>Conector de compresión tipo terminal 6 - 2/0</t>
  </si>
  <si>
    <t>MACO-AISMEN23KV-084</t>
  </si>
  <si>
    <t xml:space="preserve">Aislador tipo mensula 23kva </t>
  </si>
  <si>
    <t>MACO-ABRSO-085</t>
  </si>
  <si>
    <t xml:space="preserve">Abrazadera de suspensión con ojo </t>
  </si>
  <si>
    <t>MACO-SELLGI-410</t>
  </si>
  <si>
    <t>Sellado giratoria 8 - 410</t>
  </si>
  <si>
    <t>MACO-CUCHI-27</t>
  </si>
  <si>
    <t xml:space="preserve">cuchillas 27kva </t>
  </si>
  <si>
    <t>MACO-GANRE-086</t>
  </si>
  <si>
    <t xml:space="preserve">Gancho para retenida </t>
  </si>
  <si>
    <t>MACO-ABRAZ-4</t>
  </si>
  <si>
    <t>abrazaderas 4"</t>
  </si>
  <si>
    <t>MACO-COPCOG-4</t>
  </si>
  <si>
    <t>cople conduit galvanizado 4"</t>
  </si>
  <si>
    <t>MACO-NOTRG-087</t>
  </si>
  <si>
    <t>Notas de remisión block grande</t>
  </si>
  <si>
    <t>MACO-NOTRC-088</t>
  </si>
  <si>
    <t>Notas de remisión block chico</t>
  </si>
  <si>
    <t>MACO-MUELO-089</t>
  </si>
  <si>
    <t xml:space="preserve">Muestrario de lonas </t>
  </si>
  <si>
    <t>MACO-MOFUM-090</t>
  </si>
  <si>
    <t>Mochila fumigadora manual</t>
  </si>
  <si>
    <t>MACO-ABRA-712</t>
  </si>
  <si>
    <t>abrazadera 7 1/2"</t>
  </si>
  <si>
    <t>MACO-CABTRE-091</t>
  </si>
  <si>
    <t xml:space="preserve">Cable de acero trenzado </t>
  </si>
  <si>
    <t>MACO-LFEET-092</t>
  </si>
  <si>
    <t>L-feet (estructura solar)</t>
  </si>
  <si>
    <t>MACO-ZAPRE-093</t>
  </si>
  <si>
    <t xml:space="preserve">zapata de retención </t>
  </si>
  <si>
    <t>MACO-BARCO-3</t>
  </si>
  <si>
    <t>Barras de cobre para arrancador 3"</t>
  </si>
  <si>
    <t>MACO-BARCO-6</t>
  </si>
  <si>
    <t>Barras de cobre para arrancador 6"</t>
  </si>
  <si>
    <t>MACO-BARCO-7</t>
  </si>
  <si>
    <t>Barras de cobre para arrancador 7"</t>
  </si>
  <si>
    <t>MACO-SOPES-094</t>
  </si>
  <si>
    <t>Soporte estructura solar connera</t>
  </si>
  <si>
    <t>MACO-GRAPS-095</t>
  </si>
  <si>
    <t xml:space="preserve">Grapa central para panel solar </t>
  </si>
  <si>
    <t>MACO-PLAPT-096</t>
  </si>
  <si>
    <t>placa de puesta a tierra</t>
  </si>
  <si>
    <t>MACO-CLIPT-097</t>
  </si>
  <si>
    <t>clip para puesta puesta tierra</t>
  </si>
  <si>
    <t>MACO-CONPT-098</t>
  </si>
  <si>
    <t xml:space="preserve">conector para puesta a tierra tipo lug </t>
  </si>
  <si>
    <t>MACO-SOPRIE-099</t>
  </si>
  <si>
    <t xml:space="preserve">Soporte tipo l tornillo t montaje de riel panel </t>
  </si>
  <si>
    <t>MACO-SOPL-100</t>
  </si>
  <si>
    <t xml:space="preserve">Soporte tipo L </t>
  </si>
  <si>
    <t>MACO-ABRAZ-112</t>
  </si>
  <si>
    <t>Abarazadera 1 1/2"</t>
  </si>
  <si>
    <t>MACO-PERTR-101</t>
  </si>
  <si>
    <t>Perfil aluminio tipo riel panle solar</t>
  </si>
  <si>
    <t>MACO-PEREST-102</t>
  </si>
  <si>
    <t xml:space="preserve">Perfil estructural con soporto tipo L con riel y fijación ajustable </t>
  </si>
  <si>
    <t>MACO-CABCO-716</t>
  </si>
  <si>
    <t>Cable de cobre 7/16</t>
  </si>
  <si>
    <t>MACO-CABCO-516</t>
  </si>
  <si>
    <t>Cable de cobre 5/16</t>
  </si>
  <si>
    <t>MACO-CONES-00</t>
  </si>
  <si>
    <t>Conector tipo estribo 2/0</t>
  </si>
  <si>
    <t>MACO-CABALU-103</t>
  </si>
  <si>
    <t xml:space="preserve">Cable aluminio </t>
  </si>
  <si>
    <t>MACO-CABBL-12AWG</t>
  </si>
  <si>
    <t>Cable blanco 12 AWG</t>
  </si>
  <si>
    <t>MACO-CABV-14AWG</t>
  </si>
  <si>
    <t>Cable para conexión verde 14 AWG</t>
  </si>
  <si>
    <t>MACO-CABBL-10AWG</t>
  </si>
  <si>
    <t>Cable para conexión blanco 10 AWG</t>
  </si>
  <si>
    <t>MACO-PLACT-104</t>
  </si>
  <si>
    <t>Placa conexión a tierra 4 x 2</t>
  </si>
  <si>
    <t>MACO-CONTFLU-105</t>
  </si>
  <si>
    <t xml:space="preserve">Controlador de flujo Badgermeter </t>
  </si>
  <si>
    <t>MACO-PROCAN-516</t>
  </si>
  <si>
    <t>Protección de cable negro 5/16</t>
  </si>
  <si>
    <t>MACO-PROCAB-12</t>
  </si>
  <si>
    <t>Protección de cable blanco 1/2</t>
  </si>
  <si>
    <t>MACO-PROCAA-12</t>
  </si>
  <si>
    <t>Protección de cable azul 1/2</t>
  </si>
  <si>
    <t>MACO-PUCON12-18</t>
  </si>
  <si>
    <t>Punta conector de glandula 1/2 para cable de 1/8 - 1/4</t>
  </si>
  <si>
    <t>MACO-PUCON12-38</t>
  </si>
  <si>
    <t>Punta conector de galndula 1/2 para ccable de 3/8</t>
  </si>
  <si>
    <t>MACO-TUERPL-106</t>
  </si>
  <si>
    <t xml:space="preserve">Tuercas de plásctico </t>
  </si>
  <si>
    <t>MACO-TAMAR-316</t>
  </si>
  <si>
    <t>Taquete mariposa 3/16 (completos)</t>
  </si>
  <si>
    <t>MACO-TAQMAR-18</t>
  </si>
  <si>
    <t>Taquete mariposa 1/8 (incompletos)</t>
  </si>
  <si>
    <t>MACO-TAQMAR-12</t>
  </si>
  <si>
    <t>Taquete mariposa 1/2 (incompletos)</t>
  </si>
  <si>
    <t>MACO-CINCH-6M</t>
  </si>
  <si>
    <t>Cinchos 6m (4 toneladas)</t>
  </si>
  <si>
    <t>MACO-CABMED-107</t>
  </si>
  <si>
    <t xml:space="preserve">Cable de media </t>
  </si>
  <si>
    <t xml:space="preserve">BODEGA </t>
  </si>
  <si>
    <t>Ferretería</t>
  </si>
  <si>
    <t>Eelctricidad</t>
  </si>
  <si>
    <t>Conectores</t>
  </si>
  <si>
    <t>EPP</t>
  </si>
  <si>
    <t>Equipamiento</t>
  </si>
  <si>
    <t>Hidraulica</t>
  </si>
  <si>
    <t>Control</t>
  </si>
  <si>
    <t>Souvenirs</t>
  </si>
  <si>
    <t>Papelería</t>
  </si>
  <si>
    <t>Acumulado Oficina</t>
  </si>
  <si>
    <t>Acumulado Bodega</t>
  </si>
  <si>
    <t xml:space="preserve">Maquinas </t>
  </si>
  <si>
    <t>Herramientas</t>
  </si>
  <si>
    <t>Materiales Metalicos</t>
  </si>
  <si>
    <t>Quimicos para limpieza</t>
  </si>
  <si>
    <t xml:space="preserve">Materiales de Consumo </t>
  </si>
  <si>
    <t xml:space="preserve">Total Acumulado </t>
  </si>
  <si>
    <t>MACO-PIJ-4MM35</t>
  </si>
  <si>
    <t>MACO-PIJHEX14-34</t>
  </si>
  <si>
    <t>pija cabeza hexagonal 1/4 x 3/4"</t>
  </si>
  <si>
    <t>HID-VCC40-6</t>
  </si>
  <si>
    <t>6" ced. 40</t>
  </si>
  <si>
    <t>HID-VCGOU-4</t>
  </si>
  <si>
    <t xml:space="preserve">4" Goulds </t>
  </si>
  <si>
    <t>HID-VCFLO-6</t>
  </si>
  <si>
    <t>6" flomatic</t>
  </si>
  <si>
    <t>FER-PINC-084</t>
  </si>
  <si>
    <t>FER-IMFL-085</t>
  </si>
  <si>
    <t>Imán flexible con Led truper</t>
  </si>
  <si>
    <t>FER-PISOP-086</t>
  </si>
  <si>
    <t>Pistola para sopletear 1/4 ntp aluminio turper</t>
  </si>
  <si>
    <t>25/0/2026</t>
  </si>
  <si>
    <t>SOU-VAMA-035</t>
  </si>
  <si>
    <t>Vaso mágico c/tapa 710ml</t>
  </si>
  <si>
    <t>FER-SUJMA-CH</t>
  </si>
  <si>
    <t>sujetador con matraca chico</t>
  </si>
  <si>
    <t>Sujetador con matraca chico</t>
  </si>
  <si>
    <t xml:space="preserve"> </t>
  </si>
  <si>
    <t>SOU-GOTRU-36</t>
  </si>
  <si>
    <t xml:space="preserve">Gorras trucker </t>
  </si>
  <si>
    <t>BODEGA</t>
  </si>
  <si>
    <t>Troqueles manuales letras 8mm</t>
  </si>
  <si>
    <t>HER-TROQML-029</t>
  </si>
  <si>
    <t>HER-TROQMN-030</t>
  </si>
  <si>
    <t>Troqueles manuales números 8mm</t>
  </si>
  <si>
    <t>FER-LUMLED-087</t>
  </si>
  <si>
    <t>Luminaria interior Led</t>
  </si>
  <si>
    <t>FER-REFLED-088</t>
  </si>
  <si>
    <t>Reflector Led 20w</t>
  </si>
  <si>
    <t>FER-EXTNA-089</t>
  </si>
  <si>
    <t>Extension Naranja 5m</t>
  </si>
  <si>
    <t>FER-LUMDP-090</t>
  </si>
  <si>
    <t xml:space="preserve">Luminario de pinza </t>
  </si>
  <si>
    <t>FER-FOCLED-091</t>
  </si>
  <si>
    <t>Foco Led A19 Paq 3</t>
  </si>
  <si>
    <t>FER-GATV-20T</t>
  </si>
  <si>
    <t>FER-CAIM-CAD</t>
  </si>
  <si>
    <t>FER-JPDP-SHAW</t>
  </si>
  <si>
    <t>FER-CINCO-ANC</t>
  </si>
  <si>
    <t xml:space="preserve">Gato vertical </t>
  </si>
  <si>
    <t xml:space="preserve">Caiman de cadena </t>
  </si>
  <si>
    <t>Juego de pinzas de presión SHAWTY</t>
  </si>
  <si>
    <t xml:space="preserve">Cintas de colores anchas </t>
  </si>
  <si>
    <t>FER-KITEM-0000</t>
  </si>
  <si>
    <t>Kit de empate 4/0</t>
  </si>
  <si>
    <t>ELE-AIS-1C</t>
  </si>
  <si>
    <t>Aislador 1C</t>
  </si>
  <si>
    <t>FER-ABR-OM2"</t>
  </si>
  <si>
    <t>Abrazadera omega 2"</t>
  </si>
  <si>
    <t>60cm</t>
  </si>
  <si>
    <t xml:space="preserve"> 13/04/26</t>
  </si>
  <si>
    <t>FER-ACEMOT-4T-10W-40</t>
  </si>
  <si>
    <t>Aceite para motor 4T 10w-.40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</si>
</sst>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2"/>
      <color theme="0"/>
      <name val="Helvetica"/>
      <family val="2"/>
    </font>
    <font>
      <sz val="12"/>
      <color rgb="FFFFFFFF"/>
      <name val="Helvetica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Helvetica"/>
      <family val="2"/>
    </font>
    <font>
      <sz val="14"/>
      <color theme="1"/>
      <name val="Helvetica"/>
      <family val="2"/>
    </font>
    <font>
      <sz val="11"/>
      <color rgb="FF000000"/>
      <name val="Helvetica"/>
      <family val="2"/>
    </font>
    <font>
      <sz val="14"/>
      <color rgb="FF000000"/>
      <name val="Helvetica"/>
      <family val="2"/>
    </font>
    <font>
      <u/>
      <sz val="12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14999847407452621"/>
      </left>
      <right style="thin">
        <color theme="2" tint="-9.9978637043366805E-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2" tint="-9.9978637043366805E-2"/>
      </right>
      <top style="thin">
        <color theme="0" tint="-0.14999847407452621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2" tint="-9.9978637043366805E-2"/>
      </right>
      <top/>
      <bottom style="thin">
        <color theme="0" tint="-0.149998474074526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0" tint="-0.149998474074526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0" tint="-0.14999847407452621"/>
      </top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1" fontId="1" fillId="0" borderId="1" xfId="0" applyNumberFormat="1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indent="1"/>
    </xf>
    <xf numFmtId="0" fontId="1" fillId="0" borderId="11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left" indent="1"/>
    </xf>
    <xf numFmtId="0" fontId="6" fillId="0" borderId="1" xfId="0" applyFont="1" applyBorder="1" applyAlignment="1">
      <alignment horizontal="left" vertical="center" indent="1"/>
    </xf>
    <xf numFmtId="0" fontId="6" fillId="0" borderId="14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5" xfId="0" applyFont="1" applyBorder="1" applyAlignment="1">
      <alignment horizontal="left" vertical="center" indent="1"/>
    </xf>
    <xf numFmtId="0" fontId="6" fillId="0" borderId="7" xfId="0" applyFont="1" applyBorder="1" applyAlignment="1">
      <alignment horizontal="left" vertical="center" indent="1"/>
    </xf>
    <xf numFmtId="0" fontId="6" fillId="0" borderId="8" xfId="0" applyFont="1" applyBorder="1" applyAlignment="1">
      <alignment horizontal="left" vertical="center" indent="1"/>
    </xf>
    <xf numFmtId="0" fontId="2" fillId="3" borderId="16" xfId="0" applyFont="1" applyFill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indent="1"/>
    </xf>
    <xf numFmtId="0" fontId="6" fillId="0" borderId="12" xfId="0" applyFont="1" applyBorder="1" applyAlignment="1">
      <alignment horizontal="left" vertical="center" indent="1"/>
    </xf>
    <xf numFmtId="0" fontId="6" fillId="0" borderId="10" xfId="0" applyFont="1" applyBorder="1" applyAlignment="1">
      <alignment horizontal="left" vertical="center" indent="1"/>
    </xf>
    <xf numFmtId="14" fontId="1" fillId="0" borderId="1" xfId="0" applyNumberFormat="1" applyFont="1" applyBorder="1" applyAlignment="1">
      <alignment horizontal="left" vertical="center" indent="1"/>
    </xf>
    <xf numFmtId="14" fontId="1" fillId="0" borderId="3" xfId="0" applyNumberFormat="1" applyFont="1" applyBorder="1" applyAlignment="1">
      <alignment horizontal="left" vertical="center" indent="1"/>
    </xf>
    <xf numFmtId="0" fontId="6" fillId="0" borderId="14" xfId="0" applyFont="1" applyBorder="1" applyAlignment="1">
      <alignment horizontal="left" vertical="center" wrapText="1" indent="1"/>
    </xf>
    <xf numFmtId="1" fontId="1" fillId="0" borderId="3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44" fontId="6" fillId="0" borderId="10" xfId="1" applyFont="1" applyBorder="1" applyAlignment="1">
      <alignment horizontal="left" vertical="center" indent="1"/>
    </xf>
    <xf numFmtId="0" fontId="6" fillId="0" borderId="20" xfId="0" applyFont="1" applyBorder="1" applyAlignment="1">
      <alignment horizontal="left" vertical="center" wrapText="1" indent="1"/>
    </xf>
    <xf numFmtId="44" fontId="6" fillId="0" borderId="16" xfId="1" applyFont="1" applyBorder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  <xf numFmtId="44" fontId="6" fillId="0" borderId="0" xfId="1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44" fontId="6" fillId="0" borderId="0" xfId="1" applyFont="1" applyFill="1" applyBorder="1" applyAlignment="1">
      <alignment horizontal="left" vertical="center" indent="1"/>
    </xf>
    <xf numFmtId="1" fontId="1" fillId="4" borderId="21" xfId="0" applyNumberFormat="1" applyFont="1" applyFill="1" applyBorder="1" applyAlignment="1">
      <alignment horizontal="left" vertical="center" indent="1"/>
    </xf>
    <xf numFmtId="0" fontId="1" fillId="4" borderId="22" xfId="0" applyFont="1" applyFill="1" applyBorder="1" applyAlignment="1">
      <alignment horizontal="left" vertical="center" indent="1"/>
    </xf>
    <xf numFmtId="1" fontId="1" fillId="4" borderId="23" xfId="0" applyNumberFormat="1" applyFont="1" applyFill="1" applyBorder="1" applyAlignment="1">
      <alignment horizontal="left" vertical="center" indent="1"/>
    </xf>
    <xf numFmtId="0" fontId="1" fillId="5" borderId="21" xfId="0" applyFont="1" applyFill="1" applyBorder="1" applyAlignment="1">
      <alignment horizontal="left" vertical="center" indent="1"/>
    </xf>
    <xf numFmtId="0" fontId="1" fillId="4" borderId="21" xfId="0" applyFont="1" applyFill="1" applyBorder="1" applyAlignment="1">
      <alignment horizontal="left" vertical="center" indent="1"/>
    </xf>
    <xf numFmtId="0" fontId="6" fillId="4" borderId="21" xfId="0" applyFont="1" applyFill="1" applyBorder="1" applyAlignment="1">
      <alignment horizontal="left" vertical="center" wrapText="1" indent="1"/>
    </xf>
    <xf numFmtId="0" fontId="8" fillId="4" borderId="21" xfId="0" applyFont="1" applyFill="1" applyBorder="1" applyAlignment="1">
      <alignment horizontal="left" vertical="center" wrapText="1" indent="1"/>
    </xf>
    <xf numFmtId="0" fontId="1" fillId="0" borderId="24" xfId="0" applyFont="1" applyBorder="1" applyAlignment="1">
      <alignment horizontal="left" indent="1"/>
    </xf>
    <xf numFmtId="0" fontId="1" fillId="0" borderId="0" xfId="0" applyFont="1" applyAlignment="1">
      <alignment horizontal="right" vertical="center" indent="1"/>
    </xf>
    <xf numFmtId="1" fontId="6" fillId="0" borderId="17" xfId="0" applyNumberFormat="1" applyFont="1" applyBorder="1" applyAlignment="1">
      <alignment horizontal="left" vertical="center" indent="1"/>
    </xf>
    <xf numFmtId="1" fontId="6" fillId="0" borderId="18" xfId="0" applyNumberFormat="1" applyFont="1" applyBorder="1" applyAlignment="1">
      <alignment horizontal="left" vertical="center" indent="1"/>
    </xf>
    <xf numFmtId="1" fontId="6" fillId="0" borderId="19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9" fillId="0" borderId="0" xfId="0" applyFont="1" applyAlignment="1">
      <alignment vertical="center" wrapText="1"/>
    </xf>
    <xf numFmtId="0" fontId="1" fillId="0" borderId="25" xfId="0" applyFont="1" applyBorder="1" applyAlignment="1">
      <alignment horizontal="left" vertical="center" indent="1"/>
    </xf>
    <xf numFmtId="1" fontId="6" fillId="0" borderId="26" xfId="0" applyNumberFormat="1" applyFont="1" applyBorder="1" applyAlignment="1">
      <alignment horizontal="left" vertical="center" indent="1"/>
    </xf>
    <xf numFmtId="44" fontId="1" fillId="0" borderId="0" xfId="0" applyNumberFormat="1" applyFont="1"/>
    <xf numFmtId="0" fontId="1" fillId="6" borderId="0" xfId="0" applyFont="1" applyFill="1"/>
    <xf numFmtId="44" fontId="1" fillId="0" borderId="0" xfId="0" applyNumberFormat="1" applyFont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1" fillId="7" borderId="0" xfId="0" applyFont="1" applyFill="1"/>
    <xf numFmtId="164" fontId="1" fillId="0" borderId="1" xfId="0" applyNumberFormat="1" applyFont="1" applyBorder="1" applyAlignment="1">
      <alignment horizontal="left" vertical="center" indent="1"/>
    </xf>
    <xf numFmtId="164" fontId="1" fillId="0" borderId="3" xfId="0" applyNumberFormat="1" applyFont="1" applyBorder="1" applyAlignment="1">
      <alignment horizontal="left" vertical="center" indent="1"/>
    </xf>
    <xf numFmtId="0" fontId="1" fillId="0" borderId="27" xfId="0" applyFont="1" applyBorder="1" applyAlignment="1">
      <alignment horizontal="left" vertical="center" indent="1"/>
    </xf>
    <xf numFmtId="0" fontId="1" fillId="5" borderId="21" xfId="0" applyFont="1" applyFill="1" applyBorder="1" applyAlignment="1">
      <alignment horizontal="center" vertical="center"/>
    </xf>
    <xf numFmtId="0" fontId="10" fillId="0" borderId="0" xfId="2" applyAlignment="1">
      <alignment horizontal="left" vertical="center" wrapText="1"/>
    </xf>
    <xf numFmtId="0" fontId="11" fillId="0" borderId="0" xfId="2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1"/>
    </xf>
  </cellXfs>
  <cellStyles count="3">
    <cellStyle name="Hipervínculo" xfId="2" builtinId="8"/>
    <cellStyle name="Moneda" xfId="1" builtinId="4"/>
    <cellStyle name="Normal" xfId="0" builtinId="0"/>
  </cellStyles>
  <dxfs count="51"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elvetica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elvetica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64" formatCode="dd/mm/yy"/>
      <alignment horizontal="left" vertical="center" textRotation="0" wrapText="0" indent="1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elvetica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 style="thin">
          <color theme="0" tint="-0.14999847407452621"/>
        </left>
        <right style="thin">
          <color theme="2" tint="-9.9978637043366805E-2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64" formatCode="dd/mm/yy"/>
      <alignment horizontal="left" vertical="center" textRotation="0" wrapText="0" indent="1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elvetica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numFmt numFmtId="1" formatCode="0"/>
      <alignment horizontal="left" vertical="center" textRotation="0" wrapText="0" indent="1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 style="thin">
          <color theme="0" tint="-0.14999847407452621"/>
        </left>
        <right style="thin">
          <color theme="2" tint="-9.9978637043366805E-2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elvetica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" formatCode="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numFmt numFmtId="34" formatCode="_-&quot;$&quot;* #,##0.00_-;\-&quot;$&quot;* #,##0.00_-;_-&quot;$&quot;* &quot;-&quot;??_-;_-@_-"/>
      <alignment horizontal="left" vertical="center" textRotation="0" wrapText="0" indent="1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2" tint="-9.9978637043366805E-2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" formatCode="0"/>
      <alignment horizontal="left" vertical="center" textRotation="0" wrapText="0" indent="1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elvetica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left" vertical="center" textRotation="0" wrapText="0" indent="1" justifyLastLine="0" shrinkToFit="0" readingOrder="0"/>
    </dxf>
  </dxfs>
  <tableStyles count="0" defaultTableStyle="TableStyleMedium2" defaultPivotStyle="PivotStyleLight16"/>
  <colors>
    <mruColors>
      <color rgb="FFF6C9CE"/>
      <color rgb="FFCEEE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ENTRADAS Y SALIDAS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1.9706446757993028E-2"/>
          <c:y val="0.18560185185185185"/>
          <c:w val="0.97203219387287443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Reporte!$B$10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Reporte!$Y$9:$Y$20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Reporte!$Z$9:$Z$20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A-B847-AB70-3811C90A4B3E}"/>
            </c:ext>
          </c:extLst>
        </c:ser>
        <c:ser>
          <c:idx val="1"/>
          <c:order val="1"/>
          <c:tx>
            <c:strRef>
              <c:f>Reporte!$B$11</c:f>
              <c:strCache>
                <c:ptCount val="1"/>
                <c:pt idx="0">
                  <c:v>SALIDAS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Reporte!$Y$9:$Y$20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Reporte!$AA$9:$AA$20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2A-B847-AB70-3811C90A4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7583999"/>
        <c:axId val="2109181375"/>
      </c:barChart>
      <c:catAx>
        <c:axId val="213758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9181375"/>
        <c:crosses val="autoZero"/>
        <c:auto val="1"/>
        <c:lblAlgn val="ctr"/>
        <c:lblOffset val="100"/>
        <c:noMultiLvlLbl val="0"/>
      </c:catAx>
      <c:valAx>
        <c:axId val="210918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758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Entradas!A1"/><Relationship Id="rId7" Type="http://schemas.openxmlformats.org/officeDocument/2006/relationships/hyperlink" Target="#'Informes Generales'!A1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hyperlink" Target="#Datos!A1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2.png"/><Relationship Id="rId7" Type="http://schemas.openxmlformats.org/officeDocument/2006/relationships/hyperlink" Target="#'Informes Generales'!A1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hyperlink" Target="#Salidas!A1"/><Relationship Id="rId5" Type="http://schemas.openxmlformats.org/officeDocument/2006/relationships/image" Target="../media/image3.png"/><Relationship Id="rId4" Type="http://schemas.openxmlformats.org/officeDocument/2006/relationships/hyperlink" Target="#Dato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2.png"/><Relationship Id="rId7" Type="http://schemas.openxmlformats.org/officeDocument/2006/relationships/hyperlink" Target="#'Informes Generales'!A1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hyperlink" Target="#Entradas!A1"/><Relationship Id="rId5" Type="http://schemas.openxmlformats.org/officeDocument/2006/relationships/image" Target="../media/image3.png"/><Relationship Id="rId4" Type="http://schemas.openxmlformats.org/officeDocument/2006/relationships/hyperlink" Target="#Datos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Informes Generales'!A1"/><Relationship Id="rId3" Type="http://schemas.openxmlformats.org/officeDocument/2006/relationships/hyperlink" Target="#Entradas!A1"/><Relationship Id="rId7" Type="http://schemas.openxmlformats.org/officeDocument/2006/relationships/hyperlink" Target="#Inicial!A1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hyperlink" Target="#Datos!A1"/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Reporte!A1"/><Relationship Id="rId3" Type="http://schemas.openxmlformats.org/officeDocument/2006/relationships/hyperlink" Target="#Entradas!A1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Informes Generales'!A1"/><Relationship Id="rId6" Type="http://schemas.openxmlformats.org/officeDocument/2006/relationships/image" Target="../media/image3.png"/><Relationship Id="rId5" Type="http://schemas.openxmlformats.org/officeDocument/2006/relationships/hyperlink" Target="#Datos!A1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Entradas!A1"/><Relationship Id="rId7" Type="http://schemas.openxmlformats.org/officeDocument/2006/relationships/hyperlink" Target="#Dashboard!A1"/><Relationship Id="rId2" Type="http://schemas.openxmlformats.org/officeDocument/2006/relationships/image" Target="../media/image1.png"/><Relationship Id="rId1" Type="http://schemas.openxmlformats.org/officeDocument/2006/relationships/hyperlink" Target="#'Informes Generales'!A1"/><Relationship Id="rId6" Type="http://schemas.openxmlformats.org/officeDocument/2006/relationships/image" Target="../media/image3.png"/><Relationship Id="rId5" Type="http://schemas.openxmlformats.org/officeDocument/2006/relationships/hyperlink" Target="#Datos!A1"/><Relationship Id="rId4" Type="http://schemas.openxmlformats.org/officeDocument/2006/relationships/image" Target="../media/image2.png"/><Relationship Id="rId9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Entradas!A1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hyperlink" Target="#'Informes Generales'!A1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1346201</xdr:colOff>
      <xdr:row>0</xdr:row>
      <xdr:rowOff>0</xdr:rowOff>
    </xdr:from>
    <xdr:to>
      <xdr:col>3</xdr:col>
      <xdr:colOff>3083561</xdr:colOff>
      <xdr:row>0</xdr:row>
      <xdr:rowOff>502920</xdr:rowOff>
    </xdr:to>
    <xdr:sp macro="" textlink="">
      <xdr:nvSpPr>
        <xdr:cNvPr id="10" name="Retângulo 2">
          <a:extLst>
            <a:ext uri="{FF2B5EF4-FFF2-40B4-BE49-F238E27FC236}">
              <a16:creationId xmlns:a16="http://schemas.microsoft.com/office/drawing/2014/main" id="{78E232EF-662A-194E-A3D7-9B01554F861B}"/>
            </a:ext>
          </a:extLst>
        </xdr:cNvPr>
        <xdr:cNvSpPr>
          <a:spLocks/>
        </xdr:cNvSpPr>
      </xdr:nvSpPr>
      <xdr:spPr>
        <a:xfrm>
          <a:off x="6032501" y="0"/>
          <a:ext cx="173736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INSTRUCCIONES</a:t>
          </a:r>
        </a:p>
      </xdr:txBody>
    </xdr:sp>
    <xdr:clientData/>
  </xdr:twoCellAnchor>
  <xdr:twoCellAnchor editAs="absolute">
    <xdr:from>
      <xdr:col>2</xdr:col>
      <xdr:colOff>1714501</xdr:colOff>
      <xdr:row>0</xdr:row>
      <xdr:rowOff>0</xdr:rowOff>
    </xdr:from>
    <xdr:to>
      <xdr:col>3</xdr:col>
      <xdr:colOff>1333500</xdr:colOff>
      <xdr:row>0</xdr:row>
      <xdr:rowOff>502920</xdr:rowOff>
    </xdr:to>
    <xdr:sp macro="" textlink="">
      <xdr:nvSpPr>
        <xdr:cNvPr id="2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1D5F62-9185-9E4C-AB94-3B4D1773FA81}"/>
            </a:ext>
          </a:extLst>
        </xdr:cNvPr>
        <xdr:cNvSpPr>
          <a:spLocks/>
        </xdr:cNvSpPr>
      </xdr:nvSpPr>
      <xdr:spPr>
        <a:xfrm>
          <a:off x="4495801" y="0"/>
          <a:ext cx="1523999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2</xdr:col>
      <xdr:colOff>1803400</xdr:colOff>
      <xdr:row>0</xdr:row>
      <xdr:rowOff>63500</xdr:rowOff>
    </xdr:from>
    <xdr:to>
      <xdr:col>3</xdr:col>
      <xdr:colOff>254000</xdr:colOff>
      <xdr:row>0</xdr:row>
      <xdr:rowOff>419100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ACE106-9695-EB4E-9362-ED634D2B0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4700" y="63500"/>
          <a:ext cx="355600" cy="355600"/>
        </a:xfrm>
        <a:prstGeom prst="rect">
          <a:avLst/>
        </a:prstGeom>
      </xdr:spPr>
    </xdr:pic>
    <xdr:clientData/>
  </xdr:twoCellAnchor>
  <xdr:twoCellAnchor editAs="absolute">
    <xdr:from>
      <xdr:col>2</xdr:col>
      <xdr:colOff>101600</xdr:colOff>
      <xdr:row>0</xdr:row>
      <xdr:rowOff>0</xdr:rowOff>
    </xdr:from>
    <xdr:to>
      <xdr:col>2</xdr:col>
      <xdr:colOff>1714500</xdr:colOff>
      <xdr:row>0</xdr:row>
      <xdr:rowOff>502920</xdr:rowOff>
    </xdr:to>
    <xdr:sp macro="" textlink="">
      <xdr:nvSpPr>
        <xdr:cNvPr id="4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279566-6CB5-2549-9FEB-FCDD493B3327}"/>
            </a:ext>
          </a:extLst>
        </xdr:cNvPr>
        <xdr:cNvSpPr>
          <a:spLocks/>
        </xdr:cNvSpPr>
      </xdr:nvSpPr>
      <xdr:spPr>
        <a:xfrm>
          <a:off x="2882900" y="0"/>
          <a:ext cx="161290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MOVIMIENTOS</a:t>
          </a:r>
        </a:p>
      </xdr:txBody>
    </xdr:sp>
    <xdr:clientData/>
  </xdr:twoCellAnchor>
  <xdr:twoCellAnchor editAs="absolute">
    <xdr:from>
      <xdr:col>2</xdr:col>
      <xdr:colOff>177800</xdr:colOff>
      <xdr:row>0</xdr:row>
      <xdr:rowOff>63500</xdr:rowOff>
    </xdr:from>
    <xdr:to>
      <xdr:col>2</xdr:col>
      <xdr:colOff>546100</xdr:colOff>
      <xdr:row>0</xdr:row>
      <xdr:rowOff>431800</xdr:rowOff>
    </xdr:to>
    <xdr:pic>
      <xdr:nvPicPr>
        <xdr:cNvPr id="5" name="Imagen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32ABD9-E9F2-5F40-B1C2-A7079D6AC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9100" y="63500"/>
          <a:ext cx="368300" cy="368300"/>
        </a:xfrm>
        <a:prstGeom prst="rect">
          <a:avLst/>
        </a:prstGeom>
      </xdr:spPr>
    </xdr:pic>
    <xdr:clientData/>
  </xdr:twoCellAnchor>
  <xdr:twoCellAnchor editAs="absolute">
    <xdr:from>
      <xdr:col>1</xdr:col>
      <xdr:colOff>457200</xdr:colOff>
      <xdr:row>0</xdr:row>
      <xdr:rowOff>0</xdr:rowOff>
    </xdr:from>
    <xdr:to>
      <xdr:col>2</xdr:col>
      <xdr:colOff>101600</xdr:colOff>
      <xdr:row>0</xdr:row>
      <xdr:rowOff>502920</xdr:rowOff>
    </xdr:to>
    <xdr:sp macro="" textlink="">
      <xdr:nvSpPr>
        <xdr:cNvPr id="6" name="Retângulo 2">
          <a:extLst>
            <a:ext uri="{FF2B5EF4-FFF2-40B4-BE49-F238E27FC236}">
              <a16:creationId xmlns:a16="http://schemas.microsoft.com/office/drawing/2014/main" id="{76E05F6E-76A8-BD4C-9462-E25B2D2A1231}"/>
            </a:ext>
          </a:extLst>
        </xdr:cNvPr>
        <xdr:cNvSpPr>
          <a:spLocks/>
        </xdr:cNvSpPr>
      </xdr:nvSpPr>
      <xdr:spPr>
        <a:xfrm>
          <a:off x="825500" y="0"/>
          <a:ext cx="2057400" cy="5029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REGISTRO DE DATOS</a:t>
          </a:r>
        </a:p>
      </xdr:txBody>
    </xdr:sp>
    <xdr:clientData/>
  </xdr:twoCellAnchor>
  <xdr:twoCellAnchor editAs="absolute">
    <xdr:from>
      <xdr:col>1</xdr:col>
      <xdr:colOff>558800</xdr:colOff>
      <xdr:row>0</xdr:row>
      <xdr:rowOff>76200</xdr:rowOff>
    </xdr:from>
    <xdr:to>
      <xdr:col>1</xdr:col>
      <xdr:colOff>878840</xdr:colOff>
      <xdr:row>0</xdr:row>
      <xdr:rowOff>396240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6DBCF1C-9AB4-AC41-AC07-5BD6ECEB4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7100" y="76200"/>
          <a:ext cx="320040" cy="320040"/>
        </a:xfrm>
        <a:prstGeom prst="rect">
          <a:avLst/>
        </a:prstGeom>
      </xdr:spPr>
    </xdr:pic>
    <xdr:clientData/>
  </xdr:twoCellAnchor>
  <xdr:twoCellAnchor editAs="absolute">
    <xdr:from>
      <xdr:col>1</xdr:col>
      <xdr:colOff>787400</xdr:colOff>
      <xdr:row>1</xdr:row>
      <xdr:rowOff>76200</xdr:rowOff>
    </xdr:from>
    <xdr:to>
      <xdr:col>1</xdr:col>
      <xdr:colOff>1892300</xdr:colOff>
      <xdr:row>2</xdr:row>
      <xdr:rowOff>16510</xdr:rowOff>
    </xdr:to>
    <xdr:sp macro="" textlink="">
      <xdr:nvSpPr>
        <xdr:cNvPr id="8" name="Retângul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94CB748-F6E2-A042-AAC9-A38B5571D98A}"/>
            </a:ext>
          </a:extLst>
        </xdr:cNvPr>
        <xdr:cNvSpPr/>
      </xdr:nvSpPr>
      <xdr:spPr>
        <a:xfrm>
          <a:off x="1155700" y="584200"/>
          <a:ext cx="1104900" cy="30861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PRODUCTOS</a:t>
          </a:r>
        </a:p>
      </xdr:txBody>
    </xdr:sp>
    <xdr:clientData/>
  </xdr:twoCellAnchor>
  <xdr:twoCellAnchor editAs="absolute">
    <xdr:from>
      <xdr:col>1</xdr:col>
      <xdr:colOff>1892300</xdr:colOff>
      <xdr:row>1</xdr:row>
      <xdr:rowOff>76200</xdr:rowOff>
    </xdr:from>
    <xdr:to>
      <xdr:col>2</xdr:col>
      <xdr:colOff>1244600</xdr:colOff>
      <xdr:row>2</xdr:row>
      <xdr:rowOff>16510</xdr:rowOff>
    </xdr:to>
    <xdr:sp macro="" textlink="">
      <xdr:nvSpPr>
        <xdr:cNvPr id="9" name="Retângulo 22">
          <a:extLst>
            <a:ext uri="{FF2B5EF4-FFF2-40B4-BE49-F238E27FC236}">
              <a16:creationId xmlns:a16="http://schemas.microsoft.com/office/drawing/2014/main" id="{6592620A-B7BE-344C-B199-F198F83BAEC9}"/>
            </a:ext>
          </a:extLst>
        </xdr:cNvPr>
        <xdr:cNvSpPr/>
      </xdr:nvSpPr>
      <xdr:spPr>
        <a:xfrm>
          <a:off x="2260600" y="584200"/>
          <a:ext cx="1765300" cy="308610"/>
        </a:xfrm>
        <a:prstGeom prst="rect">
          <a:avLst/>
        </a:prstGeom>
        <a:solidFill>
          <a:schemeClr val="bg1"/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INVENTARIO INICIAL</a:t>
          </a:r>
        </a:p>
      </xdr:txBody>
    </xdr:sp>
    <xdr:clientData/>
  </xdr:twoCellAnchor>
  <xdr:twoCellAnchor editAs="absolute">
    <xdr:from>
      <xdr:col>3</xdr:col>
      <xdr:colOff>1460500</xdr:colOff>
      <xdr:row>0</xdr:row>
      <xdr:rowOff>76200</xdr:rowOff>
    </xdr:from>
    <xdr:to>
      <xdr:col>3</xdr:col>
      <xdr:colOff>1780540</xdr:colOff>
      <xdr:row>0</xdr:row>
      <xdr:rowOff>396240</xdr:rowOff>
    </xdr:to>
    <xdr:pic>
      <xdr:nvPicPr>
        <xdr:cNvPr id="11" name="Imagen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A67CC3-074D-3544-A163-CAD1240E0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46800" y="76200"/>
          <a:ext cx="320040" cy="3200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863601</xdr:colOff>
      <xdr:row>0</xdr:row>
      <xdr:rowOff>0</xdr:rowOff>
    </xdr:from>
    <xdr:to>
      <xdr:col>4</xdr:col>
      <xdr:colOff>457200</xdr:colOff>
      <xdr:row>0</xdr:row>
      <xdr:rowOff>502920</xdr:rowOff>
    </xdr:to>
    <xdr:sp macro="" textlink="">
      <xdr:nvSpPr>
        <xdr:cNvPr id="2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9284C9-24ED-C94A-A35F-7DAE0FEB6822}"/>
            </a:ext>
          </a:extLst>
        </xdr:cNvPr>
        <xdr:cNvSpPr>
          <a:spLocks/>
        </xdr:cNvSpPr>
      </xdr:nvSpPr>
      <xdr:spPr>
        <a:xfrm>
          <a:off x="4495801" y="0"/>
          <a:ext cx="1523999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3</xdr:col>
      <xdr:colOff>952500</xdr:colOff>
      <xdr:row>0</xdr:row>
      <xdr:rowOff>63500</xdr:rowOff>
    </xdr:from>
    <xdr:to>
      <xdr:col>3</xdr:col>
      <xdr:colOff>1308100</xdr:colOff>
      <xdr:row>0</xdr:row>
      <xdr:rowOff>419100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AA20B-240A-0B46-8599-0B8A98AB5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4700" y="63500"/>
          <a:ext cx="355600" cy="355600"/>
        </a:xfrm>
        <a:prstGeom prst="rect">
          <a:avLst/>
        </a:prstGeom>
      </xdr:spPr>
    </xdr:pic>
    <xdr:clientData/>
  </xdr:twoCellAnchor>
  <xdr:twoCellAnchor editAs="absolute">
    <xdr:from>
      <xdr:col>2</xdr:col>
      <xdr:colOff>1193800</xdr:colOff>
      <xdr:row>0</xdr:row>
      <xdr:rowOff>0</xdr:rowOff>
    </xdr:from>
    <xdr:to>
      <xdr:col>3</xdr:col>
      <xdr:colOff>863600</xdr:colOff>
      <xdr:row>0</xdr:row>
      <xdr:rowOff>502920</xdr:rowOff>
    </xdr:to>
    <xdr:sp macro="" textlink="">
      <xdr:nvSpPr>
        <xdr:cNvPr id="4" name="Retângulo 2">
          <a:extLst>
            <a:ext uri="{FF2B5EF4-FFF2-40B4-BE49-F238E27FC236}">
              <a16:creationId xmlns:a16="http://schemas.microsoft.com/office/drawing/2014/main" id="{C3FB2F7D-AE4B-3F45-8058-33D3E4F0D662}"/>
            </a:ext>
          </a:extLst>
        </xdr:cNvPr>
        <xdr:cNvSpPr>
          <a:spLocks/>
        </xdr:cNvSpPr>
      </xdr:nvSpPr>
      <xdr:spPr>
        <a:xfrm>
          <a:off x="2882900" y="0"/>
          <a:ext cx="1612900" cy="5029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MOVIMIENTOS</a:t>
          </a:r>
        </a:p>
      </xdr:txBody>
    </xdr:sp>
    <xdr:clientData/>
  </xdr:twoCellAnchor>
  <xdr:twoCellAnchor editAs="absolute">
    <xdr:from>
      <xdr:col>2</xdr:col>
      <xdr:colOff>1270000</xdr:colOff>
      <xdr:row>0</xdr:row>
      <xdr:rowOff>63500</xdr:rowOff>
    </xdr:from>
    <xdr:to>
      <xdr:col>2</xdr:col>
      <xdr:colOff>1638300</xdr:colOff>
      <xdr:row>0</xdr:row>
      <xdr:rowOff>431800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D63FE2C-1CC8-204A-9517-3BA75E916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9100" y="63500"/>
          <a:ext cx="368300" cy="368300"/>
        </a:xfrm>
        <a:prstGeom prst="rect">
          <a:avLst/>
        </a:prstGeom>
      </xdr:spPr>
    </xdr:pic>
    <xdr:clientData/>
  </xdr:twoCellAnchor>
  <xdr:twoCellAnchor editAs="absolute">
    <xdr:from>
      <xdr:col>1</xdr:col>
      <xdr:colOff>457200</xdr:colOff>
      <xdr:row>0</xdr:row>
      <xdr:rowOff>0</xdr:rowOff>
    </xdr:from>
    <xdr:to>
      <xdr:col>2</xdr:col>
      <xdr:colOff>1193800</xdr:colOff>
      <xdr:row>0</xdr:row>
      <xdr:rowOff>502920</xdr:rowOff>
    </xdr:to>
    <xdr:sp macro="" textlink="">
      <xdr:nvSpPr>
        <xdr:cNvPr id="6" name="Retângul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E92EEC6-B076-BA47-9703-654918974565}"/>
            </a:ext>
          </a:extLst>
        </xdr:cNvPr>
        <xdr:cNvSpPr>
          <a:spLocks/>
        </xdr:cNvSpPr>
      </xdr:nvSpPr>
      <xdr:spPr>
        <a:xfrm>
          <a:off x="825500" y="0"/>
          <a:ext cx="205740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REGISTRO DE DATOS</a:t>
          </a:r>
        </a:p>
      </xdr:txBody>
    </xdr:sp>
    <xdr:clientData/>
  </xdr:twoCellAnchor>
  <xdr:twoCellAnchor editAs="absolute">
    <xdr:from>
      <xdr:col>1</xdr:col>
      <xdr:colOff>558800</xdr:colOff>
      <xdr:row>0</xdr:row>
      <xdr:rowOff>76200</xdr:rowOff>
    </xdr:from>
    <xdr:to>
      <xdr:col>1</xdr:col>
      <xdr:colOff>878840</xdr:colOff>
      <xdr:row>0</xdr:row>
      <xdr:rowOff>396240</xdr:rowOff>
    </xdr:to>
    <xdr:pic>
      <xdr:nvPicPr>
        <xdr:cNvPr id="7" name="Imagen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705C06-D841-F24B-8B96-5D7FA4372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7100" y="76200"/>
          <a:ext cx="320040" cy="320040"/>
        </a:xfrm>
        <a:prstGeom prst="rect">
          <a:avLst/>
        </a:prstGeom>
      </xdr:spPr>
    </xdr:pic>
    <xdr:clientData/>
  </xdr:twoCellAnchor>
  <xdr:twoCellAnchor editAs="absolute">
    <xdr:from>
      <xdr:col>1</xdr:col>
      <xdr:colOff>787400</xdr:colOff>
      <xdr:row>1</xdr:row>
      <xdr:rowOff>76200</xdr:rowOff>
    </xdr:from>
    <xdr:to>
      <xdr:col>2</xdr:col>
      <xdr:colOff>571500</xdr:colOff>
      <xdr:row>2</xdr:row>
      <xdr:rowOff>16510</xdr:rowOff>
    </xdr:to>
    <xdr:sp macro="" textlink="">
      <xdr:nvSpPr>
        <xdr:cNvPr id="8" name="Retângulo 22">
          <a:extLst>
            <a:ext uri="{FF2B5EF4-FFF2-40B4-BE49-F238E27FC236}">
              <a16:creationId xmlns:a16="http://schemas.microsoft.com/office/drawing/2014/main" id="{B6104C62-27CB-C84E-9BA0-0A855CB7B8AC}"/>
            </a:ext>
          </a:extLst>
        </xdr:cNvPr>
        <xdr:cNvSpPr/>
      </xdr:nvSpPr>
      <xdr:spPr>
        <a:xfrm>
          <a:off x="1155700" y="584200"/>
          <a:ext cx="1104900" cy="308610"/>
        </a:xfrm>
        <a:prstGeom prst="rect">
          <a:avLst/>
        </a:prstGeom>
        <a:solidFill>
          <a:schemeClr val="bg1"/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ENTRADAS</a:t>
          </a:r>
        </a:p>
      </xdr:txBody>
    </xdr:sp>
    <xdr:clientData/>
  </xdr:twoCellAnchor>
  <xdr:twoCellAnchor editAs="absolute">
    <xdr:from>
      <xdr:col>2</xdr:col>
      <xdr:colOff>571500</xdr:colOff>
      <xdr:row>1</xdr:row>
      <xdr:rowOff>76200</xdr:rowOff>
    </xdr:from>
    <xdr:to>
      <xdr:col>2</xdr:col>
      <xdr:colOff>1536700</xdr:colOff>
      <xdr:row>2</xdr:row>
      <xdr:rowOff>16510</xdr:rowOff>
    </xdr:to>
    <xdr:sp macro="" textlink="">
      <xdr:nvSpPr>
        <xdr:cNvPr id="9" name="Retângul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C35894F-F0CE-9F42-8FC6-CD554DBD79DB}"/>
            </a:ext>
          </a:extLst>
        </xdr:cNvPr>
        <xdr:cNvSpPr/>
      </xdr:nvSpPr>
      <xdr:spPr>
        <a:xfrm>
          <a:off x="2260600" y="584200"/>
          <a:ext cx="965200" cy="30861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SALIDAS</a:t>
          </a:r>
        </a:p>
      </xdr:txBody>
    </xdr:sp>
    <xdr:clientData/>
  </xdr:twoCellAnchor>
  <xdr:twoCellAnchor editAs="absolute">
    <xdr:from>
      <xdr:col>4</xdr:col>
      <xdr:colOff>469901</xdr:colOff>
      <xdr:row>0</xdr:row>
      <xdr:rowOff>0</xdr:rowOff>
    </xdr:from>
    <xdr:to>
      <xdr:col>4</xdr:col>
      <xdr:colOff>2207261</xdr:colOff>
      <xdr:row>0</xdr:row>
      <xdr:rowOff>502920</xdr:rowOff>
    </xdr:to>
    <xdr:sp macro="" textlink="">
      <xdr:nvSpPr>
        <xdr:cNvPr id="10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22E324-3874-734B-97FF-FE240DC6F44C}"/>
            </a:ext>
          </a:extLst>
        </xdr:cNvPr>
        <xdr:cNvSpPr>
          <a:spLocks/>
        </xdr:cNvSpPr>
      </xdr:nvSpPr>
      <xdr:spPr>
        <a:xfrm>
          <a:off x="6032501" y="0"/>
          <a:ext cx="173736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INSTRUCCIONES</a:t>
          </a:r>
        </a:p>
      </xdr:txBody>
    </xdr:sp>
    <xdr:clientData/>
  </xdr:twoCellAnchor>
  <xdr:twoCellAnchor editAs="absolute">
    <xdr:from>
      <xdr:col>4</xdr:col>
      <xdr:colOff>584200</xdr:colOff>
      <xdr:row>0</xdr:row>
      <xdr:rowOff>76200</xdr:rowOff>
    </xdr:from>
    <xdr:to>
      <xdr:col>4</xdr:col>
      <xdr:colOff>904240</xdr:colOff>
      <xdr:row>0</xdr:row>
      <xdr:rowOff>396240</xdr:rowOff>
    </xdr:to>
    <xdr:pic>
      <xdr:nvPicPr>
        <xdr:cNvPr id="11" name="Imagen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23FE78F-FAE5-9340-9567-9CFA0E71F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46800" y="76200"/>
          <a:ext cx="320040" cy="32004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863601</xdr:colOff>
      <xdr:row>0</xdr:row>
      <xdr:rowOff>0</xdr:rowOff>
    </xdr:from>
    <xdr:to>
      <xdr:col>4</xdr:col>
      <xdr:colOff>457200</xdr:colOff>
      <xdr:row>0</xdr:row>
      <xdr:rowOff>502920</xdr:rowOff>
    </xdr:to>
    <xdr:sp macro="" textlink="">
      <xdr:nvSpPr>
        <xdr:cNvPr id="2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82BFA2-B1B2-1547-A9E9-F91B35B1D335}"/>
            </a:ext>
          </a:extLst>
        </xdr:cNvPr>
        <xdr:cNvSpPr>
          <a:spLocks/>
        </xdr:cNvSpPr>
      </xdr:nvSpPr>
      <xdr:spPr>
        <a:xfrm>
          <a:off x="4495801" y="0"/>
          <a:ext cx="1523999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3</xdr:col>
      <xdr:colOff>952500</xdr:colOff>
      <xdr:row>0</xdr:row>
      <xdr:rowOff>63500</xdr:rowOff>
    </xdr:from>
    <xdr:to>
      <xdr:col>3</xdr:col>
      <xdr:colOff>1308100</xdr:colOff>
      <xdr:row>0</xdr:row>
      <xdr:rowOff>419100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3ECFF6-4EAF-7E4C-9CA4-491952719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4700" y="63500"/>
          <a:ext cx="355600" cy="355600"/>
        </a:xfrm>
        <a:prstGeom prst="rect">
          <a:avLst/>
        </a:prstGeom>
      </xdr:spPr>
    </xdr:pic>
    <xdr:clientData/>
  </xdr:twoCellAnchor>
  <xdr:twoCellAnchor editAs="absolute">
    <xdr:from>
      <xdr:col>2</xdr:col>
      <xdr:colOff>1193800</xdr:colOff>
      <xdr:row>0</xdr:row>
      <xdr:rowOff>0</xdr:rowOff>
    </xdr:from>
    <xdr:to>
      <xdr:col>3</xdr:col>
      <xdr:colOff>863600</xdr:colOff>
      <xdr:row>0</xdr:row>
      <xdr:rowOff>502920</xdr:rowOff>
    </xdr:to>
    <xdr:sp macro="" textlink="">
      <xdr:nvSpPr>
        <xdr:cNvPr id="4" name="Retângulo 2">
          <a:extLst>
            <a:ext uri="{FF2B5EF4-FFF2-40B4-BE49-F238E27FC236}">
              <a16:creationId xmlns:a16="http://schemas.microsoft.com/office/drawing/2014/main" id="{F4BEB213-C8B9-2C47-B569-D11D86738AA2}"/>
            </a:ext>
          </a:extLst>
        </xdr:cNvPr>
        <xdr:cNvSpPr>
          <a:spLocks/>
        </xdr:cNvSpPr>
      </xdr:nvSpPr>
      <xdr:spPr>
        <a:xfrm>
          <a:off x="2882900" y="0"/>
          <a:ext cx="1612900" cy="5029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MOVIMIENTOS</a:t>
          </a:r>
        </a:p>
      </xdr:txBody>
    </xdr:sp>
    <xdr:clientData/>
  </xdr:twoCellAnchor>
  <xdr:twoCellAnchor editAs="absolute">
    <xdr:from>
      <xdr:col>2</xdr:col>
      <xdr:colOff>1270000</xdr:colOff>
      <xdr:row>0</xdr:row>
      <xdr:rowOff>63500</xdr:rowOff>
    </xdr:from>
    <xdr:to>
      <xdr:col>2</xdr:col>
      <xdr:colOff>1638300</xdr:colOff>
      <xdr:row>0</xdr:row>
      <xdr:rowOff>431800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64C0CA-59EC-2A44-AEB0-D323838C5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9100" y="63500"/>
          <a:ext cx="368300" cy="368300"/>
        </a:xfrm>
        <a:prstGeom prst="rect">
          <a:avLst/>
        </a:prstGeom>
      </xdr:spPr>
    </xdr:pic>
    <xdr:clientData/>
  </xdr:twoCellAnchor>
  <xdr:twoCellAnchor editAs="absolute">
    <xdr:from>
      <xdr:col>1</xdr:col>
      <xdr:colOff>457200</xdr:colOff>
      <xdr:row>0</xdr:row>
      <xdr:rowOff>0</xdr:rowOff>
    </xdr:from>
    <xdr:to>
      <xdr:col>2</xdr:col>
      <xdr:colOff>1193800</xdr:colOff>
      <xdr:row>0</xdr:row>
      <xdr:rowOff>502920</xdr:rowOff>
    </xdr:to>
    <xdr:sp macro="" textlink="">
      <xdr:nvSpPr>
        <xdr:cNvPr id="6" name="Retângul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B54DE4-5A35-E149-A394-DEB733B1B908}"/>
            </a:ext>
          </a:extLst>
        </xdr:cNvPr>
        <xdr:cNvSpPr>
          <a:spLocks/>
        </xdr:cNvSpPr>
      </xdr:nvSpPr>
      <xdr:spPr>
        <a:xfrm>
          <a:off x="825500" y="0"/>
          <a:ext cx="205740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REGISTRO DE DATOS</a:t>
          </a:r>
        </a:p>
      </xdr:txBody>
    </xdr:sp>
    <xdr:clientData/>
  </xdr:twoCellAnchor>
  <xdr:twoCellAnchor editAs="absolute">
    <xdr:from>
      <xdr:col>1</xdr:col>
      <xdr:colOff>558800</xdr:colOff>
      <xdr:row>0</xdr:row>
      <xdr:rowOff>76200</xdr:rowOff>
    </xdr:from>
    <xdr:to>
      <xdr:col>1</xdr:col>
      <xdr:colOff>878840</xdr:colOff>
      <xdr:row>0</xdr:row>
      <xdr:rowOff>396240</xdr:rowOff>
    </xdr:to>
    <xdr:pic>
      <xdr:nvPicPr>
        <xdr:cNvPr id="7" name="Imagen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86CD90-E7A9-8740-B09F-EE6037A5C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7100" y="76200"/>
          <a:ext cx="320040" cy="320040"/>
        </a:xfrm>
        <a:prstGeom prst="rect">
          <a:avLst/>
        </a:prstGeom>
      </xdr:spPr>
    </xdr:pic>
    <xdr:clientData/>
  </xdr:twoCellAnchor>
  <xdr:twoCellAnchor editAs="absolute">
    <xdr:from>
      <xdr:col>1</xdr:col>
      <xdr:colOff>787400</xdr:colOff>
      <xdr:row>1</xdr:row>
      <xdr:rowOff>76200</xdr:rowOff>
    </xdr:from>
    <xdr:to>
      <xdr:col>2</xdr:col>
      <xdr:colOff>571500</xdr:colOff>
      <xdr:row>2</xdr:row>
      <xdr:rowOff>16510</xdr:rowOff>
    </xdr:to>
    <xdr:sp macro="" textlink="">
      <xdr:nvSpPr>
        <xdr:cNvPr id="8" name="Retângul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22E70B8-BD53-0B4D-9B64-98F4C84C8687}"/>
            </a:ext>
          </a:extLst>
        </xdr:cNvPr>
        <xdr:cNvSpPr/>
      </xdr:nvSpPr>
      <xdr:spPr>
        <a:xfrm>
          <a:off x="1155700" y="584200"/>
          <a:ext cx="1104900" cy="30861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ENTRADAS</a:t>
          </a:r>
        </a:p>
      </xdr:txBody>
    </xdr:sp>
    <xdr:clientData/>
  </xdr:twoCellAnchor>
  <xdr:twoCellAnchor editAs="absolute">
    <xdr:from>
      <xdr:col>2</xdr:col>
      <xdr:colOff>571500</xdr:colOff>
      <xdr:row>1</xdr:row>
      <xdr:rowOff>76200</xdr:rowOff>
    </xdr:from>
    <xdr:to>
      <xdr:col>2</xdr:col>
      <xdr:colOff>1536700</xdr:colOff>
      <xdr:row>2</xdr:row>
      <xdr:rowOff>16510</xdr:rowOff>
    </xdr:to>
    <xdr:sp macro="" textlink="">
      <xdr:nvSpPr>
        <xdr:cNvPr id="9" name="Retângulo 22">
          <a:extLst>
            <a:ext uri="{FF2B5EF4-FFF2-40B4-BE49-F238E27FC236}">
              <a16:creationId xmlns:a16="http://schemas.microsoft.com/office/drawing/2014/main" id="{D6B3C175-EF37-6B43-886F-2B5E2BF6A8C0}"/>
            </a:ext>
          </a:extLst>
        </xdr:cNvPr>
        <xdr:cNvSpPr/>
      </xdr:nvSpPr>
      <xdr:spPr>
        <a:xfrm>
          <a:off x="2260600" y="584200"/>
          <a:ext cx="965200" cy="308610"/>
        </a:xfrm>
        <a:prstGeom prst="rect">
          <a:avLst/>
        </a:prstGeom>
        <a:solidFill>
          <a:schemeClr val="bg1"/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SALIDAS</a:t>
          </a:r>
        </a:p>
      </xdr:txBody>
    </xdr:sp>
    <xdr:clientData/>
  </xdr:twoCellAnchor>
  <xdr:twoCellAnchor editAs="absolute">
    <xdr:from>
      <xdr:col>4</xdr:col>
      <xdr:colOff>469901</xdr:colOff>
      <xdr:row>0</xdr:row>
      <xdr:rowOff>0</xdr:rowOff>
    </xdr:from>
    <xdr:to>
      <xdr:col>4</xdr:col>
      <xdr:colOff>2207261</xdr:colOff>
      <xdr:row>0</xdr:row>
      <xdr:rowOff>502920</xdr:rowOff>
    </xdr:to>
    <xdr:sp macro="" textlink="">
      <xdr:nvSpPr>
        <xdr:cNvPr id="10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399341-A214-504B-BF85-18EAC0BD1103}"/>
            </a:ext>
          </a:extLst>
        </xdr:cNvPr>
        <xdr:cNvSpPr>
          <a:spLocks/>
        </xdr:cNvSpPr>
      </xdr:nvSpPr>
      <xdr:spPr>
        <a:xfrm>
          <a:off x="6032501" y="0"/>
          <a:ext cx="173736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INSTRUCCIONES</a:t>
          </a:r>
        </a:p>
      </xdr:txBody>
    </xdr:sp>
    <xdr:clientData/>
  </xdr:twoCellAnchor>
  <xdr:twoCellAnchor editAs="absolute">
    <xdr:from>
      <xdr:col>4</xdr:col>
      <xdr:colOff>584200</xdr:colOff>
      <xdr:row>0</xdr:row>
      <xdr:rowOff>76200</xdr:rowOff>
    </xdr:from>
    <xdr:to>
      <xdr:col>4</xdr:col>
      <xdr:colOff>904240</xdr:colOff>
      <xdr:row>0</xdr:row>
      <xdr:rowOff>396240</xdr:rowOff>
    </xdr:to>
    <xdr:pic>
      <xdr:nvPicPr>
        <xdr:cNvPr id="11" name="Imagen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FF00FE-3CFD-0B43-B76F-59FBA40B5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46800" y="76200"/>
          <a:ext cx="320040" cy="32004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2654301</xdr:colOff>
      <xdr:row>0</xdr:row>
      <xdr:rowOff>0</xdr:rowOff>
    </xdr:from>
    <xdr:to>
      <xdr:col>3</xdr:col>
      <xdr:colOff>1066800</xdr:colOff>
      <xdr:row>0</xdr:row>
      <xdr:rowOff>502920</xdr:rowOff>
    </xdr:to>
    <xdr:sp macro="" textlink="">
      <xdr:nvSpPr>
        <xdr:cNvPr id="1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37E8E-5E8A-D54E-B8E5-191C5C713F27}"/>
            </a:ext>
          </a:extLst>
        </xdr:cNvPr>
        <xdr:cNvSpPr>
          <a:spLocks/>
        </xdr:cNvSpPr>
      </xdr:nvSpPr>
      <xdr:spPr>
        <a:xfrm>
          <a:off x="4495801" y="0"/>
          <a:ext cx="1523999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2</xdr:col>
      <xdr:colOff>2743200</xdr:colOff>
      <xdr:row>0</xdr:row>
      <xdr:rowOff>63500</xdr:rowOff>
    </xdr:from>
    <xdr:to>
      <xdr:col>2</xdr:col>
      <xdr:colOff>3101975</xdr:colOff>
      <xdr:row>0</xdr:row>
      <xdr:rowOff>419100</xdr:rowOff>
    </xdr:to>
    <xdr:pic>
      <xdr:nvPicPr>
        <xdr:cNvPr id="15" name="Imagen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A80CC7-263C-81AA-0946-FC84B8C67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4700" y="63500"/>
          <a:ext cx="355600" cy="355600"/>
        </a:xfrm>
        <a:prstGeom prst="rect">
          <a:avLst/>
        </a:prstGeom>
      </xdr:spPr>
    </xdr:pic>
    <xdr:clientData/>
  </xdr:twoCellAnchor>
  <xdr:twoCellAnchor editAs="absolute">
    <xdr:from>
      <xdr:col>2</xdr:col>
      <xdr:colOff>1041400</xdr:colOff>
      <xdr:row>0</xdr:row>
      <xdr:rowOff>0</xdr:rowOff>
    </xdr:from>
    <xdr:to>
      <xdr:col>2</xdr:col>
      <xdr:colOff>2654300</xdr:colOff>
      <xdr:row>0</xdr:row>
      <xdr:rowOff>502920</xdr:rowOff>
    </xdr:to>
    <xdr:sp macro="" textlink="">
      <xdr:nvSpPr>
        <xdr:cNvPr id="4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442B72-D87B-9140-9F25-347A883A8F7B}"/>
            </a:ext>
          </a:extLst>
        </xdr:cNvPr>
        <xdr:cNvSpPr>
          <a:spLocks/>
        </xdr:cNvSpPr>
      </xdr:nvSpPr>
      <xdr:spPr>
        <a:xfrm>
          <a:off x="2882900" y="0"/>
          <a:ext cx="161290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MOVIMIENTOS</a:t>
          </a:r>
        </a:p>
      </xdr:txBody>
    </xdr:sp>
    <xdr:clientData/>
  </xdr:twoCellAnchor>
  <xdr:twoCellAnchor editAs="absolute">
    <xdr:from>
      <xdr:col>2</xdr:col>
      <xdr:colOff>1117600</xdr:colOff>
      <xdr:row>0</xdr:row>
      <xdr:rowOff>63500</xdr:rowOff>
    </xdr:from>
    <xdr:to>
      <xdr:col>2</xdr:col>
      <xdr:colOff>1485900</xdr:colOff>
      <xdr:row>0</xdr:row>
      <xdr:rowOff>431800</xdr:rowOff>
    </xdr:to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DF5637-80BF-4304-F890-DBAE63BD9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9100" y="63500"/>
          <a:ext cx="368300" cy="368300"/>
        </a:xfrm>
        <a:prstGeom prst="rect">
          <a:avLst/>
        </a:prstGeom>
      </xdr:spPr>
    </xdr:pic>
    <xdr:clientData/>
  </xdr:twoCellAnchor>
  <xdr:twoCellAnchor editAs="absolute">
    <xdr:from>
      <xdr:col>1</xdr:col>
      <xdr:colOff>457200</xdr:colOff>
      <xdr:row>0</xdr:row>
      <xdr:rowOff>0</xdr:rowOff>
    </xdr:from>
    <xdr:to>
      <xdr:col>2</xdr:col>
      <xdr:colOff>1041400</xdr:colOff>
      <xdr:row>0</xdr:row>
      <xdr:rowOff>502920</xdr:rowOff>
    </xdr:to>
    <xdr:sp macro="" textlink="">
      <xdr:nvSpPr>
        <xdr:cNvPr id="2" name="Retângulo 2">
          <a:extLst>
            <a:ext uri="{FF2B5EF4-FFF2-40B4-BE49-F238E27FC236}">
              <a16:creationId xmlns:a16="http://schemas.microsoft.com/office/drawing/2014/main" id="{A68919A8-9803-EE43-800E-5536FB87AF0D}"/>
            </a:ext>
          </a:extLst>
        </xdr:cNvPr>
        <xdr:cNvSpPr>
          <a:spLocks/>
        </xdr:cNvSpPr>
      </xdr:nvSpPr>
      <xdr:spPr>
        <a:xfrm>
          <a:off x="825500" y="0"/>
          <a:ext cx="2057400" cy="5029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REGISTRO DE DATOS</a:t>
          </a:r>
        </a:p>
      </xdr:txBody>
    </xdr:sp>
    <xdr:clientData/>
  </xdr:twoCellAnchor>
  <xdr:twoCellAnchor editAs="absolute">
    <xdr:from>
      <xdr:col>1</xdr:col>
      <xdr:colOff>558800</xdr:colOff>
      <xdr:row>0</xdr:row>
      <xdr:rowOff>76200</xdr:rowOff>
    </xdr:from>
    <xdr:to>
      <xdr:col>1</xdr:col>
      <xdr:colOff>878840</xdr:colOff>
      <xdr:row>0</xdr:row>
      <xdr:rowOff>396240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685053-4BEA-2641-BC11-99969F9DF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7100" y="76200"/>
          <a:ext cx="320040" cy="320040"/>
        </a:xfrm>
        <a:prstGeom prst="rect">
          <a:avLst/>
        </a:prstGeom>
      </xdr:spPr>
    </xdr:pic>
    <xdr:clientData/>
  </xdr:twoCellAnchor>
  <xdr:twoCellAnchor editAs="absolute">
    <xdr:from>
      <xdr:col>1</xdr:col>
      <xdr:colOff>787400</xdr:colOff>
      <xdr:row>1</xdr:row>
      <xdr:rowOff>76200</xdr:rowOff>
    </xdr:from>
    <xdr:to>
      <xdr:col>2</xdr:col>
      <xdr:colOff>419100</xdr:colOff>
      <xdr:row>2</xdr:row>
      <xdr:rowOff>16510</xdr:rowOff>
    </xdr:to>
    <xdr:sp macro="" textlink="">
      <xdr:nvSpPr>
        <xdr:cNvPr id="6" name="Retângul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3BBB5C2-4885-6A4E-9D2E-0BB4F9F3FE9E}"/>
            </a:ext>
          </a:extLst>
        </xdr:cNvPr>
        <xdr:cNvSpPr/>
      </xdr:nvSpPr>
      <xdr:spPr>
        <a:xfrm>
          <a:off x="1155700" y="584200"/>
          <a:ext cx="1104900" cy="308610"/>
        </a:xfrm>
        <a:prstGeom prst="rect">
          <a:avLst/>
        </a:prstGeom>
        <a:solidFill>
          <a:schemeClr val="bg1"/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PRODUCTOS</a:t>
          </a:r>
        </a:p>
      </xdr:txBody>
    </xdr:sp>
    <xdr:clientData/>
  </xdr:twoCellAnchor>
  <xdr:twoCellAnchor editAs="absolute">
    <xdr:from>
      <xdr:col>2</xdr:col>
      <xdr:colOff>419100</xdr:colOff>
      <xdr:row>1</xdr:row>
      <xdr:rowOff>76200</xdr:rowOff>
    </xdr:from>
    <xdr:to>
      <xdr:col>2</xdr:col>
      <xdr:colOff>2184400</xdr:colOff>
      <xdr:row>2</xdr:row>
      <xdr:rowOff>16510</xdr:rowOff>
    </xdr:to>
    <xdr:sp macro="" textlink="">
      <xdr:nvSpPr>
        <xdr:cNvPr id="7" name="Retângulo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34A0BB-9E64-1A43-ABC0-6494A6F05120}"/>
            </a:ext>
          </a:extLst>
        </xdr:cNvPr>
        <xdr:cNvSpPr/>
      </xdr:nvSpPr>
      <xdr:spPr>
        <a:xfrm>
          <a:off x="2260600" y="584200"/>
          <a:ext cx="1765300" cy="30861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INVENTARIO INICIAL</a:t>
          </a:r>
        </a:p>
      </xdr:txBody>
    </xdr:sp>
    <xdr:clientData/>
  </xdr:twoCellAnchor>
  <xdr:twoCellAnchor editAs="absolute">
    <xdr:from>
      <xdr:col>3</xdr:col>
      <xdr:colOff>1079501</xdr:colOff>
      <xdr:row>0</xdr:row>
      <xdr:rowOff>0</xdr:rowOff>
    </xdr:from>
    <xdr:to>
      <xdr:col>4</xdr:col>
      <xdr:colOff>1153161</xdr:colOff>
      <xdr:row>0</xdr:row>
      <xdr:rowOff>502920</xdr:rowOff>
    </xdr:to>
    <xdr:sp macro="" textlink="">
      <xdr:nvSpPr>
        <xdr:cNvPr id="8" name="Retângulo 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CA400E6-DB8F-694E-8358-3619FE2C5376}"/>
            </a:ext>
          </a:extLst>
        </xdr:cNvPr>
        <xdr:cNvSpPr>
          <a:spLocks/>
        </xdr:cNvSpPr>
      </xdr:nvSpPr>
      <xdr:spPr>
        <a:xfrm>
          <a:off x="6032501" y="0"/>
          <a:ext cx="173736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INSTRUCCIONES</a:t>
          </a:r>
        </a:p>
      </xdr:txBody>
    </xdr:sp>
    <xdr:clientData/>
  </xdr:twoCellAnchor>
  <xdr:twoCellAnchor editAs="absolute">
    <xdr:from>
      <xdr:col>3</xdr:col>
      <xdr:colOff>1193800</xdr:colOff>
      <xdr:row>0</xdr:row>
      <xdr:rowOff>76200</xdr:rowOff>
    </xdr:from>
    <xdr:to>
      <xdr:col>3</xdr:col>
      <xdr:colOff>1517015</xdr:colOff>
      <xdr:row>0</xdr:row>
      <xdr:rowOff>396240</xdr:rowOff>
    </xdr:to>
    <xdr:pic>
      <xdr:nvPicPr>
        <xdr:cNvPr id="9" name="Imagen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B48BA20-81DF-8647-8C45-47840191C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46800" y="76200"/>
          <a:ext cx="320040" cy="32004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53976</xdr:colOff>
      <xdr:row>0</xdr:row>
      <xdr:rowOff>0</xdr:rowOff>
    </xdr:from>
    <xdr:to>
      <xdr:col>3</xdr:col>
      <xdr:colOff>1581150</xdr:colOff>
      <xdr:row>0</xdr:row>
      <xdr:rowOff>502920</xdr:rowOff>
    </xdr:to>
    <xdr:sp macro="" textlink="">
      <xdr:nvSpPr>
        <xdr:cNvPr id="2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16A11-6BDD-DA46-BE9E-01099FF50B92}"/>
            </a:ext>
          </a:extLst>
        </xdr:cNvPr>
        <xdr:cNvSpPr>
          <a:spLocks/>
        </xdr:cNvSpPr>
      </xdr:nvSpPr>
      <xdr:spPr>
        <a:xfrm>
          <a:off x="4495801" y="0"/>
          <a:ext cx="1523999" cy="5029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3</xdr:col>
      <xdr:colOff>142875</xdr:colOff>
      <xdr:row>0</xdr:row>
      <xdr:rowOff>63500</xdr:rowOff>
    </xdr:from>
    <xdr:to>
      <xdr:col>3</xdr:col>
      <xdr:colOff>498475</xdr:colOff>
      <xdr:row>0</xdr:row>
      <xdr:rowOff>419100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77D1E3-BC11-7F4E-A269-DA2F51798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4700" y="63500"/>
          <a:ext cx="355600" cy="355600"/>
        </a:xfrm>
        <a:prstGeom prst="rect">
          <a:avLst/>
        </a:prstGeom>
      </xdr:spPr>
    </xdr:pic>
    <xdr:clientData/>
  </xdr:twoCellAnchor>
  <xdr:twoCellAnchor editAs="absolute">
    <xdr:from>
      <xdr:col>2</xdr:col>
      <xdr:colOff>1193800</xdr:colOff>
      <xdr:row>0</xdr:row>
      <xdr:rowOff>0</xdr:rowOff>
    </xdr:from>
    <xdr:to>
      <xdr:col>3</xdr:col>
      <xdr:colOff>53975</xdr:colOff>
      <xdr:row>0</xdr:row>
      <xdr:rowOff>502920</xdr:rowOff>
    </xdr:to>
    <xdr:sp macro="" textlink="">
      <xdr:nvSpPr>
        <xdr:cNvPr id="4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826C5F-7702-AA4B-AC28-C3B31916F185}"/>
            </a:ext>
          </a:extLst>
        </xdr:cNvPr>
        <xdr:cNvSpPr>
          <a:spLocks/>
        </xdr:cNvSpPr>
      </xdr:nvSpPr>
      <xdr:spPr>
        <a:xfrm>
          <a:off x="2882900" y="0"/>
          <a:ext cx="161290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MOVIMIENTOS</a:t>
          </a:r>
        </a:p>
      </xdr:txBody>
    </xdr:sp>
    <xdr:clientData/>
  </xdr:twoCellAnchor>
  <xdr:twoCellAnchor editAs="absolute">
    <xdr:from>
      <xdr:col>2</xdr:col>
      <xdr:colOff>1270000</xdr:colOff>
      <xdr:row>0</xdr:row>
      <xdr:rowOff>63500</xdr:rowOff>
    </xdr:from>
    <xdr:to>
      <xdr:col>2</xdr:col>
      <xdr:colOff>1638300</xdr:colOff>
      <xdr:row>0</xdr:row>
      <xdr:rowOff>431800</xdr:rowOff>
    </xdr:to>
    <xdr:pic>
      <xdr:nvPicPr>
        <xdr:cNvPr id="5" name="Imagen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D91516-5701-F043-B408-57D6E5EBB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9100" y="63500"/>
          <a:ext cx="368300" cy="368300"/>
        </a:xfrm>
        <a:prstGeom prst="rect">
          <a:avLst/>
        </a:prstGeom>
      </xdr:spPr>
    </xdr:pic>
    <xdr:clientData/>
  </xdr:twoCellAnchor>
  <xdr:twoCellAnchor editAs="absolute">
    <xdr:from>
      <xdr:col>1</xdr:col>
      <xdr:colOff>457200</xdr:colOff>
      <xdr:row>0</xdr:row>
      <xdr:rowOff>0</xdr:rowOff>
    </xdr:from>
    <xdr:to>
      <xdr:col>2</xdr:col>
      <xdr:colOff>1193800</xdr:colOff>
      <xdr:row>0</xdr:row>
      <xdr:rowOff>502920</xdr:rowOff>
    </xdr:to>
    <xdr:sp macro="" textlink="">
      <xdr:nvSpPr>
        <xdr:cNvPr id="6" name="Retângulo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7A518F-2C6B-9F45-9928-D7E8022672EF}"/>
            </a:ext>
          </a:extLst>
        </xdr:cNvPr>
        <xdr:cNvSpPr>
          <a:spLocks/>
        </xdr:cNvSpPr>
      </xdr:nvSpPr>
      <xdr:spPr>
        <a:xfrm>
          <a:off x="825500" y="0"/>
          <a:ext cx="205740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REGISTRO DE DATOS</a:t>
          </a:r>
        </a:p>
      </xdr:txBody>
    </xdr:sp>
    <xdr:clientData/>
  </xdr:twoCellAnchor>
  <xdr:twoCellAnchor editAs="absolute">
    <xdr:from>
      <xdr:col>1</xdr:col>
      <xdr:colOff>558800</xdr:colOff>
      <xdr:row>0</xdr:row>
      <xdr:rowOff>76200</xdr:rowOff>
    </xdr:from>
    <xdr:to>
      <xdr:col>1</xdr:col>
      <xdr:colOff>878840</xdr:colOff>
      <xdr:row>0</xdr:row>
      <xdr:rowOff>396240</xdr:rowOff>
    </xdr:to>
    <xdr:pic>
      <xdr:nvPicPr>
        <xdr:cNvPr id="7" name="Imagen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574AAE5-15F3-1542-85AC-59B93DA8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100" y="76200"/>
          <a:ext cx="320040" cy="320040"/>
        </a:xfrm>
        <a:prstGeom prst="rect">
          <a:avLst/>
        </a:prstGeom>
      </xdr:spPr>
    </xdr:pic>
    <xdr:clientData/>
  </xdr:twoCellAnchor>
  <xdr:twoCellAnchor editAs="absolute">
    <xdr:from>
      <xdr:col>1</xdr:col>
      <xdr:colOff>787400</xdr:colOff>
      <xdr:row>1</xdr:row>
      <xdr:rowOff>76200</xdr:rowOff>
    </xdr:from>
    <xdr:to>
      <xdr:col>2</xdr:col>
      <xdr:colOff>571500</xdr:colOff>
      <xdr:row>2</xdr:row>
      <xdr:rowOff>16510</xdr:rowOff>
    </xdr:to>
    <xdr:sp macro="" textlink="">
      <xdr:nvSpPr>
        <xdr:cNvPr id="8" name="Retângulo 22">
          <a:extLst>
            <a:ext uri="{FF2B5EF4-FFF2-40B4-BE49-F238E27FC236}">
              <a16:creationId xmlns:a16="http://schemas.microsoft.com/office/drawing/2014/main" id="{715D88A9-B6C8-5E4D-B89C-AEDA8C60B94B}"/>
            </a:ext>
          </a:extLst>
        </xdr:cNvPr>
        <xdr:cNvSpPr/>
      </xdr:nvSpPr>
      <xdr:spPr>
        <a:xfrm>
          <a:off x="1155700" y="584200"/>
          <a:ext cx="1104900" cy="308610"/>
        </a:xfrm>
        <a:prstGeom prst="rect">
          <a:avLst/>
        </a:prstGeom>
        <a:solidFill>
          <a:schemeClr val="bg1"/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STOCK</a:t>
          </a:r>
        </a:p>
      </xdr:txBody>
    </xdr:sp>
    <xdr:clientData/>
  </xdr:twoCellAnchor>
  <xdr:twoCellAnchor editAs="absolute">
    <xdr:from>
      <xdr:col>3</xdr:col>
      <xdr:colOff>1593851</xdr:colOff>
      <xdr:row>0</xdr:row>
      <xdr:rowOff>0</xdr:rowOff>
    </xdr:from>
    <xdr:to>
      <xdr:col>4</xdr:col>
      <xdr:colOff>1397636</xdr:colOff>
      <xdr:row>0</xdr:row>
      <xdr:rowOff>502920</xdr:rowOff>
    </xdr:to>
    <xdr:sp macro="" textlink="">
      <xdr:nvSpPr>
        <xdr:cNvPr id="10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CA286A-19D0-AA4D-A039-0E615A6A9D79}"/>
            </a:ext>
          </a:extLst>
        </xdr:cNvPr>
        <xdr:cNvSpPr>
          <a:spLocks/>
        </xdr:cNvSpPr>
      </xdr:nvSpPr>
      <xdr:spPr>
        <a:xfrm>
          <a:off x="6032501" y="0"/>
          <a:ext cx="173736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INSTRUCCIONES</a:t>
          </a:r>
        </a:p>
      </xdr:txBody>
    </xdr:sp>
    <xdr:clientData/>
  </xdr:twoCellAnchor>
  <xdr:twoCellAnchor editAs="absolute">
    <xdr:from>
      <xdr:col>3</xdr:col>
      <xdr:colOff>1708150</xdr:colOff>
      <xdr:row>0</xdr:row>
      <xdr:rowOff>76200</xdr:rowOff>
    </xdr:from>
    <xdr:to>
      <xdr:col>4</xdr:col>
      <xdr:colOff>94615</xdr:colOff>
      <xdr:row>0</xdr:row>
      <xdr:rowOff>396240</xdr:rowOff>
    </xdr:to>
    <xdr:pic>
      <xdr:nvPicPr>
        <xdr:cNvPr id="11" name="Imagen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BD1C81-694B-8743-A789-22ED0B8CA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46800" y="76200"/>
          <a:ext cx="320040" cy="320040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571500</xdr:colOff>
      <xdr:row>1</xdr:row>
      <xdr:rowOff>76200</xdr:rowOff>
    </xdr:from>
    <xdr:to>
      <xdr:col>2</xdr:col>
      <xdr:colOff>1676400</xdr:colOff>
      <xdr:row>2</xdr:row>
      <xdr:rowOff>16510</xdr:rowOff>
    </xdr:to>
    <xdr:sp macro="" textlink="">
      <xdr:nvSpPr>
        <xdr:cNvPr id="12" name="Retângulo 2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A8AD606-B265-8546-B7D2-D923F5A01288}"/>
            </a:ext>
          </a:extLst>
        </xdr:cNvPr>
        <xdr:cNvSpPr/>
      </xdr:nvSpPr>
      <xdr:spPr>
        <a:xfrm>
          <a:off x="2260600" y="584200"/>
          <a:ext cx="1104900" cy="30861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REPORTE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800101</xdr:colOff>
      <xdr:row>0</xdr:row>
      <xdr:rowOff>0</xdr:rowOff>
    </xdr:from>
    <xdr:to>
      <xdr:col>5</xdr:col>
      <xdr:colOff>63500</xdr:colOff>
      <xdr:row>0</xdr:row>
      <xdr:rowOff>502920</xdr:rowOff>
    </xdr:to>
    <xdr:sp macro="" textlink="">
      <xdr:nvSpPr>
        <xdr:cNvPr id="2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ECCE89-320D-6647-9FE2-4E594874E55E}"/>
            </a:ext>
          </a:extLst>
        </xdr:cNvPr>
        <xdr:cNvSpPr>
          <a:spLocks/>
        </xdr:cNvSpPr>
      </xdr:nvSpPr>
      <xdr:spPr>
        <a:xfrm>
          <a:off x="4495801" y="0"/>
          <a:ext cx="1523999" cy="5029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3</xdr:col>
      <xdr:colOff>889000</xdr:colOff>
      <xdr:row>0</xdr:row>
      <xdr:rowOff>63500</xdr:rowOff>
    </xdr:from>
    <xdr:to>
      <xdr:col>4</xdr:col>
      <xdr:colOff>114300</xdr:colOff>
      <xdr:row>0</xdr:row>
      <xdr:rowOff>419100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075705-4C7B-324D-99FA-78DDDBC3D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4700" y="63500"/>
          <a:ext cx="355600" cy="355600"/>
        </a:xfrm>
        <a:prstGeom prst="rect">
          <a:avLst/>
        </a:prstGeom>
      </xdr:spPr>
    </xdr:pic>
    <xdr:clientData/>
  </xdr:twoCellAnchor>
  <xdr:twoCellAnchor editAs="absolute">
    <xdr:from>
      <xdr:col>2</xdr:col>
      <xdr:colOff>317500</xdr:colOff>
      <xdr:row>0</xdr:row>
      <xdr:rowOff>0</xdr:rowOff>
    </xdr:from>
    <xdr:to>
      <xdr:col>3</xdr:col>
      <xdr:colOff>800100</xdr:colOff>
      <xdr:row>0</xdr:row>
      <xdr:rowOff>502920</xdr:rowOff>
    </xdr:to>
    <xdr:sp macro="" textlink="">
      <xdr:nvSpPr>
        <xdr:cNvPr id="4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CBD8D5-3190-A243-9551-81530F55A3AC}"/>
            </a:ext>
          </a:extLst>
        </xdr:cNvPr>
        <xdr:cNvSpPr>
          <a:spLocks/>
        </xdr:cNvSpPr>
      </xdr:nvSpPr>
      <xdr:spPr>
        <a:xfrm>
          <a:off x="2882900" y="0"/>
          <a:ext cx="161290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MOVIMIENTOS</a:t>
          </a:r>
        </a:p>
      </xdr:txBody>
    </xdr:sp>
    <xdr:clientData/>
  </xdr:twoCellAnchor>
  <xdr:twoCellAnchor editAs="absolute">
    <xdr:from>
      <xdr:col>2</xdr:col>
      <xdr:colOff>393700</xdr:colOff>
      <xdr:row>0</xdr:row>
      <xdr:rowOff>63500</xdr:rowOff>
    </xdr:from>
    <xdr:to>
      <xdr:col>2</xdr:col>
      <xdr:colOff>762000</xdr:colOff>
      <xdr:row>0</xdr:row>
      <xdr:rowOff>431800</xdr:rowOff>
    </xdr:to>
    <xdr:pic>
      <xdr:nvPicPr>
        <xdr:cNvPr id="5" name="Imagen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7CEB8E-F6A1-064D-901A-C1A48641F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9100" y="63500"/>
          <a:ext cx="368300" cy="368300"/>
        </a:xfrm>
        <a:prstGeom prst="rect">
          <a:avLst/>
        </a:prstGeom>
      </xdr:spPr>
    </xdr:pic>
    <xdr:clientData/>
  </xdr:twoCellAnchor>
  <xdr:twoCellAnchor editAs="absolute">
    <xdr:from>
      <xdr:col>1</xdr:col>
      <xdr:colOff>457200</xdr:colOff>
      <xdr:row>0</xdr:row>
      <xdr:rowOff>0</xdr:rowOff>
    </xdr:from>
    <xdr:to>
      <xdr:col>2</xdr:col>
      <xdr:colOff>317500</xdr:colOff>
      <xdr:row>0</xdr:row>
      <xdr:rowOff>502920</xdr:rowOff>
    </xdr:to>
    <xdr:sp macro="" textlink="">
      <xdr:nvSpPr>
        <xdr:cNvPr id="6" name="Retângulo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42BD2A-2561-F346-B398-C79169E3F74D}"/>
            </a:ext>
          </a:extLst>
        </xdr:cNvPr>
        <xdr:cNvSpPr>
          <a:spLocks/>
        </xdr:cNvSpPr>
      </xdr:nvSpPr>
      <xdr:spPr>
        <a:xfrm>
          <a:off x="825500" y="0"/>
          <a:ext cx="205740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REGISTRO DE DATOS</a:t>
          </a:r>
        </a:p>
      </xdr:txBody>
    </xdr:sp>
    <xdr:clientData/>
  </xdr:twoCellAnchor>
  <xdr:twoCellAnchor editAs="absolute">
    <xdr:from>
      <xdr:col>1</xdr:col>
      <xdr:colOff>558800</xdr:colOff>
      <xdr:row>0</xdr:row>
      <xdr:rowOff>76200</xdr:rowOff>
    </xdr:from>
    <xdr:to>
      <xdr:col>1</xdr:col>
      <xdr:colOff>878840</xdr:colOff>
      <xdr:row>0</xdr:row>
      <xdr:rowOff>396240</xdr:rowOff>
    </xdr:to>
    <xdr:pic>
      <xdr:nvPicPr>
        <xdr:cNvPr id="7" name="Imagen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18AC1C-41E6-2D45-9BD7-960CF1717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100" y="76200"/>
          <a:ext cx="320040" cy="320040"/>
        </a:xfrm>
        <a:prstGeom prst="rect">
          <a:avLst/>
        </a:prstGeom>
      </xdr:spPr>
    </xdr:pic>
    <xdr:clientData/>
  </xdr:twoCellAnchor>
  <xdr:twoCellAnchor editAs="absolute">
    <xdr:from>
      <xdr:col>1</xdr:col>
      <xdr:colOff>787400</xdr:colOff>
      <xdr:row>1</xdr:row>
      <xdr:rowOff>76200</xdr:rowOff>
    </xdr:from>
    <xdr:to>
      <xdr:col>1</xdr:col>
      <xdr:colOff>1892300</xdr:colOff>
      <xdr:row>2</xdr:row>
      <xdr:rowOff>16510</xdr:rowOff>
    </xdr:to>
    <xdr:sp macro="" textlink="">
      <xdr:nvSpPr>
        <xdr:cNvPr id="8" name="Retângulo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1E3AF98-48F6-374A-9D7E-128735682D73}"/>
            </a:ext>
          </a:extLst>
        </xdr:cNvPr>
        <xdr:cNvSpPr/>
      </xdr:nvSpPr>
      <xdr:spPr>
        <a:xfrm>
          <a:off x="1155700" y="584200"/>
          <a:ext cx="1104900" cy="30861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STOCK</a:t>
          </a:r>
        </a:p>
      </xdr:txBody>
    </xdr:sp>
    <xdr:clientData/>
  </xdr:twoCellAnchor>
  <xdr:twoCellAnchor editAs="absolute">
    <xdr:from>
      <xdr:col>5</xdr:col>
      <xdr:colOff>76201</xdr:colOff>
      <xdr:row>0</xdr:row>
      <xdr:rowOff>0</xdr:rowOff>
    </xdr:from>
    <xdr:to>
      <xdr:col>6</xdr:col>
      <xdr:colOff>683261</xdr:colOff>
      <xdr:row>0</xdr:row>
      <xdr:rowOff>502920</xdr:rowOff>
    </xdr:to>
    <xdr:sp macro="" textlink="">
      <xdr:nvSpPr>
        <xdr:cNvPr id="9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F3885D-AB72-8A4F-AB7A-BFC2354AF7F4}"/>
            </a:ext>
          </a:extLst>
        </xdr:cNvPr>
        <xdr:cNvSpPr>
          <a:spLocks/>
        </xdr:cNvSpPr>
      </xdr:nvSpPr>
      <xdr:spPr>
        <a:xfrm>
          <a:off x="6032501" y="0"/>
          <a:ext cx="173736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INSTRUCCIONES</a:t>
          </a:r>
        </a:p>
      </xdr:txBody>
    </xdr:sp>
    <xdr:clientData/>
  </xdr:twoCellAnchor>
  <xdr:twoCellAnchor editAs="absolute">
    <xdr:from>
      <xdr:col>5</xdr:col>
      <xdr:colOff>190500</xdr:colOff>
      <xdr:row>0</xdr:row>
      <xdr:rowOff>76200</xdr:rowOff>
    </xdr:from>
    <xdr:to>
      <xdr:col>5</xdr:col>
      <xdr:colOff>510540</xdr:colOff>
      <xdr:row>0</xdr:row>
      <xdr:rowOff>396240</xdr:rowOff>
    </xdr:to>
    <xdr:pic>
      <xdr:nvPicPr>
        <xdr:cNvPr id="10" name="Imagen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80BEEA-4C21-4D4A-902B-4A4D61CD5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46800" y="76200"/>
          <a:ext cx="320040" cy="320040"/>
        </a:xfrm>
        <a:prstGeom prst="rect">
          <a:avLst/>
        </a:prstGeom>
        <a:noFill/>
      </xdr:spPr>
    </xdr:pic>
    <xdr:clientData/>
  </xdr:twoCellAnchor>
  <xdr:twoCellAnchor editAs="absolute">
    <xdr:from>
      <xdr:col>1</xdr:col>
      <xdr:colOff>1892300</xdr:colOff>
      <xdr:row>1</xdr:row>
      <xdr:rowOff>76200</xdr:rowOff>
    </xdr:from>
    <xdr:to>
      <xdr:col>2</xdr:col>
      <xdr:colOff>800100</xdr:colOff>
      <xdr:row>2</xdr:row>
      <xdr:rowOff>16510</xdr:rowOff>
    </xdr:to>
    <xdr:sp macro="" textlink="">
      <xdr:nvSpPr>
        <xdr:cNvPr id="11" name="Retângulo 22">
          <a:extLst>
            <a:ext uri="{FF2B5EF4-FFF2-40B4-BE49-F238E27FC236}">
              <a16:creationId xmlns:a16="http://schemas.microsoft.com/office/drawing/2014/main" id="{EB4F5017-98BC-7243-A64C-C279B4EC1F87}"/>
            </a:ext>
          </a:extLst>
        </xdr:cNvPr>
        <xdr:cNvSpPr/>
      </xdr:nvSpPr>
      <xdr:spPr>
        <a:xfrm>
          <a:off x="2260600" y="584200"/>
          <a:ext cx="1104900" cy="308610"/>
        </a:xfrm>
        <a:prstGeom prst="rect">
          <a:avLst/>
        </a:prstGeom>
        <a:solidFill>
          <a:schemeClr val="bg1"/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REPORTE</a:t>
          </a:r>
        </a:p>
      </xdr:txBody>
    </xdr:sp>
    <xdr:clientData/>
  </xdr:twoCellAnchor>
  <xdr:twoCellAnchor>
    <xdr:from>
      <xdr:col>1</xdr:col>
      <xdr:colOff>25400</xdr:colOff>
      <xdr:row>12</xdr:row>
      <xdr:rowOff>241300</xdr:rowOff>
    </xdr:from>
    <xdr:to>
      <xdr:col>15</xdr:col>
      <xdr:colOff>0</xdr:colOff>
      <xdr:row>19</xdr:row>
      <xdr:rowOff>317500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D63ED58-4A58-6DAF-9DAB-F0D8FBF02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2921001</xdr:colOff>
      <xdr:row>0</xdr:row>
      <xdr:rowOff>0</xdr:rowOff>
    </xdr:from>
    <xdr:to>
      <xdr:col>3</xdr:col>
      <xdr:colOff>1333500</xdr:colOff>
      <xdr:row>0</xdr:row>
      <xdr:rowOff>502920</xdr:rowOff>
    </xdr:to>
    <xdr:sp macro="" textlink="">
      <xdr:nvSpPr>
        <xdr:cNvPr id="2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F03364-04E4-6047-8795-6EE50AA30003}"/>
            </a:ext>
          </a:extLst>
        </xdr:cNvPr>
        <xdr:cNvSpPr>
          <a:spLocks/>
        </xdr:cNvSpPr>
      </xdr:nvSpPr>
      <xdr:spPr>
        <a:xfrm>
          <a:off x="4495801" y="0"/>
          <a:ext cx="1523999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2</xdr:col>
      <xdr:colOff>3009900</xdr:colOff>
      <xdr:row>0</xdr:row>
      <xdr:rowOff>63500</xdr:rowOff>
    </xdr:from>
    <xdr:to>
      <xdr:col>3</xdr:col>
      <xdr:colOff>254000</xdr:colOff>
      <xdr:row>0</xdr:row>
      <xdr:rowOff>419100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21BE0A-3B3F-9941-90FA-D7DFB1B15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4700" y="63500"/>
          <a:ext cx="355600" cy="355600"/>
        </a:xfrm>
        <a:prstGeom prst="rect">
          <a:avLst/>
        </a:prstGeom>
      </xdr:spPr>
    </xdr:pic>
    <xdr:clientData/>
  </xdr:twoCellAnchor>
  <xdr:twoCellAnchor editAs="absolute">
    <xdr:from>
      <xdr:col>2</xdr:col>
      <xdr:colOff>1308100</xdr:colOff>
      <xdr:row>0</xdr:row>
      <xdr:rowOff>0</xdr:rowOff>
    </xdr:from>
    <xdr:to>
      <xdr:col>2</xdr:col>
      <xdr:colOff>2921000</xdr:colOff>
      <xdr:row>0</xdr:row>
      <xdr:rowOff>502920</xdr:rowOff>
    </xdr:to>
    <xdr:sp macro="" textlink="">
      <xdr:nvSpPr>
        <xdr:cNvPr id="4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F4BF71-FE99-7F40-A378-7973BBC49495}"/>
            </a:ext>
          </a:extLst>
        </xdr:cNvPr>
        <xdr:cNvSpPr>
          <a:spLocks/>
        </xdr:cNvSpPr>
      </xdr:nvSpPr>
      <xdr:spPr>
        <a:xfrm>
          <a:off x="2882900" y="0"/>
          <a:ext cx="161290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MOVIMIENTOS</a:t>
          </a:r>
        </a:p>
      </xdr:txBody>
    </xdr:sp>
    <xdr:clientData/>
  </xdr:twoCellAnchor>
  <xdr:twoCellAnchor editAs="absolute">
    <xdr:from>
      <xdr:col>2</xdr:col>
      <xdr:colOff>1384300</xdr:colOff>
      <xdr:row>0</xdr:row>
      <xdr:rowOff>63500</xdr:rowOff>
    </xdr:from>
    <xdr:to>
      <xdr:col>2</xdr:col>
      <xdr:colOff>1752600</xdr:colOff>
      <xdr:row>0</xdr:row>
      <xdr:rowOff>431800</xdr:rowOff>
    </xdr:to>
    <xdr:pic>
      <xdr:nvPicPr>
        <xdr:cNvPr id="5" name="Imagen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AA66BA-7D52-2046-82FC-E5B1CAD31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9100" y="63500"/>
          <a:ext cx="368300" cy="368300"/>
        </a:xfrm>
        <a:prstGeom prst="rect">
          <a:avLst/>
        </a:prstGeom>
      </xdr:spPr>
    </xdr:pic>
    <xdr:clientData/>
  </xdr:twoCellAnchor>
  <xdr:twoCellAnchor editAs="absolute">
    <xdr:from>
      <xdr:col>1</xdr:col>
      <xdr:colOff>457200</xdr:colOff>
      <xdr:row>0</xdr:row>
      <xdr:rowOff>0</xdr:rowOff>
    </xdr:from>
    <xdr:to>
      <xdr:col>2</xdr:col>
      <xdr:colOff>1308100</xdr:colOff>
      <xdr:row>0</xdr:row>
      <xdr:rowOff>502920</xdr:rowOff>
    </xdr:to>
    <xdr:sp macro="" textlink="">
      <xdr:nvSpPr>
        <xdr:cNvPr id="6" name="Retângulo 2">
          <a:extLst>
            <a:ext uri="{FF2B5EF4-FFF2-40B4-BE49-F238E27FC236}">
              <a16:creationId xmlns:a16="http://schemas.microsoft.com/office/drawing/2014/main" id="{2CDBBAEF-BD9E-A047-9E18-EF0CC2F4E106}"/>
            </a:ext>
          </a:extLst>
        </xdr:cNvPr>
        <xdr:cNvSpPr>
          <a:spLocks/>
        </xdr:cNvSpPr>
      </xdr:nvSpPr>
      <xdr:spPr>
        <a:xfrm>
          <a:off x="825500" y="0"/>
          <a:ext cx="2057400" cy="50292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REGISTRO DE DATOS</a:t>
          </a:r>
        </a:p>
      </xdr:txBody>
    </xdr:sp>
    <xdr:clientData/>
  </xdr:twoCellAnchor>
  <xdr:twoCellAnchor editAs="absolute">
    <xdr:from>
      <xdr:col>1</xdr:col>
      <xdr:colOff>558800</xdr:colOff>
      <xdr:row>0</xdr:row>
      <xdr:rowOff>76200</xdr:rowOff>
    </xdr:from>
    <xdr:to>
      <xdr:col>1</xdr:col>
      <xdr:colOff>878840</xdr:colOff>
      <xdr:row>0</xdr:row>
      <xdr:rowOff>396240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6F007CB-73BE-8F4B-B9F8-FAC6CEE74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7100" y="76200"/>
          <a:ext cx="320040" cy="320040"/>
        </a:xfrm>
        <a:prstGeom prst="rect">
          <a:avLst/>
        </a:prstGeom>
      </xdr:spPr>
    </xdr:pic>
    <xdr:clientData/>
  </xdr:twoCellAnchor>
  <xdr:twoCellAnchor editAs="absolute">
    <xdr:from>
      <xdr:col>3</xdr:col>
      <xdr:colOff>1346201</xdr:colOff>
      <xdr:row>0</xdr:row>
      <xdr:rowOff>0</xdr:rowOff>
    </xdr:from>
    <xdr:to>
      <xdr:col>4</xdr:col>
      <xdr:colOff>1419861</xdr:colOff>
      <xdr:row>0</xdr:row>
      <xdr:rowOff>502920</xdr:rowOff>
    </xdr:to>
    <xdr:sp macro="" textlink="">
      <xdr:nvSpPr>
        <xdr:cNvPr id="10" name="Retângulo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C2C3393-12F4-5146-8BF3-72B5E959D23A}"/>
            </a:ext>
          </a:extLst>
        </xdr:cNvPr>
        <xdr:cNvSpPr>
          <a:spLocks/>
        </xdr:cNvSpPr>
      </xdr:nvSpPr>
      <xdr:spPr>
        <a:xfrm>
          <a:off x="6032501" y="0"/>
          <a:ext cx="1737360" cy="5029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Helvetica" pitchFamily="2" charset="0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5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INSTRUCCIONES</a:t>
          </a:r>
        </a:p>
      </xdr:txBody>
    </xdr:sp>
    <xdr:clientData/>
  </xdr:twoCellAnchor>
  <xdr:twoCellAnchor editAs="absolute">
    <xdr:from>
      <xdr:col>3</xdr:col>
      <xdr:colOff>1460500</xdr:colOff>
      <xdr:row>0</xdr:row>
      <xdr:rowOff>76200</xdr:rowOff>
    </xdr:from>
    <xdr:to>
      <xdr:col>4</xdr:col>
      <xdr:colOff>116840</xdr:colOff>
      <xdr:row>0</xdr:row>
      <xdr:rowOff>396240</xdr:rowOff>
    </xdr:to>
    <xdr:pic>
      <xdr:nvPicPr>
        <xdr:cNvPr id="11" name="Imagen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A9D24A1-B017-E24C-80CE-31303F38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46800" y="76200"/>
          <a:ext cx="320040" cy="320040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D74ED7-73E8-DA48-B1D6-6780D1ED1CDA}" name="INICIAL" displayName="INICIAL" ref="B5:E1002" totalsRowShown="0" headerRowDxfId="36" dataDxfId="35" tableBorderDxfId="34">
  <autoFilter ref="B5:E1002" xr:uid="{E76D2A6B-2CF2-CF48-AF29-47EC7FCA2E7F}"/>
  <sortState xmlns:xlrd2="http://schemas.microsoft.com/office/spreadsheetml/2017/richdata2" ref="B6:E985">
    <sortCondition ref="D5:D986"/>
  </sortState>
  <tableColumns count="4">
    <tableColumn id="1" xr3:uid="{C7F54300-63C0-254E-8A1A-F0548EF133F3}" name="SUCURSAL" dataDxfId="33"/>
    <tableColumn id="2" xr3:uid="{2C0C62DC-714F-854E-BECA-F34A1FCD4E8D}" name="CODIGO" dataDxfId="32"/>
    <tableColumn id="3" xr3:uid="{8965BE18-8191-C943-BAE1-696040A636A6}" name="PRODUCTO" dataDxfId="31">
      <calculatedColumnFormula>IF(INICIAL[[#This Row],[CODIGO]]="", "", VLOOKUP(INICIAL[[#This Row],[CODIGO]], PRODUCTOS[#All], 2, FALSE))</calculatedColumnFormula>
    </tableColumn>
    <tableColumn id="4" xr3:uid="{54B1F363-575B-484B-93AA-3CE144745353}" name="CANTIDAD" dataDxfId="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442F06-3379-B546-8CBC-84CE01CC2F41}" name="ENTRADAS" displayName="ENTRADAS" ref="B5:F100" totalsRowShown="0" headerRowDxfId="29" dataDxfId="28" tableBorderDxfId="27">
  <autoFilter ref="B5:F100" xr:uid="{E76D2A6B-2CF2-CF48-AF29-47EC7FCA2E7F}"/>
  <tableColumns count="5">
    <tableColumn id="1" xr3:uid="{62F2CE70-7970-1B4D-83F8-50F93E170E0D}" name="FECHA" dataDxfId="26"/>
    <tableColumn id="2" xr3:uid="{0E1ECA7E-ED8F-C74E-BEC2-4F59AC265133}" name="SUCURSAL" dataDxfId="25"/>
    <tableColumn id="3" xr3:uid="{DEF4F564-096E-F640-93FE-046E2BBD45E8}" name="CODIGO" dataDxfId="24"/>
    <tableColumn id="4" xr3:uid="{6848F907-F47B-2E40-A626-9BC708800901}" name="PRODUCTO" dataDxfId="23">
      <calculatedColumnFormula>IF(ENTRADAS[[#This Row],[CODIGO]]="", "", VLOOKUP(ENTRADAS[[#This Row],[CODIGO]], PRODUCTOS[#All], 2, FALSE))</calculatedColumnFormula>
    </tableColumn>
    <tableColumn id="5" xr3:uid="{26F8A2F8-24BD-4949-8C6B-6CA989C9C17C}" name="CANTIDAD" data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AA6875-2E1A-1B40-AE37-508C4881492F}" name="SALIDAS" displayName="SALIDAS" ref="B5:F237" totalsRowShown="0" headerRowDxfId="21" dataDxfId="20" tableBorderDxfId="19">
  <autoFilter ref="B5:F237" xr:uid="{E76D2A6B-2CF2-CF48-AF29-47EC7FCA2E7F}"/>
  <tableColumns count="5">
    <tableColumn id="1" xr3:uid="{123F74F8-0BDD-474A-ACBD-B74BD8485355}" name="FECHA" dataDxfId="18"/>
    <tableColumn id="2" xr3:uid="{6C3F60CB-9BE8-844A-A815-BDCF19E3F925}" name="SUCURSAL" dataDxfId="17"/>
    <tableColumn id="3" xr3:uid="{8EBF525B-4277-7346-9939-BD0C02196114}" name="CODIGO" dataDxfId="16"/>
    <tableColumn id="4" xr3:uid="{E8B1D97E-F9A9-0942-BACE-10F3473197D0}" name="PRODUCTO" dataDxfId="15">
      <calculatedColumnFormula>IF(SALIDAS[[#This Row],[CODIGO]]="", "", VLOOKUP(SALIDAS[[#This Row],[CODIGO]], PRODUCTOS[#All], 2, FALSE))</calculatedColumnFormula>
    </tableColumn>
    <tableColumn id="5" xr3:uid="{C2FDF0B6-18D7-FB4B-BE9E-49E2CEE216DD}" name="CANTIDAD" dataDxfId="1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0319EAC-2601-1545-96E3-E3540C17992B}" name="PRODUCTOS" displayName="PRODUCTOS" ref="B5:E1010" totalsRowShown="0" headerRowDxfId="13" dataDxfId="12" tableBorderDxfId="11">
  <autoFilter ref="B5:E1010" xr:uid="{E76D2A6B-2CF2-CF48-AF29-47EC7FCA2E7F}"/>
  <sortState xmlns:xlrd2="http://schemas.microsoft.com/office/spreadsheetml/2017/richdata2" ref="B6:E987">
    <sortCondition ref="B5:B987"/>
  </sortState>
  <tableColumns count="4">
    <tableColumn id="1" xr3:uid="{239A1128-9D34-1149-8F35-1C969F13945F}" name="CODIGO" dataDxfId="10"/>
    <tableColumn id="2" xr3:uid="{958787E8-197A-814E-B2DB-D838DBB1CCBB}" name="PRODUCTO" dataDxfId="9"/>
    <tableColumn id="3" xr3:uid="{42D55D53-70A3-8640-950C-6CCCD2A0E26E}" name="STOCK MINIMO" dataDxfId="8"/>
    <tableColumn id="5" xr3:uid="{7776EF31-D450-6A4B-A28B-01AC35FF59B5}" name="COSTO_UNITARIO" dataDxfId="7" dataCellStyle="Moned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45D94D-CB4D-5E4D-8DEE-21E8528442C8}" name="SUCURSALES" displayName="SUCURSALES" ref="G5:G1009" totalsRowShown="0" headerRowDxfId="6" dataDxfId="5">
  <autoFilter ref="G5:G1009" xr:uid="{0745D94D-CB4D-5E4D-8DEE-21E8528442C8}">
    <filterColumn colId="0">
      <customFilters>
        <customFilter operator="notEqual" val=" "/>
      </customFilters>
    </filterColumn>
  </autoFilter>
  <tableColumns count="1">
    <tableColumn id="1" xr3:uid="{85C63C9D-46F9-A54C-A210-1978826B523B}" name="SUCURSALES" dataDxfId="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5552E8-1786-F448-B7FC-6FAE953E1DED}" name="GENERAL" displayName="GENERAL" ref="B5:F1009" totalsRowShown="0" headerRowDxfId="50" dataDxfId="49" tableBorderDxfId="48">
  <autoFilter ref="B5:F1009" xr:uid="{E76D2A6B-2CF2-CF48-AF29-47EC7FCA2E7F}"/>
  <tableColumns count="5">
    <tableColumn id="1" xr3:uid="{2B653A86-F9E2-7F49-B50F-C8DF32B1791D}" name="CODIGO" dataDxfId="47">
      <calculatedColumnFormula>IF(PRODUCTOS[[#This Row],[CODIGO]]="", "", PRODUCTOS[[#This Row],[CODIGO]])</calculatedColumnFormula>
    </tableColumn>
    <tableColumn id="2" xr3:uid="{0551924E-853A-3845-AC47-2803ACD77C52}" name="PRODUCTO" dataDxfId="46">
      <calculatedColumnFormula>IF(GENERAL[[#This Row],[CODIGO]]="", "", VLOOKUP(GENERAL[[#This Row],[CODIGO]], PRODUCTOS[#All], 2, FALSE))</calculatedColumnFormula>
    </tableColumn>
    <tableColumn id="3" xr3:uid="{6FEC3869-3149-224A-B608-0A36897E424D}" name="CANTIDAD" dataDxfId="45">
      <calculatedColumnFormula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calculatedColumnFormula>
    </tableColumn>
    <tableColumn id="4" xr3:uid="{AE14F8EB-B3EF-9D43-9B12-C158DDB7E947}" name="INDICADOR" dataDxfId="44">
      <calculatedColumnFormula>IFERROR(IF(GENERAL[[#This Row],[CANTIDAD]]=0, "AGOTADO", IF(GENERAL[[#This Row],[CANTIDAD]]&lt;VLOOKUP(GENERAL[[#This Row],[CODIGO]], PRODUCTOS[#All], 3, FALSE), "MENOR AL MINIMO", "")), "")</calculatedColumnFormula>
    </tableColumn>
    <tableColumn id="7" xr3:uid="{B0CC4853-3714-2C49-82CC-ED39195779D3}" name="VALOR" dataDxfId="43" dataCellStyle="Moneda">
      <calculatedColumnFormula>IF(OR(GENERAL[[#This Row],[CODIGO]]="", GENERAL[[#This Row],[CANTIDAD]]=""), "", VLOOKUP(GENERAL[[#This Row],[CODIGO]], PRODUCTOS[#All], 4, FALSE) * GENERAL[[#This Row],[CANTIDAD]])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466B68-614E-D64B-A317-3131C21D67B7}" name="AUX" displayName="AUX" ref="T5:W18" totalsRowShown="0" headerRowDxfId="42" dataDxfId="41">
  <autoFilter ref="T5:W18" xr:uid="{14466B68-614E-D64B-A317-3131C21D67B7}"/>
  <tableColumns count="4">
    <tableColumn id="1" xr3:uid="{71ACC808-A483-6B47-BDED-C668A4126BF7}" name="CODIGO" dataDxfId="40">
      <calculatedColumnFormula>GENERAL[[#This Row],[CODIGO]]</calculatedColumnFormula>
    </tableColumn>
    <tableColumn id="2" xr3:uid="{039A2C7A-2070-4A4C-A6CB-11A43EAB891B}" name="VALOR" dataDxfId="39">
      <calculatedColumnFormula>VLOOKUP(T6,PRODUCTOS[],4,)</calculatedColumnFormula>
    </tableColumn>
    <tableColumn id="3" xr3:uid="{3FDAB8D3-5E07-3647-82A7-E2CA37017822}" name="EXISTENCIA" dataDxfId="38">
      <calculatedColumnFormula>IFERROR(SUMIF(INICIAL[CODIGO], T6, INICIAL[CANTIDAD]), 0)
+ IFERROR(SUMIF(ENTRADAS[CODIGO], T6, ENTRADAS[CANTIDAD]), 0)
- IFERROR(SUMIF(SALIDAS[CODIGO], T6, SALIDAS[CANTIDAD]), 0)</calculatedColumnFormula>
    </tableColumn>
    <tableColumn id="4" xr3:uid="{6AB93A7B-93D4-ED42-B7AC-30F71F2C5C2F}" name="VALORMONETARIO" dataDxfId="37">
      <calculatedColumnFormula>PRODUCT(U6,V6)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mishojasdecalculo.com/servicios/" TargetMode="External"/><Relationship Id="rId2" Type="http://schemas.openxmlformats.org/officeDocument/2006/relationships/hyperlink" Target="https://mishojasdecalculo.com/plantillas/" TargetMode="External"/><Relationship Id="rId1" Type="http://schemas.openxmlformats.org/officeDocument/2006/relationships/hyperlink" Target="https://mishojasdecalculo.com/tutorial-control-financiero/" TargetMode="External"/><Relationship Id="rId5" Type="http://schemas.openxmlformats.org/officeDocument/2006/relationships/drawing" Target="../drawings/drawing7.xml"/><Relationship Id="rId4" Type="http://schemas.openxmlformats.org/officeDocument/2006/relationships/hyperlink" Target="https://mishojasdecalculo.com/tutorial-control-de-inventar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E6B3-DF10-044D-981F-590C3F482A78}">
  <dimension ref="B1:O1002"/>
  <sheetViews>
    <sheetView showGridLines="0" topLeftCell="A372" workbookViewId="0">
      <selection activeCell="E372" sqref="E372"/>
    </sheetView>
  </sheetViews>
  <sheetFormatPr baseColWidth="10" defaultColWidth="10.875" defaultRowHeight="15" x14ac:dyDescent="0.2"/>
  <cols>
    <col min="1" max="1" width="4.875" style="1" customWidth="1"/>
    <col min="2" max="2" width="31.625" style="1" customWidth="1"/>
    <col min="3" max="3" width="25" style="1" customWidth="1"/>
    <col min="4" max="4" width="41.875" style="1" customWidth="1"/>
    <col min="5" max="5" width="22.375" style="1" customWidth="1"/>
    <col min="6" max="10" width="40.875" style="1" customWidth="1"/>
    <col min="11" max="11" width="10.875" style="1"/>
    <col min="12" max="13" width="40.875" style="1" customWidth="1"/>
    <col min="14" max="14" width="10.875" style="1"/>
    <col min="15" max="15" width="40.875" style="1" customWidth="1"/>
    <col min="16" max="16384" width="10.875" style="1"/>
  </cols>
  <sheetData>
    <row r="1" spans="2:15" s="3" customFormat="1" ht="39.950000000000003" customHeight="1" x14ac:dyDescent="0.2"/>
    <row r="2" spans="2:15" s="2" customFormat="1" ht="29.1" customHeight="1" x14ac:dyDescent="0.2"/>
    <row r="3" spans="2:15" s="7" customFormat="1" x14ac:dyDescent="0.2"/>
    <row r="4" spans="2:15" s="7" customFormat="1" x14ac:dyDescent="0.2"/>
    <row r="5" spans="2:15" s="8" customFormat="1" ht="30" customHeight="1" x14ac:dyDescent="0.25">
      <c r="B5" s="4" t="s">
        <v>2</v>
      </c>
      <c r="C5" s="5" t="s">
        <v>3</v>
      </c>
      <c r="D5" s="4" t="s">
        <v>0</v>
      </c>
      <c r="E5" s="30" t="s">
        <v>4</v>
      </c>
      <c r="F5" s="10"/>
      <c r="G5" s="10"/>
      <c r="H5" s="10"/>
      <c r="I5" s="10"/>
      <c r="K5" s="9"/>
      <c r="L5" s="9"/>
      <c r="N5" s="9"/>
      <c r="O5" s="9"/>
    </row>
    <row r="6" spans="2:15" s="8" customFormat="1" ht="30" customHeight="1" x14ac:dyDescent="0.25">
      <c r="B6" s="6" t="s">
        <v>940</v>
      </c>
      <c r="C6" s="14" t="s">
        <v>894</v>
      </c>
      <c r="D6" s="23" t="str">
        <f>IF(INICIAL[[#This Row],[CODIGO]]="", "", VLOOKUP(INICIAL[[#This Row],[CODIGO]], PRODUCTOS[#All], 2, FALSE))</f>
        <v>Bolsa negra expo</v>
      </c>
      <c r="E6" s="55">
        <v>49</v>
      </c>
      <c r="F6" s="26"/>
    </row>
    <row r="7" spans="2:15" s="8" customFormat="1" ht="30" customHeight="1" x14ac:dyDescent="0.25">
      <c r="B7" s="6" t="s">
        <v>940</v>
      </c>
      <c r="C7" s="14" t="s">
        <v>884</v>
      </c>
      <c r="D7" s="24" t="str">
        <f>IF(INICIAL[[#This Row],[CODIGO]]="", "", VLOOKUP(INICIAL[[#This Row],[CODIGO]], PRODUCTOS[#All], 2, FALSE))</f>
        <v xml:space="preserve">Bolsas azules </v>
      </c>
      <c r="E7" s="56">
        <v>74</v>
      </c>
      <c r="F7" s="26"/>
    </row>
    <row r="8" spans="2:15" s="8" customFormat="1" ht="30" customHeight="1" x14ac:dyDescent="0.25">
      <c r="B8" s="6" t="s">
        <v>940</v>
      </c>
      <c r="C8" s="14" t="s">
        <v>920</v>
      </c>
      <c r="D8" s="24" t="str">
        <f>IF(INICIAL[[#This Row],[CODIGO]]="", "", VLOOKUP(INICIAL[[#This Row],[CODIGO]], PRODUCTOS[#All], 2, FALSE))</f>
        <v xml:space="preserve">Calcamonías </v>
      </c>
      <c r="E8" s="56">
        <v>131</v>
      </c>
      <c r="F8" s="26"/>
    </row>
    <row r="9" spans="2:15" s="8" customFormat="1" ht="30" customHeight="1" x14ac:dyDescent="0.25">
      <c r="B9" s="6" t="s">
        <v>940</v>
      </c>
      <c r="C9" s="14" t="s">
        <v>922</v>
      </c>
      <c r="D9" s="24" t="str">
        <f>IF(INICIAL[[#This Row],[CODIGO]]="", "", VLOOKUP(INICIAL[[#This Row],[CODIGO]], PRODUCTOS[#All], 2, FALSE))</f>
        <v xml:space="preserve">Destapadores </v>
      </c>
      <c r="E9" s="56">
        <v>328</v>
      </c>
      <c r="F9" s="26"/>
    </row>
    <row r="10" spans="2:15" s="8" customFormat="1" ht="30" customHeight="1" x14ac:dyDescent="0.25">
      <c r="B10" s="6" t="s">
        <v>940</v>
      </c>
      <c r="C10" s="14" t="s">
        <v>916</v>
      </c>
      <c r="D10" s="24" t="str">
        <f>IF(INICIAL[[#This Row],[CODIGO]]="", "", VLOOKUP(INICIAL[[#This Row],[CODIGO]], PRODUCTOS[#All], 2, FALSE))</f>
        <v>Gorra azul cuero</v>
      </c>
      <c r="E10" s="56">
        <v>0</v>
      </c>
      <c r="F10" s="26"/>
    </row>
    <row r="11" spans="2:15" s="8" customFormat="1" ht="30" customHeight="1" x14ac:dyDescent="0.25">
      <c r="B11" s="6" t="s">
        <v>940</v>
      </c>
      <c r="C11" s="14" t="s">
        <v>888</v>
      </c>
      <c r="D11" s="24" t="str">
        <f>IF(INICIAL[[#This Row],[CODIGO]]="", "", VLOOKUP(INICIAL[[#This Row],[CODIGO]], PRODUCTOS[#All], 2, FALSE))</f>
        <v>Gorra azul malla</v>
      </c>
      <c r="E11" s="56">
        <v>0</v>
      </c>
      <c r="F11" s="26"/>
    </row>
    <row r="12" spans="2:15" s="8" customFormat="1" ht="30" customHeight="1" x14ac:dyDescent="0.25">
      <c r="B12" s="6" t="s">
        <v>940</v>
      </c>
      <c r="C12" s="14" t="s">
        <v>902</v>
      </c>
      <c r="D12" s="24" t="str">
        <f>IF(INICIAL[[#This Row],[CODIGO]]="", "", VLOOKUP(INICIAL[[#This Row],[CODIGO]], PRODUCTOS[#All], 2, FALSE))</f>
        <v xml:space="preserve">Gorra azul marino </v>
      </c>
      <c r="E12" s="56">
        <v>3</v>
      </c>
      <c r="F12" s="26"/>
    </row>
    <row r="13" spans="2:15" s="8" customFormat="1" ht="30" customHeight="1" x14ac:dyDescent="0.25">
      <c r="B13" s="6" t="s">
        <v>940</v>
      </c>
      <c r="C13" s="14" t="s">
        <v>900</v>
      </c>
      <c r="D13" s="24" t="str">
        <f>IF(INICIAL[[#This Row],[CODIGO]]="", "", VLOOKUP(INICIAL[[#This Row],[CODIGO]], PRODUCTOS[#All], 2, FALSE))</f>
        <v xml:space="preserve">Gorra blanca </v>
      </c>
      <c r="E13" s="56">
        <v>9</v>
      </c>
      <c r="F13" s="26"/>
    </row>
    <row r="14" spans="2:15" s="8" customFormat="1" ht="30" customHeight="1" x14ac:dyDescent="0.25">
      <c r="B14" s="6" t="s">
        <v>940</v>
      </c>
      <c r="C14" s="14" t="s">
        <v>930</v>
      </c>
      <c r="D14" s="24" t="str">
        <f>IF(INICIAL[[#This Row],[CODIGO]]="", "", VLOOKUP(INICIAL[[#This Row],[CODIGO]], PRODUCTOS[#All], 2, FALSE))</f>
        <v>Gorra blanca dama</v>
      </c>
      <c r="E14" s="56">
        <v>3</v>
      </c>
      <c r="F14" s="26"/>
    </row>
    <row r="15" spans="2:15" s="8" customFormat="1" ht="30" customHeight="1" x14ac:dyDescent="0.25">
      <c r="B15" s="6" t="s">
        <v>940</v>
      </c>
      <c r="C15" s="15" t="s">
        <v>912</v>
      </c>
      <c r="D15" s="25" t="str">
        <f>IF(INICIAL[[#This Row],[CODIGO]]="", "", VLOOKUP(INICIAL[[#This Row],[CODIGO]], PRODUCTOS[#All], 2, FALSE))</f>
        <v>Gorra blanca sport</v>
      </c>
      <c r="E15" s="57">
        <v>0</v>
      </c>
      <c r="F15" s="26"/>
    </row>
    <row r="16" spans="2:15" s="8" customFormat="1" ht="30" customHeight="1" x14ac:dyDescent="0.25">
      <c r="B16" s="6" t="s">
        <v>940</v>
      </c>
      <c r="C16" s="6" t="s">
        <v>898</v>
      </c>
      <c r="D16" s="28" t="str">
        <f>IF(INICIAL[[#This Row],[CODIGO]]="", "", VLOOKUP(INICIAL[[#This Row],[CODIGO]], PRODUCTOS[#All], 2, FALSE))</f>
        <v>Gorra blanco y negro malla</v>
      </c>
      <c r="E16" s="56">
        <v>11</v>
      </c>
    </row>
    <row r="17" spans="2:5" s="8" customFormat="1" ht="30" customHeight="1" x14ac:dyDescent="0.25">
      <c r="B17" s="6" t="s">
        <v>940</v>
      </c>
      <c r="C17" s="6" t="s">
        <v>886</v>
      </c>
      <c r="D17" s="28" t="str">
        <f>IF(INICIAL[[#This Row],[CODIGO]]="", "", VLOOKUP(INICIAL[[#This Row],[CODIGO]], PRODUCTOS[#All], 2, FALSE))</f>
        <v xml:space="preserve">Gorra gris jaspeado </v>
      </c>
      <c r="E17" s="56">
        <v>5</v>
      </c>
    </row>
    <row r="18" spans="2:5" s="8" customFormat="1" ht="30" customHeight="1" x14ac:dyDescent="0.25">
      <c r="B18" s="6" t="s">
        <v>940</v>
      </c>
      <c r="C18" s="6" t="s">
        <v>908</v>
      </c>
      <c r="D18" s="28" t="str">
        <f>IF(INICIAL[[#This Row],[CODIGO]]="", "", VLOOKUP(INICIAL[[#This Row],[CODIGO]], PRODUCTOS[#All], 2, FALSE))</f>
        <v xml:space="preserve">Gorra gris/café dama </v>
      </c>
      <c r="E18" s="56">
        <v>5</v>
      </c>
    </row>
    <row r="19" spans="2:5" s="8" customFormat="1" ht="30" customHeight="1" x14ac:dyDescent="0.25">
      <c r="B19" s="6" t="s">
        <v>940</v>
      </c>
      <c r="C19" s="6" t="s">
        <v>914</v>
      </c>
      <c r="D19" s="28" t="str">
        <f>IF(INICIAL[[#This Row],[CODIGO]]="", "", VLOOKUP(INICIAL[[#This Row],[CODIGO]], PRODUCTOS[#All], 2, FALSE))</f>
        <v>Gorra naranja cuero</v>
      </c>
      <c r="E19" s="56">
        <v>6</v>
      </c>
    </row>
    <row r="20" spans="2:5" s="8" customFormat="1" ht="30" customHeight="1" x14ac:dyDescent="0.25">
      <c r="B20" s="6" t="s">
        <v>940</v>
      </c>
      <c r="C20" s="6" t="s">
        <v>896</v>
      </c>
      <c r="D20" s="28" t="str">
        <f>IF(INICIAL[[#This Row],[CODIGO]]="", "", VLOOKUP(INICIAL[[#This Row],[CODIGO]], PRODUCTOS[#All], 2, FALSE))</f>
        <v xml:space="preserve">Gorra negra </v>
      </c>
      <c r="E20" s="56">
        <v>13</v>
      </c>
    </row>
    <row r="21" spans="2:5" s="8" customFormat="1" ht="30" customHeight="1" x14ac:dyDescent="0.25">
      <c r="B21" s="6" t="s">
        <v>940</v>
      </c>
      <c r="C21" s="6" t="s">
        <v>928</v>
      </c>
      <c r="D21" s="28" t="str">
        <f>IF(INICIAL[[#This Row],[CODIGO]]="", "", VLOOKUP(INICIAL[[#This Row],[CODIGO]], PRODUCTOS[#All], 2, FALSE))</f>
        <v xml:space="preserve">gorra negra dama </v>
      </c>
      <c r="E21" s="56">
        <v>5</v>
      </c>
    </row>
    <row r="22" spans="2:5" s="8" customFormat="1" ht="30" customHeight="1" x14ac:dyDescent="0.25">
      <c r="B22" s="6" t="s">
        <v>940</v>
      </c>
      <c r="C22" s="6" t="s">
        <v>910</v>
      </c>
      <c r="D22" s="28" t="str">
        <f>IF(INICIAL[[#This Row],[CODIGO]]="", "", VLOOKUP(INICIAL[[#This Row],[CODIGO]], PRODUCTOS[#All], 2, FALSE))</f>
        <v>Gorra rosa dama</v>
      </c>
      <c r="E22" s="56">
        <v>2</v>
      </c>
    </row>
    <row r="23" spans="2:5" s="8" customFormat="1" ht="30" customHeight="1" x14ac:dyDescent="0.25">
      <c r="B23" s="6" t="s">
        <v>940</v>
      </c>
      <c r="C23" s="6" t="s">
        <v>890</v>
      </c>
      <c r="D23" s="28" t="str">
        <f>IF(INICIAL[[#This Row],[CODIGO]]="", "", VLOOKUP(INICIAL[[#This Row],[CODIGO]], PRODUCTOS[#All], 2, FALSE))</f>
        <v>Gorra Tornasol</v>
      </c>
      <c r="E23" s="56">
        <v>78</v>
      </c>
    </row>
    <row r="24" spans="2:5" s="8" customFormat="1" ht="30" customHeight="1" x14ac:dyDescent="0.25">
      <c r="B24" s="6" t="s">
        <v>940</v>
      </c>
      <c r="C24" s="6" t="s">
        <v>904</v>
      </c>
      <c r="D24" s="28" t="str">
        <f>IF(INICIAL[[#This Row],[CODIGO]]="", "", VLOOKUP(INICIAL[[#This Row],[CODIGO]], PRODUCTOS[#All], 2, FALSE))</f>
        <v xml:space="preserve">Gorras camuflajeadas </v>
      </c>
      <c r="E24" s="56">
        <v>152</v>
      </c>
    </row>
    <row r="25" spans="2:5" s="8" customFormat="1" ht="30" customHeight="1" x14ac:dyDescent="0.25">
      <c r="B25" s="6" t="s">
        <v>940</v>
      </c>
      <c r="C25" s="6" t="s">
        <v>906</v>
      </c>
      <c r="D25" s="28" t="str">
        <f>IF(INICIAL[[#This Row],[CODIGO]]="", "", VLOOKUP(INICIAL[[#This Row],[CODIGO]], PRODUCTOS[#All], 2, FALSE))</f>
        <v>Gorras gris malla</v>
      </c>
      <c r="E25" s="56">
        <v>10</v>
      </c>
    </row>
    <row r="26" spans="2:5" s="8" customFormat="1" ht="30" customHeight="1" x14ac:dyDescent="0.25">
      <c r="B26" s="6" t="s">
        <v>940</v>
      </c>
      <c r="C26" s="6" t="s">
        <v>872</v>
      </c>
      <c r="D26" s="28" t="str">
        <f>IF(INICIAL[[#This Row],[CODIGO]]="", "", VLOOKUP(INICIAL[[#This Row],[CODIGO]], PRODUCTOS[#All], 2, FALSE))</f>
        <v xml:space="preserve">Lapiceras Azul c/blanco </v>
      </c>
      <c r="E26" s="56">
        <v>383</v>
      </c>
    </row>
    <row r="27" spans="2:5" s="8" customFormat="1" ht="30" customHeight="1" x14ac:dyDescent="0.25">
      <c r="B27" s="6" t="s">
        <v>940</v>
      </c>
      <c r="C27" s="6" t="s">
        <v>934</v>
      </c>
      <c r="D27" s="28" t="str">
        <f>IF(INICIAL[[#This Row],[CODIGO]]="", "", VLOOKUP(INICIAL[[#This Row],[CODIGO]], PRODUCTOS[#All], 2, FALSE))</f>
        <v>Lapiceras azul ice</v>
      </c>
      <c r="E27" s="56">
        <v>253</v>
      </c>
    </row>
    <row r="28" spans="2:5" s="8" customFormat="1" ht="30" customHeight="1" x14ac:dyDescent="0.25">
      <c r="B28" s="6" t="s">
        <v>940</v>
      </c>
      <c r="C28" s="6" t="s">
        <v>878</v>
      </c>
      <c r="D28" s="28" t="str">
        <f>IF(INICIAL[[#This Row],[CODIGO]]="", "", VLOOKUP(INICIAL[[#This Row],[CODIGO]], PRODUCTOS[#All], 2, FALSE))</f>
        <v xml:space="preserve">Lapiceras blanco/naranja </v>
      </c>
      <c r="E28" s="56">
        <v>285</v>
      </c>
    </row>
    <row r="29" spans="2:5" s="8" customFormat="1" ht="30" customHeight="1" x14ac:dyDescent="0.25">
      <c r="B29" s="6" t="s">
        <v>940</v>
      </c>
      <c r="C29" s="6" t="s">
        <v>874</v>
      </c>
      <c r="D29" s="28" t="str">
        <f>IF(INICIAL[[#This Row],[CODIGO]]="", "", VLOOKUP(INICIAL[[#This Row],[CODIGO]], PRODUCTOS[#All], 2, FALSE))</f>
        <v xml:space="preserve">Lapiceras fosforescentes </v>
      </c>
      <c r="E29" s="56">
        <v>110</v>
      </c>
    </row>
    <row r="30" spans="2:5" s="8" customFormat="1" ht="30" customHeight="1" x14ac:dyDescent="0.25">
      <c r="B30" s="6" t="s">
        <v>940</v>
      </c>
      <c r="C30" s="6" t="s">
        <v>932</v>
      </c>
      <c r="D30" s="28" t="str">
        <f>IF(INICIAL[[#This Row],[CODIGO]]="", "", VLOOKUP(INICIAL[[#This Row],[CODIGO]], PRODUCTOS[#All], 2, FALSE))</f>
        <v xml:space="preserve">Lapiceras grabadas </v>
      </c>
      <c r="E30" s="56">
        <v>8</v>
      </c>
    </row>
    <row r="31" spans="2:5" s="8" customFormat="1" ht="30" customHeight="1" x14ac:dyDescent="0.25">
      <c r="B31" s="6" t="s">
        <v>940</v>
      </c>
      <c r="C31" s="6" t="s">
        <v>880</v>
      </c>
      <c r="D31" s="28" t="str">
        <f>IF(INICIAL[[#This Row],[CODIGO]]="", "", VLOOKUP(INICIAL[[#This Row],[CODIGO]], PRODUCTOS[#All], 2, FALSE))</f>
        <v xml:space="preserve">Lapiceras Naranja/blanco </v>
      </c>
      <c r="E31" s="56">
        <v>300</v>
      </c>
    </row>
    <row r="32" spans="2:5" s="8" customFormat="1" ht="30" customHeight="1" x14ac:dyDescent="0.25">
      <c r="B32" s="6" t="s">
        <v>940</v>
      </c>
      <c r="C32" s="6" t="s">
        <v>876</v>
      </c>
      <c r="D32" s="28" t="str">
        <f>IF(INICIAL[[#This Row],[CODIGO]]="", "", VLOOKUP(INICIAL[[#This Row],[CODIGO]], PRODUCTOS[#All], 2, FALSE))</f>
        <v>Lapiceras negra c/plata</v>
      </c>
      <c r="E32" s="56">
        <v>386</v>
      </c>
    </row>
    <row r="33" spans="2:5" s="8" customFormat="1" ht="30" customHeight="1" x14ac:dyDescent="0.25">
      <c r="B33" s="6" t="s">
        <v>940</v>
      </c>
      <c r="C33" s="6" t="s">
        <v>938</v>
      </c>
      <c r="D33" s="28" t="str">
        <f>IF(INICIAL[[#This Row],[CODIGO]]="", "", VLOOKUP(INICIAL[[#This Row],[CODIGO]], PRODUCTOS[#All], 2, FALSE))</f>
        <v>Lapiceras plata c/blanco</v>
      </c>
      <c r="E33" s="56">
        <v>276</v>
      </c>
    </row>
    <row r="34" spans="2:5" s="8" customFormat="1" ht="30" customHeight="1" x14ac:dyDescent="0.25">
      <c r="B34" s="6" t="s">
        <v>940</v>
      </c>
      <c r="C34" s="6" t="s">
        <v>936</v>
      </c>
      <c r="D34" s="28" t="str">
        <f>IF(INICIAL[[#This Row],[CODIGO]]="", "", VLOOKUP(INICIAL[[#This Row],[CODIGO]], PRODUCTOS[#All], 2, FALSE))</f>
        <v>Lapiceras plata c/negro</v>
      </c>
      <c r="E34" s="56">
        <v>294</v>
      </c>
    </row>
    <row r="35" spans="2:5" s="8" customFormat="1" ht="30" customHeight="1" x14ac:dyDescent="0.25">
      <c r="B35" s="6" t="s">
        <v>940</v>
      </c>
      <c r="C35" s="6" t="s">
        <v>882</v>
      </c>
      <c r="D35" s="28" t="str">
        <f>IF(INICIAL[[#This Row],[CODIGO]]="", "", VLOOKUP(INICIAL[[#This Row],[CODIGO]], PRODUCTOS[#All], 2, FALSE))</f>
        <v xml:space="preserve">Mochilas naranjas </v>
      </c>
      <c r="E35" s="56">
        <v>63</v>
      </c>
    </row>
    <row r="36" spans="2:5" s="8" customFormat="1" ht="30" customHeight="1" x14ac:dyDescent="0.25">
      <c r="B36" s="6" t="s">
        <v>940</v>
      </c>
      <c r="C36" s="6" t="s">
        <v>924</v>
      </c>
      <c r="D36" s="28" t="str">
        <f>IF(INICIAL[[#This Row],[CODIGO]]="", "", VLOOKUP(INICIAL[[#This Row],[CODIGO]], PRODUCTOS[#All], 2, FALSE))</f>
        <v>Portallaves</v>
      </c>
      <c r="E36" s="56">
        <v>16</v>
      </c>
    </row>
    <row r="37" spans="2:5" s="8" customFormat="1" ht="30" customHeight="1" x14ac:dyDescent="0.25">
      <c r="B37" s="6" t="s">
        <v>940</v>
      </c>
      <c r="C37" s="6" t="s">
        <v>926</v>
      </c>
      <c r="D37" s="28" t="str">
        <f>IF(INICIAL[[#This Row],[CODIGO]]="", "", VLOOKUP(INICIAL[[#This Row],[CODIGO]], PRODUCTOS[#All], 2, FALSE))</f>
        <v xml:space="preserve">Termo digital </v>
      </c>
      <c r="E37" s="56">
        <v>12</v>
      </c>
    </row>
    <row r="38" spans="2:5" s="8" customFormat="1" ht="30" customHeight="1" x14ac:dyDescent="0.25">
      <c r="B38" s="6" t="s">
        <v>940</v>
      </c>
      <c r="C38" s="6" t="s">
        <v>918</v>
      </c>
      <c r="D38" s="28" t="str">
        <f>IF(INICIAL[[#This Row],[CODIGO]]="", "", VLOOKUP(INICIAL[[#This Row],[CODIGO]], PRODUCTOS[#All], 2, FALSE))</f>
        <v xml:space="preserve">Termos </v>
      </c>
      <c r="E38" s="56">
        <v>2</v>
      </c>
    </row>
    <row r="39" spans="2:5" s="8" customFormat="1" ht="30" customHeight="1" x14ac:dyDescent="0.25">
      <c r="B39" s="6" t="s">
        <v>940</v>
      </c>
      <c r="C39" s="6" t="s">
        <v>1989</v>
      </c>
      <c r="D39" s="28" t="str">
        <f>IF(INICIAL[[#This Row],[CODIGO]]="", "", VLOOKUP(INICIAL[[#This Row],[CODIGO]], PRODUCTOS[#All], 2, FALSE))</f>
        <v>Vaso mágico c/tapa 710ml</v>
      </c>
      <c r="E39" s="56">
        <v>100</v>
      </c>
    </row>
    <row r="40" spans="2:5" s="8" customFormat="1" ht="30" customHeight="1" x14ac:dyDescent="0.25">
      <c r="B40" s="6" t="s">
        <v>940</v>
      </c>
      <c r="C40" s="6" t="s">
        <v>1002</v>
      </c>
      <c r="D40" s="28" t="str">
        <f>IF(INICIAL[[#This Row],[CODIGO]]="", "", VLOOKUP(INICIAL[[#This Row],[CODIGO]], PRODUCTOS[#All], 2, FALSE))</f>
        <v>Velcro negro (rollo)</v>
      </c>
      <c r="E40" s="56">
        <v>1</v>
      </c>
    </row>
    <row r="41" spans="2:5" s="8" customFormat="1" ht="30" customHeight="1" x14ac:dyDescent="0.25">
      <c r="B41" s="6" t="s">
        <v>940</v>
      </c>
      <c r="C41" s="6" t="s">
        <v>949</v>
      </c>
      <c r="D41" s="28" t="str">
        <f>IF(INICIAL[[#This Row],[CODIGO]]="", "", VLOOKUP(INICIAL[[#This Row],[CODIGO]], PRODUCTOS[#All], 2, FALSE))</f>
        <v>Toallas antiestáticas secas (bote)</v>
      </c>
      <c r="E41" s="56">
        <v>2</v>
      </c>
    </row>
    <row r="42" spans="2:5" s="8" customFormat="1" ht="30" customHeight="1" x14ac:dyDescent="0.25">
      <c r="B42" s="6" t="s">
        <v>940</v>
      </c>
      <c r="C42" s="6" t="s">
        <v>947</v>
      </c>
      <c r="D42" s="28" t="str">
        <f>IF(INICIAL[[#This Row],[CODIGO]]="", "", VLOOKUP(INICIAL[[#This Row],[CODIGO]], PRODUCTOS[#All], 2, FALSE))</f>
        <v>Toallas antiestáticas húmedas (bote)</v>
      </c>
      <c r="E42" s="56">
        <v>1</v>
      </c>
    </row>
    <row r="43" spans="2:5" s="8" customFormat="1" ht="30" customHeight="1" x14ac:dyDescent="0.25">
      <c r="B43" s="6" t="s">
        <v>940</v>
      </c>
      <c r="C43" s="6" t="s">
        <v>1068</v>
      </c>
      <c r="D43" s="28" t="str">
        <f>IF(INICIAL[[#This Row],[CODIGO]]="", "", VLOOKUP(INICIAL[[#This Row],[CODIGO]], PRODUCTOS[#All], 2, FALSE))</f>
        <v xml:space="preserve">Tinta para sellos </v>
      </c>
      <c r="E43" s="56">
        <v>1</v>
      </c>
    </row>
    <row r="44" spans="2:5" s="8" customFormat="1" ht="30" customHeight="1" x14ac:dyDescent="0.25">
      <c r="B44" s="6" t="s">
        <v>940</v>
      </c>
      <c r="C44" s="6" t="s">
        <v>971</v>
      </c>
      <c r="D44" s="28" t="str">
        <f>IF(INICIAL[[#This Row],[CODIGO]]="", "", VLOOKUP(INICIAL[[#This Row],[CODIGO]], PRODUCTOS[#All], 2, FALSE))</f>
        <v xml:space="preserve">Tijeras </v>
      </c>
      <c r="E44" s="56">
        <v>1</v>
      </c>
    </row>
    <row r="45" spans="2:5" s="8" customFormat="1" ht="30" customHeight="1" x14ac:dyDescent="0.25">
      <c r="B45" s="6" t="s">
        <v>940</v>
      </c>
      <c r="C45" s="6" t="s">
        <v>983</v>
      </c>
      <c r="D45" s="28" t="str">
        <f>IF(INICIAL[[#This Row],[CODIGO]]="", "", VLOOKUP(INICIAL[[#This Row],[CODIGO]], PRODUCTOS[#All], 2, FALSE))</f>
        <v xml:space="preserve">Tachuela dorada (paq) </v>
      </c>
      <c r="E45" s="56">
        <v>1</v>
      </c>
    </row>
    <row r="46" spans="2:5" s="8" customFormat="1" ht="30" customHeight="1" x14ac:dyDescent="0.25">
      <c r="B46" s="6" t="s">
        <v>940</v>
      </c>
      <c r="C46" s="6" t="s">
        <v>983</v>
      </c>
      <c r="D46" s="28" t="str">
        <f>IF(INICIAL[[#This Row],[CODIGO]]="", "", VLOOKUP(INICIAL[[#This Row],[CODIGO]], PRODUCTOS[#All], 2, FALSE))</f>
        <v xml:space="preserve">Tachuela dorada (paq) </v>
      </c>
      <c r="E46" s="56">
        <v>1</v>
      </c>
    </row>
    <row r="47" spans="2:5" s="8" customFormat="1" ht="30" customHeight="1" x14ac:dyDescent="0.25">
      <c r="B47" s="6" t="s">
        <v>940</v>
      </c>
      <c r="C47" s="6" t="s">
        <v>1134</v>
      </c>
      <c r="D47" s="28" t="str">
        <f>IF(INICIAL[[#This Row],[CODIGO]]="", "", VLOOKUP(INICIAL[[#This Row],[CODIGO]], PRODUCTOS[#All], 2, FALSE))</f>
        <v xml:space="preserve">Tabla plástica pequeña </v>
      </c>
      <c r="E47" s="56">
        <v>6</v>
      </c>
    </row>
    <row r="48" spans="2:5" s="8" customFormat="1" ht="30" customHeight="1" x14ac:dyDescent="0.25">
      <c r="B48" s="6" t="s">
        <v>940</v>
      </c>
      <c r="C48" s="6" t="s">
        <v>953</v>
      </c>
      <c r="D48" s="28" t="str">
        <f>IF(INICIAL[[#This Row],[CODIGO]]="", "", VLOOKUP(INICIAL[[#This Row],[CODIGO]], PRODUCTOS[#All], 2, FALSE))</f>
        <v>Sujeta documentos (cajas)</v>
      </c>
      <c r="E48" s="56">
        <v>4</v>
      </c>
    </row>
    <row r="49" spans="2:5" s="8" customFormat="1" ht="30" customHeight="1" x14ac:dyDescent="0.25">
      <c r="B49" s="6" t="s">
        <v>940</v>
      </c>
      <c r="C49" s="6" t="s">
        <v>1084</v>
      </c>
      <c r="D49" s="28" t="str">
        <f>IF(INICIAL[[#This Row],[CODIGO]]="", "", VLOOKUP(INICIAL[[#This Row],[CODIGO]], PRODUCTOS[#All], 2, FALSE))</f>
        <v>sobre de plástico t/carta</v>
      </c>
      <c r="E49" s="56">
        <v>19</v>
      </c>
    </row>
    <row r="50" spans="2:5" s="8" customFormat="1" ht="30" customHeight="1" x14ac:dyDescent="0.25">
      <c r="B50" s="6" t="s">
        <v>940</v>
      </c>
      <c r="C50" s="6" t="s">
        <v>1132</v>
      </c>
      <c r="D50" s="28" t="str">
        <f>IF(INICIAL[[#This Row],[CODIGO]]="", "", VLOOKUP(INICIAL[[#This Row],[CODIGO]], PRODUCTOS[#All], 2, FALSE))</f>
        <v>Sobre pequeño c/hilo color negro</v>
      </c>
      <c r="E50" s="56">
        <v>10</v>
      </c>
    </row>
    <row r="51" spans="2:5" s="8" customFormat="1" ht="30" customHeight="1" x14ac:dyDescent="0.25">
      <c r="B51" s="6" t="s">
        <v>940</v>
      </c>
      <c r="C51" s="6" t="s">
        <v>1078</v>
      </c>
      <c r="D51" s="28" t="str">
        <f>IF(INICIAL[[#This Row],[CODIGO]]="", "", VLOOKUP(INICIAL[[#This Row],[CODIGO]], PRODUCTOS[#All], 2, FALSE))</f>
        <v>Sobres #5 (8.8 x 16.4 cm)</v>
      </c>
      <c r="E51" s="56">
        <v>500</v>
      </c>
    </row>
    <row r="52" spans="2:5" s="8" customFormat="1" ht="30" customHeight="1" x14ac:dyDescent="0.25">
      <c r="B52" s="6" t="s">
        <v>940</v>
      </c>
      <c r="C52" s="6" t="s">
        <v>1130</v>
      </c>
      <c r="D52" s="28" t="str">
        <f>IF(INICIAL[[#This Row],[CODIGO]]="", "", VLOOKUP(INICIAL[[#This Row],[CODIGO]], PRODUCTOS[#All], 2, FALSE))</f>
        <v>Señalamiento Precaución</v>
      </c>
      <c r="E52" s="56">
        <v>1</v>
      </c>
    </row>
    <row r="53" spans="2:5" s="8" customFormat="1" ht="30" customHeight="1" x14ac:dyDescent="0.25">
      <c r="B53" s="6" t="s">
        <v>940</v>
      </c>
      <c r="C53" s="6" t="s">
        <v>1128</v>
      </c>
      <c r="D53" s="28" t="str">
        <f>IF(INICIAL[[#This Row],[CODIGO]]="", "", VLOOKUP(INICIAL[[#This Row],[CODIGO]], PRODUCTOS[#All], 2, FALSE))</f>
        <v>Señalamiento Peligro</v>
      </c>
      <c r="E53" s="56">
        <v>1</v>
      </c>
    </row>
    <row r="54" spans="2:5" s="8" customFormat="1" ht="30" customHeight="1" x14ac:dyDescent="0.25">
      <c r="B54" s="6" t="s">
        <v>940</v>
      </c>
      <c r="C54" s="6" t="s">
        <v>1052</v>
      </c>
      <c r="D54" s="28" t="str">
        <f>IF(INICIAL[[#This Row],[CODIGO]]="", "", VLOOKUP(INICIAL[[#This Row],[CODIGO]], PRODUCTOS[#All], 2, FALSE))</f>
        <v>Sello formulado</v>
      </c>
      <c r="E54" s="56">
        <v>1</v>
      </c>
    </row>
    <row r="55" spans="2:5" s="8" customFormat="1" ht="30" customHeight="1" x14ac:dyDescent="0.25">
      <c r="B55" s="6" t="s">
        <v>940</v>
      </c>
      <c r="C55" s="6" t="s">
        <v>967</v>
      </c>
      <c r="D55" s="28" t="str">
        <f>IF(INICIAL[[#This Row],[CODIGO]]="", "", VLOOKUP(INICIAL[[#This Row],[CODIGO]], PRODUCTOS[#All], 2, FALSE))</f>
        <v>Sacapuntas metálico</v>
      </c>
      <c r="E55" s="56">
        <v>2</v>
      </c>
    </row>
    <row r="56" spans="2:5" s="8" customFormat="1" ht="30" customHeight="1" x14ac:dyDescent="0.25">
      <c r="B56" s="6" t="s">
        <v>940</v>
      </c>
      <c r="C56" s="6" t="s">
        <v>965</v>
      </c>
      <c r="D56" s="28" t="str">
        <f>IF(INICIAL[[#This Row],[CODIGO]]="", "", VLOOKUP(INICIAL[[#This Row],[CODIGO]], PRODUCTOS[#All], 2, FALSE))</f>
        <v>Sacapuntas</v>
      </c>
      <c r="E56" s="56">
        <v>5</v>
      </c>
    </row>
    <row r="57" spans="2:5" s="8" customFormat="1" ht="30" customHeight="1" x14ac:dyDescent="0.25">
      <c r="B57" s="6" t="s">
        <v>940</v>
      </c>
      <c r="C57" s="6" t="s">
        <v>975</v>
      </c>
      <c r="D57" s="28" t="str">
        <f>IF(INICIAL[[#This Row],[CODIGO]]="", "", VLOOKUP(INICIAL[[#This Row],[CODIGO]], PRODUCTOS[#All], 2, FALSE))</f>
        <v>Repuestos para etiquetadora</v>
      </c>
      <c r="E57" s="56">
        <v>14</v>
      </c>
    </row>
    <row r="58" spans="2:5" s="8" customFormat="1" ht="30" customHeight="1" x14ac:dyDescent="0.25">
      <c r="B58" s="6" t="s">
        <v>940</v>
      </c>
      <c r="C58" s="6" t="s">
        <v>1034</v>
      </c>
      <c r="D58" s="28" t="str">
        <f>IF(INICIAL[[#This Row],[CODIGO]]="", "", VLOOKUP(INICIAL[[#This Row],[CODIGO]], PRODUCTOS[#All], 2, FALSE))</f>
        <v>Caja de llaves</v>
      </c>
      <c r="E58" s="56">
        <v>1</v>
      </c>
    </row>
    <row r="59" spans="2:5" s="8" customFormat="1" ht="30" customHeight="1" x14ac:dyDescent="0.25">
      <c r="B59" s="6" t="s">
        <v>940</v>
      </c>
      <c r="C59" s="6" t="s">
        <v>1082</v>
      </c>
      <c r="D59" s="28" t="str">
        <f>IF(INICIAL[[#This Row],[CODIGO]]="", "", VLOOKUP(INICIAL[[#This Row],[CODIGO]], PRODUCTOS[#All], 2, FALSE))</f>
        <v>Protector de plástico (paq)</v>
      </c>
      <c r="E59" s="56">
        <v>5</v>
      </c>
    </row>
    <row r="60" spans="2:5" s="8" customFormat="1" ht="30" customHeight="1" x14ac:dyDescent="0.25">
      <c r="B60" s="6" t="s">
        <v>940</v>
      </c>
      <c r="C60" s="6" t="s">
        <v>1012</v>
      </c>
      <c r="D60" s="28" t="str">
        <f>IF(INICIAL[[#This Row],[CODIGO]]="", "", VLOOKUP(INICIAL[[#This Row],[CODIGO]], PRODUCTOS[#All], 2, FALSE))</f>
        <v>Plumones verdes (caja)</v>
      </c>
      <c r="E60" s="56">
        <v>1</v>
      </c>
    </row>
    <row r="61" spans="2:5" s="8" customFormat="1" ht="30" customHeight="1" x14ac:dyDescent="0.25">
      <c r="B61" s="6" t="s">
        <v>940</v>
      </c>
      <c r="C61" s="6" t="s">
        <v>1104</v>
      </c>
      <c r="D61" s="28" t="str">
        <f>IF(INICIAL[[#This Row],[CODIGO]]="", "", VLOOKUP(INICIAL[[#This Row],[CODIGO]], PRODUCTOS[#All], 2, FALSE))</f>
        <v xml:space="preserve">pizarron de corcho </v>
      </c>
      <c r="E61" s="56">
        <v>1</v>
      </c>
    </row>
    <row r="62" spans="2:5" s="8" customFormat="1" ht="30" customHeight="1" x14ac:dyDescent="0.25">
      <c r="B62" s="6" t="s">
        <v>940</v>
      </c>
      <c r="C62" s="6" t="s">
        <v>1102</v>
      </c>
      <c r="D62" s="28" t="str">
        <f>IF(INICIAL[[#This Row],[CODIGO]]="", "", VLOOKUP(INICIAL[[#This Row],[CODIGO]], PRODUCTOS[#All], 2, FALSE))</f>
        <v>Pizarrón</v>
      </c>
      <c r="E62" s="56">
        <v>3</v>
      </c>
    </row>
    <row r="63" spans="2:5" s="8" customFormat="1" ht="30" customHeight="1" x14ac:dyDescent="0.25">
      <c r="B63" s="6" t="s">
        <v>940</v>
      </c>
      <c r="C63" s="6" t="s">
        <v>1114</v>
      </c>
      <c r="D63" s="28" t="str">
        <f>IF(INICIAL[[#This Row],[CODIGO]]="", "", VLOOKUP(INICIAL[[#This Row],[CODIGO]], PRODUCTOS[#All], 2, FALSE))</f>
        <v>Pines de colores caja c/100 pzs</v>
      </c>
      <c r="E63" s="56">
        <v>1</v>
      </c>
    </row>
    <row r="64" spans="2:5" s="8" customFormat="1" ht="30" customHeight="1" x14ac:dyDescent="0.25">
      <c r="B64" s="6" t="s">
        <v>940</v>
      </c>
      <c r="C64" s="6" t="s">
        <v>1022</v>
      </c>
      <c r="D64" s="28" t="str">
        <f>IF(INICIAL[[#This Row],[CODIGO]]="", "", VLOOKUP(INICIAL[[#This Row],[CODIGO]], PRODUCTOS[#All], 2, FALSE))</f>
        <v>pilas recargables (paq)</v>
      </c>
      <c r="E64" s="56">
        <v>2</v>
      </c>
    </row>
    <row r="65" spans="2:5" s="8" customFormat="1" ht="30" customHeight="1" x14ac:dyDescent="0.25">
      <c r="B65" s="6" t="s">
        <v>940</v>
      </c>
      <c r="C65" s="6" t="s">
        <v>1024</v>
      </c>
      <c r="D65" s="28" t="str">
        <f>IF(INICIAL[[#This Row],[CODIGO]]="", "", VLOOKUP(INICIAL[[#This Row],[CODIGO]], PRODUCTOS[#All], 2, FALSE))</f>
        <v>Pila alcalina 12V</v>
      </c>
      <c r="E65" s="56">
        <v>1</v>
      </c>
    </row>
    <row r="66" spans="2:5" s="8" customFormat="1" ht="30" customHeight="1" x14ac:dyDescent="0.25">
      <c r="B66" s="6" t="s">
        <v>940</v>
      </c>
      <c r="C66" s="6" t="s">
        <v>1020</v>
      </c>
      <c r="D66" s="28" t="str">
        <f>IF(INICIAL[[#This Row],[CODIGO]]="", "", VLOOKUP(INICIAL[[#This Row],[CODIGO]], PRODUCTOS[#All], 2, FALSE))</f>
        <v>Pilas AAA (pzas)</v>
      </c>
      <c r="E66" s="56">
        <v>24</v>
      </c>
    </row>
    <row r="67" spans="2:5" s="8" customFormat="1" ht="30" customHeight="1" x14ac:dyDescent="0.25">
      <c r="B67" s="6" t="s">
        <v>940</v>
      </c>
      <c r="C67" s="6" t="s">
        <v>1018</v>
      </c>
      <c r="D67" s="28" t="str">
        <f>IF(INICIAL[[#This Row],[CODIGO]]="", "", VLOOKUP(INICIAL[[#This Row],[CODIGO]], PRODUCTOS[#All], 2, FALSE))</f>
        <v>Pilas AA (pzas)</v>
      </c>
      <c r="E67" s="56">
        <v>47</v>
      </c>
    </row>
    <row r="68" spans="2:5" s="8" customFormat="1" ht="30" customHeight="1" x14ac:dyDescent="0.25">
      <c r="B68" s="6" t="s">
        <v>940</v>
      </c>
      <c r="C68" s="6" t="s">
        <v>1056</v>
      </c>
      <c r="D68" s="28" t="str">
        <f>IF(INICIAL[[#This Row],[CODIGO]]="", "", VLOOKUP(INICIAL[[#This Row],[CODIGO]], PRODUCTOS[#All], 2, FALSE))</f>
        <v>Perforadora grande</v>
      </c>
      <c r="E68" s="56">
        <v>1</v>
      </c>
    </row>
    <row r="69" spans="2:5" s="8" customFormat="1" ht="30" customHeight="1" x14ac:dyDescent="0.25">
      <c r="B69" s="6" t="s">
        <v>940</v>
      </c>
      <c r="C69" s="6" t="s">
        <v>992</v>
      </c>
      <c r="D69" s="28" t="str">
        <f>IF(INICIAL[[#This Row],[CODIGO]]="", "", VLOOKUP(INICIAL[[#This Row],[CODIGO]], PRODUCTOS[#All], 2, FALSE))</f>
        <v xml:space="preserve">Perforadora 2 orificios </v>
      </c>
      <c r="E69" s="56">
        <v>1</v>
      </c>
    </row>
    <row r="70" spans="2:5" s="8" customFormat="1" ht="30" customHeight="1" x14ac:dyDescent="0.25">
      <c r="B70" s="6" t="s">
        <v>940</v>
      </c>
      <c r="C70" s="6" t="s">
        <v>1066</v>
      </c>
      <c r="D70" s="28" t="str">
        <f>IF(INICIAL[[#This Row],[CODIGO]]="", "", VLOOKUP(INICIAL[[#This Row],[CODIGO]], PRODUCTOS[#All], 2, FALSE))</f>
        <v>Pegamento</v>
      </c>
      <c r="E70" s="56">
        <v>8</v>
      </c>
    </row>
    <row r="71" spans="2:5" s="8" customFormat="1" ht="30" customHeight="1" x14ac:dyDescent="0.25">
      <c r="B71" s="6" t="s">
        <v>940</v>
      </c>
      <c r="C71" s="6" t="s">
        <v>1014</v>
      </c>
      <c r="D71" s="28" t="str">
        <f>IF(INICIAL[[#This Row],[CODIGO]]="", "", VLOOKUP(INICIAL[[#This Row],[CODIGO]], PRODUCTOS[#All], 2, FALSE))</f>
        <v>Panel de control</v>
      </c>
      <c r="E71" s="56">
        <v>2</v>
      </c>
    </row>
    <row r="72" spans="2:5" s="8" customFormat="1" ht="30" customHeight="1" x14ac:dyDescent="0.25">
      <c r="B72" s="6" t="s">
        <v>940</v>
      </c>
      <c r="C72" s="6" t="s">
        <v>1136</v>
      </c>
      <c r="D72" s="28" t="str">
        <f>IF(INICIAL[[#This Row],[CODIGO]]="", "", VLOOKUP(INICIAL[[#This Row],[CODIGO]], PRODUCTOS[#All], 2, FALSE))</f>
        <v xml:space="preserve">Notas comprobante para gastos </v>
      </c>
      <c r="E72" s="56">
        <v>6</v>
      </c>
    </row>
    <row r="73" spans="2:5" s="8" customFormat="1" ht="30" customHeight="1" x14ac:dyDescent="0.25">
      <c r="B73" s="6" t="s">
        <v>940</v>
      </c>
      <c r="C73" s="6" t="s">
        <v>994</v>
      </c>
      <c r="D73" s="28" t="str">
        <f>IF(INICIAL[[#This Row],[CODIGO]]="", "", VLOOKUP(INICIAL[[#This Row],[CODIGO]], PRODUCTOS[#All], 2, FALSE))</f>
        <v xml:space="preserve">Notas adhesivas </v>
      </c>
      <c r="E73" s="56">
        <v>2</v>
      </c>
    </row>
    <row r="74" spans="2:5" s="8" customFormat="1" ht="30" customHeight="1" x14ac:dyDescent="0.25">
      <c r="B74" s="6" t="s">
        <v>940</v>
      </c>
      <c r="C74" s="6" t="s">
        <v>1016</v>
      </c>
      <c r="D74" s="28" t="str">
        <f>IF(INICIAL[[#This Row],[CODIGO]]="", "", VLOOKUP(INICIAL[[#This Row],[CODIGO]], PRODUCTOS[#All], 2, FALSE))</f>
        <v>Mouse</v>
      </c>
      <c r="E74" s="56">
        <v>1</v>
      </c>
    </row>
    <row r="75" spans="2:5" s="8" customFormat="1" ht="30" customHeight="1" x14ac:dyDescent="0.25">
      <c r="B75" s="6" t="s">
        <v>940</v>
      </c>
      <c r="C75" s="6" t="s">
        <v>1058</v>
      </c>
      <c r="D75" s="28" t="str">
        <f>IF(INICIAL[[#This Row],[CODIGO]]="", "", VLOOKUP(INICIAL[[#This Row],[CODIGO]], PRODUCTOS[#All], 2, FALSE))</f>
        <v>mica termica (paq)</v>
      </c>
      <c r="E75" s="56">
        <v>2</v>
      </c>
    </row>
    <row r="76" spans="2:5" s="8" customFormat="1" ht="30" customHeight="1" x14ac:dyDescent="0.25">
      <c r="B76" s="6" t="s">
        <v>940</v>
      </c>
      <c r="C76" s="6" t="s">
        <v>963</v>
      </c>
      <c r="D76" s="28" t="str">
        <f>IF(INICIAL[[#This Row],[CODIGO]]="", "", VLOOKUP(INICIAL[[#This Row],[CODIGO]], PRODUCTOS[#All], 2, FALSE))</f>
        <v>Microfiltro</v>
      </c>
      <c r="E76" s="56">
        <v>1</v>
      </c>
    </row>
    <row r="77" spans="2:5" s="8" customFormat="1" ht="30" customHeight="1" x14ac:dyDescent="0.25">
      <c r="B77" s="6" t="s">
        <v>940</v>
      </c>
      <c r="C77" s="6" t="s">
        <v>1076</v>
      </c>
      <c r="D77" s="28" t="str">
        <f>IF(INICIAL[[#This Row],[CODIGO]]="", "", VLOOKUP(INICIAL[[#This Row],[CODIGO]], PRODUCTOS[#All], 2, FALSE))</f>
        <v>Memorias ADATA 16GB</v>
      </c>
      <c r="E77" s="56">
        <v>10</v>
      </c>
    </row>
    <row r="78" spans="2:5" s="8" customFormat="1" ht="30" customHeight="1" x14ac:dyDescent="0.25">
      <c r="B78" s="6" t="s">
        <v>940</v>
      </c>
      <c r="C78" s="6" t="s">
        <v>1070</v>
      </c>
      <c r="D78" s="28" t="str">
        <f>IF(INICIAL[[#This Row],[CODIGO]]="", "", VLOOKUP(INICIAL[[#This Row],[CODIGO]], PRODUCTOS[#All], 2, FALSE))</f>
        <v xml:space="preserve">Marcatextos verde </v>
      </c>
      <c r="E78" s="56">
        <v>6</v>
      </c>
    </row>
    <row r="79" spans="2:5" s="8" customFormat="1" ht="30" customHeight="1" x14ac:dyDescent="0.25">
      <c r="B79" s="6" t="s">
        <v>940</v>
      </c>
      <c r="C79" s="6" t="s">
        <v>1072</v>
      </c>
      <c r="D79" s="28" t="str">
        <f>IF(INICIAL[[#This Row],[CODIGO]]="", "", VLOOKUP(INICIAL[[#This Row],[CODIGO]], PRODUCTOS[#All], 2, FALSE))</f>
        <v xml:space="preserve">Marcatextos naranja </v>
      </c>
      <c r="E79" s="56">
        <v>2</v>
      </c>
    </row>
    <row r="80" spans="2:5" s="8" customFormat="1" ht="30" customHeight="1" x14ac:dyDescent="0.25">
      <c r="B80" s="6" t="s">
        <v>940</v>
      </c>
      <c r="C80" s="6" t="s">
        <v>1106</v>
      </c>
      <c r="D80" s="28" t="str">
        <f>IF(INICIAL[[#This Row],[CODIGO]]="", "", VLOOKUP(INICIAL[[#This Row],[CODIGO]], PRODUCTOS[#All], 2, FALSE))</f>
        <v>Marcador p/pizarrón INDRA negro c/12pz</v>
      </c>
      <c r="E80" s="56">
        <v>1</v>
      </c>
    </row>
    <row r="81" spans="2:5" s="8" customFormat="1" ht="30" customHeight="1" x14ac:dyDescent="0.25">
      <c r="B81" s="6" t="s">
        <v>940</v>
      </c>
      <c r="C81" s="6" t="s">
        <v>977</v>
      </c>
      <c r="D81" s="28" t="str">
        <f>IF(INICIAL[[#This Row],[CODIGO]]="", "", VLOOKUP(INICIAL[[#This Row],[CODIGO]], PRODUCTOS[#All], 2, FALSE))</f>
        <v>Marcadores magistral (paq 4)</v>
      </c>
      <c r="E81" s="56">
        <v>1</v>
      </c>
    </row>
    <row r="82" spans="2:5" s="8" customFormat="1" ht="30" customHeight="1" x14ac:dyDescent="0.25">
      <c r="B82" s="6" t="s">
        <v>940</v>
      </c>
      <c r="C82" s="6" t="s">
        <v>1112</v>
      </c>
      <c r="D82" s="28" t="str">
        <f>IF(INICIAL[[#This Row],[CODIGO]]="", "", VLOOKUP(INICIAL[[#This Row],[CODIGO]], PRODUCTOS[#All], 2, FALSE))</f>
        <v>Marcador permanente INDRA rojo c/12pz</v>
      </c>
      <c r="E82" s="56">
        <v>1</v>
      </c>
    </row>
    <row r="83" spans="2:5" s="8" customFormat="1" ht="30" customHeight="1" x14ac:dyDescent="0.25">
      <c r="B83" s="6" t="s">
        <v>940</v>
      </c>
      <c r="C83" s="6" t="s">
        <v>1110</v>
      </c>
      <c r="D83" s="28" t="str">
        <f>IF(INICIAL[[#This Row],[CODIGO]]="", "", VLOOKUP(INICIAL[[#This Row],[CODIGO]], PRODUCTOS[#All], 2, FALSE))</f>
        <v>Marcador permanente INDRA azul c/12pz</v>
      </c>
      <c r="E83" s="56">
        <v>1</v>
      </c>
    </row>
    <row r="84" spans="2:5" s="8" customFormat="1" ht="30" customHeight="1" x14ac:dyDescent="0.25">
      <c r="B84" s="6" t="s">
        <v>940</v>
      </c>
      <c r="C84" s="6" t="s">
        <v>941</v>
      </c>
      <c r="D84" s="28" t="str">
        <f>IF(INICIAL[[#This Row],[CODIGO]]="", "", VLOOKUP(INICIAL[[#This Row],[CODIGO]], PRODUCTOS[#All], 2, FALSE))</f>
        <v>Maracador p/pizarrón INDRA colores c/4pzs</v>
      </c>
      <c r="E84" s="56">
        <v>5</v>
      </c>
    </row>
    <row r="85" spans="2:5" s="8" customFormat="1" ht="30" customHeight="1" x14ac:dyDescent="0.25">
      <c r="B85" s="6" t="s">
        <v>940</v>
      </c>
      <c r="C85" s="6" t="s">
        <v>1108</v>
      </c>
      <c r="D85" s="28" t="str">
        <f>IF(INICIAL[[#This Row],[CODIGO]]="", "", VLOOKUP(INICIAL[[#This Row],[CODIGO]], PRODUCTOS[#All], 2, FALSE))</f>
        <v>Marcador p/pizarrón INDRA azul c/12pz</v>
      </c>
      <c r="E85" s="56">
        <v>1</v>
      </c>
    </row>
    <row r="86" spans="2:5" s="8" customFormat="1" ht="30" customHeight="1" x14ac:dyDescent="0.25">
      <c r="B86" s="6" t="s">
        <v>940</v>
      </c>
      <c r="C86" s="6" t="s">
        <v>1062</v>
      </c>
      <c r="D86" s="28" t="str">
        <f>IF(INICIAL[[#This Row],[CODIGO]]="", "", VLOOKUP(INICIAL[[#This Row],[CODIGO]], PRODUCTOS[#All], 2, FALSE))</f>
        <v xml:space="preserve">Manual de electrisista </v>
      </c>
      <c r="E86" s="56">
        <v>1</v>
      </c>
    </row>
    <row r="87" spans="2:5" s="8" customFormat="1" ht="30" customHeight="1" x14ac:dyDescent="0.25">
      <c r="B87" s="6" t="s">
        <v>940</v>
      </c>
      <c r="C87" s="6" t="s">
        <v>955</v>
      </c>
      <c r="D87" s="28" t="str">
        <f>IF(INICIAL[[#This Row],[CODIGO]]="", "", VLOOKUP(INICIAL[[#This Row],[CODIGO]], PRODUCTOS[#All], 2, FALSE))</f>
        <v>Loción limpiadora</v>
      </c>
      <c r="E87" s="56">
        <v>2</v>
      </c>
    </row>
    <row r="88" spans="2:5" s="8" customFormat="1" ht="30" customHeight="1" x14ac:dyDescent="0.25">
      <c r="B88" s="6" t="s">
        <v>940</v>
      </c>
      <c r="C88" s="6" t="s">
        <v>957</v>
      </c>
      <c r="D88" s="28" t="str">
        <f>IF(INICIAL[[#This Row],[CODIGO]]="", "", VLOOKUP(INICIAL[[#This Row],[CODIGO]], PRODUCTOS[#All], 2, FALSE))</f>
        <v xml:space="preserve">Listón curly blanco </v>
      </c>
      <c r="E88" s="56">
        <v>1</v>
      </c>
    </row>
    <row r="89" spans="2:5" s="8" customFormat="1" ht="30" customHeight="1" x14ac:dyDescent="0.25">
      <c r="B89" s="6" t="s">
        <v>940</v>
      </c>
      <c r="C89" s="6" t="s">
        <v>959</v>
      </c>
      <c r="D89" s="28" t="str">
        <f>IF(INICIAL[[#This Row],[CODIGO]]="", "", VLOOKUP(INICIAL[[#This Row],[CODIGO]], PRODUCTOS[#All], 2, FALSE))</f>
        <v>Listón curly azul</v>
      </c>
      <c r="E89" s="56">
        <v>1</v>
      </c>
    </row>
    <row r="90" spans="2:5" s="8" customFormat="1" ht="30" customHeight="1" x14ac:dyDescent="0.25">
      <c r="B90" s="6" t="s">
        <v>940</v>
      </c>
      <c r="C90" s="6" t="s">
        <v>998</v>
      </c>
      <c r="D90" s="28" t="str">
        <f>IF(INICIAL[[#This Row],[CODIGO]]="", "", VLOOKUP(INICIAL[[#This Row],[CODIGO]], PRODUCTOS[#All], 2, FALSE))</f>
        <v>ligas de colores (bolsa)</v>
      </c>
      <c r="E90" s="56">
        <v>1</v>
      </c>
    </row>
    <row r="91" spans="2:5" s="8" customFormat="1" ht="30" customHeight="1" x14ac:dyDescent="0.25">
      <c r="B91" s="6" t="s">
        <v>940</v>
      </c>
      <c r="C91" s="6" t="s">
        <v>1124</v>
      </c>
      <c r="D91" s="28" t="str">
        <f>IF(INICIAL[[#This Row],[CODIGO]]="", "", VLOOKUP(INICIAL[[#This Row],[CODIGO]], PRODUCTOS[#All], 2, FALSE))</f>
        <v>Letrero "Extintor"</v>
      </c>
      <c r="E91" s="56">
        <v>2</v>
      </c>
    </row>
    <row r="92" spans="2:5" s="8" customFormat="1" ht="30" customHeight="1" x14ac:dyDescent="0.25">
      <c r="B92" s="6" t="s">
        <v>940</v>
      </c>
      <c r="C92" s="6" t="s">
        <v>1126</v>
      </c>
      <c r="D92" s="28" t="str">
        <f>IF(INICIAL[[#This Row],[CODIGO]]="", "", VLOOKUP(INICIAL[[#This Row],[CODIGO]], PRODUCTOS[#All], 2, FALSE))</f>
        <v>Letrero "Botiquin"</v>
      </c>
      <c r="E92" s="56">
        <v>2</v>
      </c>
    </row>
    <row r="93" spans="2:5" s="8" customFormat="1" ht="30" customHeight="1" x14ac:dyDescent="0.25">
      <c r="B93" s="6" t="s">
        <v>940</v>
      </c>
      <c r="C93" s="6" t="s">
        <v>1010</v>
      </c>
      <c r="D93" s="28" t="str">
        <f>IF(INICIAL[[#This Row],[CODIGO]]="", "", VLOOKUP(INICIAL[[#This Row],[CODIGO]], PRODUCTOS[#All], 2, FALSE))</f>
        <v>Lapiceras verdes (caja)</v>
      </c>
      <c r="E93" s="56">
        <v>2</v>
      </c>
    </row>
    <row r="94" spans="2:5" s="8" customFormat="1" ht="30" customHeight="1" x14ac:dyDescent="0.25">
      <c r="B94" s="6" t="s">
        <v>940</v>
      </c>
      <c r="C94" s="6" t="s">
        <v>1100</v>
      </c>
      <c r="D94" s="28" t="str">
        <f>IF(INICIAL[[#This Row],[CODIGO]]="", "", VLOOKUP(INICIAL[[#This Row],[CODIGO]], PRODUCTOS[#All], 2, FALSE))</f>
        <v>Lapiceras rosa (caja)</v>
      </c>
      <c r="E94" s="56">
        <v>1</v>
      </c>
    </row>
    <row r="95" spans="2:5" s="8" customFormat="1" ht="30" customHeight="1" x14ac:dyDescent="0.25">
      <c r="B95" s="6" t="s">
        <v>940</v>
      </c>
      <c r="C95" s="6" t="s">
        <v>1008</v>
      </c>
      <c r="D95" s="28" t="str">
        <f>IF(INICIAL[[#This Row],[CODIGO]]="", "", VLOOKUP(INICIAL[[#This Row],[CODIGO]], PRODUCTOS[#All], 2, FALSE))</f>
        <v>Lapiceras roja (caja)</v>
      </c>
      <c r="E95" s="56">
        <v>1</v>
      </c>
    </row>
    <row r="96" spans="2:5" s="8" customFormat="1" ht="30" customHeight="1" x14ac:dyDescent="0.25">
      <c r="B96" s="6" t="s">
        <v>940</v>
      </c>
      <c r="C96" s="6" t="s">
        <v>1006</v>
      </c>
      <c r="D96" s="28" t="str">
        <f>IF(INICIAL[[#This Row],[CODIGO]]="", "", VLOOKUP(INICIAL[[#This Row],[CODIGO]], PRODUCTOS[#All], 2, FALSE))</f>
        <v>Lapiceras negras (caja)</v>
      </c>
      <c r="E96" s="56">
        <v>3</v>
      </c>
    </row>
    <row r="97" spans="2:5" s="8" customFormat="1" ht="30" customHeight="1" x14ac:dyDescent="0.25">
      <c r="B97" s="6" t="s">
        <v>940</v>
      </c>
      <c r="C97" s="6" t="s">
        <v>1026</v>
      </c>
      <c r="D97" s="28" t="str">
        <f>IF(INICIAL[[#This Row],[CODIGO]]="", "", VLOOKUP(INICIAL[[#This Row],[CODIGO]], PRODUCTOS[#All], 2, FALSE))</f>
        <v>Lapices (caja)</v>
      </c>
      <c r="E97" s="56">
        <v>4</v>
      </c>
    </row>
    <row r="98" spans="2:5" s="8" customFormat="1" ht="30" customHeight="1" x14ac:dyDescent="0.25">
      <c r="B98" s="6" t="s">
        <v>940</v>
      </c>
      <c r="C98" s="6" t="s">
        <v>1004</v>
      </c>
      <c r="D98" s="28" t="str">
        <f>IF(INICIAL[[#This Row],[CODIGO]]="", "", VLOOKUP(INICIAL[[#This Row],[CODIGO]], PRODUCTOS[#All], 2, FALSE))</f>
        <v>Lapiceras azules (caja)</v>
      </c>
      <c r="E98" s="56">
        <v>15</v>
      </c>
    </row>
    <row r="99" spans="2:5" s="8" customFormat="1" ht="30" customHeight="1" x14ac:dyDescent="0.25">
      <c r="B99" s="6" t="s">
        <v>940</v>
      </c>
      <c r="C99" s="6" t="s">
        <v>1122</v>
      </c>
      <c r="D99" s="28" t="str">
        <f>IF(INICIAL[[#This Row],[CODIGO]]="", "", VLOOKUP(INICIAL[[#This Row],[CODIGO]], PRODUCTOS[#All], 2, FALSE))</f>
        <v>Lápiz adhesivo 12pzs</v>
      </c>
      <c r="E99" s="56">
        <v>2</v>
      </c>
    </row>
    <row r="100" spans="2:5" s="8" customFormat="1" ht="30" customHeight="1" x14ac:dyDescent="0.25">
      <c r="B100" s="6" t="s">
        <v>940</v>
      </c>
      <c r="C100" s="6" t="s">
        <v>1116</v>
      </c>
      <c r="D100" s="28" t="str">
        <f>IF(INICIAL[[#This Row],[CODIGO]]="", "", VLOOKUP(INICIAL[[#This Row],[CODIGO]], PRODUCTOS[#All], 2, FALSE))</f>
        <v>Juego geométrico flexible</v>
      </c>
      <c r="E100" s="56">
        <v>1</v>
      </c>
    </row>
    <row r="101" spans="2:5" x14ac:dyDescent="0.2">
      <c r="B101" s="6" t="s">
        <v>940</v>
      </c>
      <c r="C101" s="6" t="s">
        <v>1140</v>
      </c>
      <c r="D101" s="28" t="str">
        <f>IF(INICIAL[[#This Row],[CODIGO]]="", "", VLOOKUP(INICIAL[[#This Row],[CODIGO]], PRODUCTOS[#All], 2, FALSE))</f>
        <v xml:space="preserve">Hojas opalina </v>
      </c>
      <c r="E101" s="56">
        <v>3</v>
      </c>
    </row>
    <row r="102" spans="2:5" x14ac:dyDescent="0.2">
      <c r="B102" s="6" t="s">
        <v>940</v>
      </c>
      <c r="C102" s="6" t="s">
        <v>1138</v>
      </c>
      <c r="D102" s="28" t="str">
        <f>IF(INICIAL[[#This Row],[CODIGO]]="", "", VLOOKUP(INICIAL[[#This Row],[CODIGO]], PRODUCTOS[#All], 2, FALSE))</f>
        <v xml:space="preserve">Hoja t/carta de etiquetas </v>
      </c>
      <c r="E102" s="56">
        <v>25</v>
      </c>
    </row>
    <row r="103" spans="2:5" x14ac:dyDescent="0.2">
      <c r="B103" s="6" t="s">
        <v>940</v>
      </c>
      <c r="C103" s="6" t="s">
        <v>1074</v>
      </c>
      <c r="D103" s="28" t="str">
        <f>IF(INICIAL[[#This Row],[CODIGO]]="", "", VLOOKUP(INICIAL[[#This Row],[CODIGO]], PRODUCTOS[#All], 2, FALSE))</f>
        <v xml:space="preserve">Hojas blancas </v>
      </c>
      <c r="E103" s="56">
        <v>3000</v>
      </c>
    </row>
    <row r="104" spans="2:5" x14ac:dyDescent="0.2">
      <c r="B104" s="6" t="s">
        <v>940</v>
      </c>
      <c r="C104" s="6" t="s">
        <v>1032</v>
      </c>
      <c r="D104" s="28" t="str">
        <f>IF(INICIAL[[#This Row],[CODIGO]]="", "", VLOOKUP(INICIAL[[#This Row],[CODIGO]], PRODUCTOS[#All], 2, FALSE))</f>
        <v xml:space="preserve">HDMI 2 puertos </v>
      </c>
      <c r="E104" s="56">
        <v>2</v>
      </c>
    </row>
    <row r="105" spans="2:5" x14ac:dyDescent="0.2">
      <c r="B105" s="6" t="s">
        <v>940</v>
      </c>
      <c r="C105" s="6" t="s">
        <v>1042</v>
      </c>
      <c r="D105" s="28" t="str">
        <f>IF(INICIAL[[#This Row],[CODIGO]]="", "", VLOOKUP(INICIAL[[#This Row],[CODIGO]], PRODUCTOS[#All], 2, FALSE))</f>
        <v xml:space="preserve">Cable HDMI </v>
      </c>
      <c r="E105" s="56">
        <v>1</v>
      </c>
    </row>
    <row r="106" spans="2:5" x14ac:dyDescent="0.2">
      <c r="B106" s="6" t="s">
        <v>940</v>
      </c>
      <c r="C106" s="6" t="s">
        <v>996</v>
      </c>
      <c r="D106" s="28" t="str">
        <f>IF(INICIAL[[#This Row],[CODIGO]]="", "", VLOOKUP(INICIAL[[#This Row],[CODIGO]], PRODUCTOS[#All], 2, FALSE))</f>
        <v>Grapas (caja)</v>
      </c>
      <c r="E106" s="56">
        <v>7</v>
      </c>
    </row>
    <row r="107" spans="2:5" x14ac:dyDescent="0.2">
      <c r="B107" s="6" t="s">
        <v>940</v>
      </c>
      <c r="C107" s="6" t="s">
        <v>945</v>
      </c>
      <c r="D107" s="28" t="str">
        <f>IF(INICIAL[[#This Row],[CODIGO]]="", "", VLOOKUP(INICIAL[[#This Row],[CODIGO]], PRODUCTOS[#All], 2, FALSE))</f>
        <v>Gises colores (caja)</v>
      </c>
      <c r="E107" s="56">
        <v>1</v>
      </c>
    </row>
    <row r="108" spans="2:5" x14ac:dyDescent="0.2">
      <c r="B108" s="6" t="s">
        <v>940</v>
      </c>
      <c r="C108" s="6" t="s">
        <v>943</v>
      </c>
      <c r="D108" s="28" t="str">
        <f>IF(INICIAL[[#This Row],[CODIGO]]="", "", VLOOKUP(INICIAL[[#This Row],[CODIGO]], PRODUCTOS[#All], 2, FALSE))</f>
        <v>Gises blancos (caja)</v>
      </c>
      <c r="E108" s="56">
        <v>1</v>
      </c>
    </row>
    <row r="109" spans="2:5" x14ac:dyDescent="0.2">
      <c r="B109" s="6" t="s">
        <v>940</v>
      </c>
      <c r="C109" s="6" t="s">
        <v>1094</v>
      </c>
      <c r="D109" s="28" t="str">
        <f>IF(INICIAL[[#This Row],[CODIGO]]="", "", VLOOKUP(INICIAL[[#This Row],[CODIGO]], PRODUCTOS[#All], 2, FALSE))</f>
        <v>Folder t/oficio verde</v>
      </c>
      <c r="E109" s="56">
        <v>25</v>
      </c>
    </row>
    <row r="110" spans="2:5" x14ac:dyDescent="0.2">
      <c r="B110" s="6" t="s">
        <v>940</v>
      </c>
      <c r="C110" s="6" t="s">
        <v>1090</v>
      </c>
      <c r="D110" s="28" t="str">
        <f>IF(INICIAL[[#This Row],[CODIGO]]="", "", VLOOKUP(INICIAL[[#This Row],[CODIGO]], PRODUCTOS[#All], 2, FALSE))</f>
        <v xml:space="preserve">Folder t/carta verde bandera </v>
      </c>
      <c r="E110" s="56">
        <v>25</v>
      </c>
    </row>
    <row r="111" spans="2:5" x14ac:dyDescent="0.2">
      <c r="B111" s="6" t="s">
        <v>940</v>
      </c>
      <c r="C111" s="6" t="s">
        <v>1086</v>
      </c>
      <c r="D111" s="28" t="str">
        <f>IF(INICIAL[[#This Row],[CODIGO]]="", "", VLOOKUP(INICIAL[[#This Row],[CODIGO]], PRODUCTOS[#All], 2, FALSE))</f>
        <v>Folder t/carta verde</v>
      </c>
      <c r="E111" s="56">
        <v>100</v>
      </c>
    </row>
    <row r="112" spans="2:5" x14ac:dyDescent="0.2">
      <c r="B112" s="6" t="s">
        <v>940</v>
      </c>
      <c r="C112" s="6" t="s">
        <v>1096</v>
      </c>
      <c r="D112" s="28" t="str">
        <f>IF(INICIAL[[#This Row],[CODIGO]]="", "", VLOOKUP(INICIAL[[#This Row],[CODIGO]], PRODUCTOS[#All], 2, FALSE))</f>
        <v>Folder surtido</v>
      </c>
      <c r="E112" s="56">
        <v>46</v>
      </c>
    </row>
    <row r="113" spans="2:5" x14ac:dyDescent="0.2">
      <c r="B113" s="6" t="s">
        <v>940</v>
      </c>
      <c r="C113" s="6" t="s">
        <v>1120</v>
      </c>
      <c r="D113" s="28" t="str">
        <f>IF(INICIAL[[#This Row],[CODIGO]]="", "", VLOOKUP(INICIAL[[#This Row],[CODIGO]], PRODUCTOS[#All], 2, FALSE))</f>
        <v xml:space="preserve">Folder plástico verde pastel </v>
      </c>
      <c r="E113" s="56">
        <v>12</v>
      </c>
    </row>
    <row r="114" spans="2:5" x14ac:dyDescent="0.2">
      <c r="B114" s="6" t="s">
        <v>940</v>
      </c>
      <c r="C114" s="6" t="s">
        <v>1118</v>
      </c>
      <c r="D114" s="28" t="str">
        <f>IF(INICIAL[[#This Row],[CODIGO]]="", "", VLOOKUP(INICIAL[[#This Row],[CODIGO]], PRODUCTOS[#All], 2, FALSE))</f>
        <v>Folder plástico azul pastel</v>
      </c>
      <c r="E114" s="56">
        <v>12</v>
      </c>
    </row>
    <row r="115" spans="2:5" x14ac:dyDescent="0.2">
      <c r="B115" s="6" t="s">
        <v>940</v>
      </c>
      <c r="C115" s="6" t="s">
        <v>1092</v>
      </c>
      <c r="D115" s="28" t="str">
        <f>IF(INICIAL[[#This Row],[CODIGO]]="", "", VLOOKUP(INICIAL[[#This Row],[CODIGO]], PRODUCTOS[#All], 2, FALSE))</f>
        <v>Folder t/oficio azul</v>
      </c>
      <c r="E115" s="56">
        <v>25</v>
      </c>
    </row>
    <row r="116" spans="2:5" x14ac:dyDescent="0.2">
      <c r="B116" s="6" t="s">
        <v>940</v>
      </c>
      <c r="C116" s="6" t="s">
        <v>1088</v>
      </c>
      <c r="D116" s="28" t="str">
        <f>IF(INICIAL[[#This Row],[CODIGO]]="", "", VLOOKUP(INICIAL[[#This Row],[CODIGO]], PRODUCTOS[#All], 2, FALSE))</f>
        <v>Folder t/carta azul</v>
      </c>
      <c r="E116" s="56">
        <v>140</v>
      </c>
    </row>
    <row r="117" spans="2:5" x14ac:dyDescent="0.2">
      <c r="B117" s="6" t="s">
        <v>940</v>
      </c>
      <c r="C117" s="6" t="s">
        <v>1050</v>
      </c>
      <c r="D117" s="28" t="str">
        <f>IF(INICIAL[[#This Row],[CODIGO]]="", "", VLOOKUP(INICIAL[[#This Row],[CODIGO]], PRODUCTOS[#All], 2, FALSE))</f>
        <v>Etiquetadora</v>
      </c>
      <c r="E117" s="56">
        <v>1</v>
      </c>
    </row>
    <row r="118" spans="2:5" x14ac:dyDescent="0.2">
      <c r="B118" s="6" t="s">
        <v>940</v>
      </c>
      <c r="C118" s="6" t="s">
        <v>1054</v>
      </c>
      <c r="D118" s="28" t="str">
        <f>IF(INICIAL[[#This Row],[CODIGO]]="", "", VLOOKUP(INICIAL[[#This Row],[CODIGO]], PRODUCTOS[#All], 2, FALSE))</f>
        <v>Escalimetro</v>
      </c>
      <c r="E118" s="56">
        <v>2</v>
      </c>
    </row>
    <row r="119" spans="2:5" x14ac:dyDescent="0.2">
      <c r="B119" s="6" t="s">
        <v>940</v>
      </c>
      <c r="C119" s="6" t="s">
        <v>979</v>
      </c>
      <c r="D119" s="28" t="str">
        <f>IF(INICIAL[[#This Row],[CODIGO]]="", "", VLOOKUP(INICIAL[[#This Row],[CODIGO]], PRODUCTOS[#All], 2, FALSE))</f>
        <v>Engrapadora</v>
      </c>
      <c r="E119" s="56">
        <v>1</v>
      </c>
    </row>
    <row r="120" spans="2:5" x14ac:dyDescent="0.2">
      <c r="B120" s="6" t="s">
        <v>940</v>
      </c>
      <c r="C120" s="6" t="s">
        <v>981</v>
      </c>
      <c r="D120" s="28" t="str">
        <f>IF(INICIAL[[#This Row],[CODIGO]]="", "", VLOOKUP(INICIAL[[#This Row],[CODIGO]], PRODUCTOS[#All], 2, FALSE))</f>
        <v xml:space="preserve">Cuchillas repuesto </v>
      </c>
      <c r="E120" s="56">
        <v>2</v>
      </c>
    </row>
    <row r="121" spans="2:5" x14ac:dyDescent="0.2">
      <c r="B121" s="6" t="s">
        <v>940</v>
      </c>
      <c r="C121" s="6" t="s">
        <v>961</v>
      </c>
      <c r="D121" s="28" t="str">
        <f>IF(INICIAL[[#This Row],[CODIGO]]="", "", VLOOKUP(INICIAL[[#This Row],[CODIGO]], PRODUCTOS[#All], 2, FALSE))</f>
        <v>Corrector lápiz</v>
      </c>
      <c r="E121" s="56">
        <v>4</v>
      </c>
    </row>
    <row r="122" spans="2:5" x14ac:dyDescent="0.2">
      <c r="B122" s="6" t="s">
        <v>940</v>
      </c>
      <c r="C122" s="6" t="s">
        <v>990</v>
      </c>
      <c r="D122" s="28" t="str">
        <f>IF(INICIAL[[#This Row],[CODIGO]]="", "", VLOOKUP(INICIAL[[#This Row],[CODIGO]], PRODUCTOS[#All], 2, FALSE))</f>
        <v xml:space="preserve">Corrector brocha </v>
      </c>
      <c r="E122" s="56">
        <v>5</v>
      </c>
    </row>
    <row r="123" spans="2:5" x14ac:dyDescent="0.2">
      <c r="B123" s="6" t="s">
        <v>940</v>
      </c>
      <c r="C123" s="6" t="s">
        <v>973</v>
      </c>
      <c r="D123" s="28" t="str">
        <f>IF(INICIAL[[#This Row],[CODIGO]]="", "", VLOOKUP(INICIAL[[#This Row],[CODIGO]], PRODUCTOS[#All], 2, FALSE))</f>
        <v>Cortador cutter con cuchilla</v>
      </c>
      <c r="E123" s="56">
        <v>2</v>
      </c>
    </row>
    <row r="124" spans="2:5" x14ac:dyDescent="0.2">
      <c r="B124" s="6" t="s">
        <v>940</v>
      </c>
      <c r="C124" s="6" t="s">
        <v>1098</v>
      </c>
      <c r="D124" s="28" t="str">
        <f>IF(INICIAL[[#This Row],[CODIGO]]="", "", VLOOKUP(INICIAL[[#This Row],[CODIGO]], PRODUCTOS[#All], 2, FALSE))</f>
        <v>Clips #3 (caja)</v>
      </c>
      <c r="E124" s="56">
        <v>1</v>
      </c>
    </row>
    <row r="125" spans="2:5" x14ac:dyDescent="0.2">
      <c r="B125" s="6" t="s">
        <v>940</v>
      </c>
      <c r="C125" s="6" t="s">
        <v>988</v>
      </c>
      <c r="D125" s="28" t="str">
        <f>IF(INICIAL[[#This Row],[CODIGO]]="", "", VLOOKUP(INICIAL[[#This Row],[CODIGO]], PRODUCTOS[#All], 2, FALSE))</f>
        <v>Clips #2 (caja)</v>
      </c>
      <c r="E125" s="56">
        <v>4</v>
      </c>
    </row>
    <row r="126" spans="2:5" x14ac:dyDescent="0.2">
      <c r="B126" s="6" t="s">
        <v>940</v>
      </c>
      <c r="C126" s="6" t="s">
        <v>951</v>
      </c>
      <c r="D126" s="28" t="str">
        <f>IF(INICIAL[[#This Row],[CODIGO]]="", "", VLOOKUP(INICIAL[[#This Row],[CODIGO]], PRODUCTOS[#All], 2, FALSE))</f>
        <v>Cintas velcro (paq)</v>
      </c>
      <c r="E126" s="56">
        <v>1</v>
      </c>
    </row>
    <row r="127" spans="2:5" x14ac:dyDescent="0.2">
      <c r="B127" s="6" t="s">
        <v>940</v>
      </c>
      <c r="C127" s="6" t="s">
        <v>969</v>
      </c>
      <c r="D127" s="28" t="str">
        <f>IF(INICIAL[[#This Row],[CODIGO]]="", "", VLOOKUP(INICIAL[[#This Row],[CODIGO]], PRODUCTOS[#All], 2, FALSE))</f>
        <v>Cinta transparente</v>
      </c>
      <c r="E127" s="56">
        <v>5</v>
      </c>
    </row>
    <row r="128" spans="2:5" x14ac:dyDescent="0.2">
      <c r="B128" s="6" t="s">
        <v>940</v>
      </c>
      <c r="C128" s="6" t="s">
        <v>1028</v>
      </c>
      <c r="D128" s="28" t="str">
        <f>IF(INICIAL[[#This Row],[CODIGO]]="", "", VLOOKUP(INICIAL[[#This Row],[CODIGO]], PRODUCTOS[#All], 2, FALSE))</f>
        <v xml:space="preserve">Cinta decoración </v>
      </c>
      <c r="E128" s="56">
        <v>2</v>
      </c>
    </row>
    <row r="129" spans="2:5" x14ac:dyDescent="0.2">
      <c r="B129" s="6" t="s">
        <v>940</v>
      </c>
      <c r="C129" s="6" t="s">
        <v>1060</v>
      </c>
      <c r="D129" s="28" t="str">
        <f>IF(INICIAL[[#This Row],[CODIGO]]="", "", VLOOKUP(INICIAL[[#This Row],[CODIGO]], PRODUCTOS[#All], 2, FALSE))</f>
        <v xml:space="preserve">Catalogo herramienta </v>
      </c>
      <c r="E129" s="56">
        <v>1</v>
      </c>
    </row>
    <row r="130" spans="2:5" x14ac:dyDescent="0.2">
      <c r="B130" s="6" t="s">
        <v>940</v>
      </c>
      <c r="C130" s="6" t="s">
        <v>1040</v>
      </c>
      <c r="D130" s="28" t="str">
        <f>IF(INICIAL[[#This Row],[CODIGO]]="", "", VLOOKUP(INICIAL[[#This Row],[CODIGO]], PRODUCTOS[#All], 2, FALSE))</f>
        <v>Cargador de pila</v>
      </c>
      <c r="E130" s="56">
        <v>2</v>
      </c>
    </row>
    <row r="131" spans="2:5" x14ac:dyDescent="0.2">
      <c r="B131" s="6" t="s">
        <v>940</v>
      </c>
      <c r="C131" s="6" t="s">
        <v>1044</v>
      </c>
      <c r="D131" s="28" t="str">
        <f>IF(INICIAL[[#This Row],[CODIGO]]="", "", VLOOKUP(INICIAL[[#This Row],[CODIGO]], PRODUCTOS[#All], 2, FALSE))</f>
        <v>Cargador</v>
      </c>
      <c r="E131" s="56">
        <v>1</v>
      </c>
    </row>
    <row r="132" spans="2:5" x14ac:dyDescent="0.2">
      <c r="B132" s="6" t="s">
        <v>940</v>
      </c>
      <c r="C132" s="6" t="s">
        <v>1030</v>
      </c>
      <c r="D132" s="28" t="str">
        <f>IF(INICIAL[[#This Row],[CODIGO]]="", "", VLOOKUP(INICIAL[[#This Row],[CODIGO]], PRODUCTOS[#All], 2, FALSE))</f>
        <v>Calcamonías núcleo gde.</v>
      </c>
      <c r="E132" s="56">
        <v>12</v>
      </c>
    </row>
    <row r="133" spans="2:5" x14ac:dyDescent="0.2">
      <c r="B133" s="6" t="s">
        <v>940</v>
      </c>
      <c r="C133" s="6" t="s">
        <v>1048</v>
      </c>
      <c r="D133" s="28" t="str">
        <f>IF(INICIAL[[#This Row],[CODIGO]]="", "", VLOOKUP(INICIAL[[#This Row],[CODIGO]], PRODUCTOS[#All], 2, FALSE))</f>
        <v>Cable sonido</v>
      </c>
      <c r="E133" s="56">
        <v>1</v>
      </c>
    </row>
    <row r="134" spans="2:5" x14ac:dyDescent="0.2">
      <c r="B134" s="6" t="s">
        <v>940</v>
      </c>
      <c r="C134" s="6" t="s">
        <v>1046</v>
      </c>
      <c r="D134" s="28" t="str">
        <f>IF(INICIAL[[#This Row],[CODIGO]]="", "", VLOOKUP(INICIAL[[#This Row],[CODIGO]], PRODUCTOS[#All], 2, FALSE))</f>
        <v>Cable impresora</v>
      </c>
      <c r="E134" s="56">
        <v>1</v>
      </c>
    </row>
    <row r="135" spans="2:5" x14ac:dyDescent="0.2">
      <c r="B135" s="6" t="s">
        <v>940</v>
      </c>
      <c r="C135" s="6" t="s">
        <v>1000</v>
      </c>
      <c r="D135" s="28" t="str">
        <f>IF(INICIAL[[#This Row],[CODIGO]]="", "", VLOOKUP(INICIAL[[#This Row],[CODIGO]], PRODUCTOS[#All], 2, FALSE))</f>
        <v>Botiquin primeros aux.</v>
      </c>
      <c r="E135" s="56">
        <v>1</v>
      </c>
    </row>
    <row r="136" spans="2:5" x14ac:dyDescent="0.2">
      <c r="B136" s="6" t="s">
        <v>940</v>
      </c>
      <c r="C136" s="6" t="s">
        <v>1064</v>
      </c>
      <c r="D136" s="28" t="str">
        <f>IF(INICIAL[[#This Row],[CODIGO]]="", "", VLOOKUP(INICIAL[[#This Row],[CODIGO]], PRODUCTOS[#All], 2, FALSE))</f>
        <v xml:space="preserve">Borradores </v>
      </c>
      <c r="E136" s="56">
        <v>11</v>
      </c>
    </row>
    <row r="137" spans="2:5" x14ac:dyDescent="0.2">
      <c r="B137" s="6" t="s">
        <v>940</v>
      </c>
      <c r="C137" s="6" t="s">
        <v>986</v>
      </c>
      <c r="D137" s="28" t="str">
        <f>IF(INICIAL[[#This Row],[CODIGO]]="", "", VLOOKUP(INICIAL[[#This Row],[CODIGO]], PRODUCTOS[#All], 2, FALSE))</f>
        <v>Block de notas (expo)</v>
      </c>
      <c r="E137" s="56">
        <v>6</v>
      </c>
    </row>
    <row r="138" spans="2:5" x14ac:dyDescent="0.2">
      <c r="B138" s="6" t="s">
        <v>940</v>
      </c>
      <c r="C138" s="6" t="s">
        <v>1036</v>
      </c>
      <c r="D138" s="28" t="str">
        <f>IF(INICIAL[[#This Row],[CODIGO]]="", "", VLOOKUP(INICIAL[[#This Row],[CODIGO]], PRODUCTOS[#All], 2, FALSE))</f>
        <v xml:space="preserve">Block comprobante de gastos </v>
      </c>
      <c r="E138" s="56">
        <v>9</v>
      </c>
    </row>
    <row r="139" spans="2:5" x14ac:dyDescent="0.2">
      <c r="B139" s="6" t="s">
        <v>940</v>
      </c>
      <c r="C139" s="6" t="s">
        <v>1080</v>
      </c>
      <c r="D139" s="28" t="str">
        <f>IF(INICIAL[[#This Row],[CODIGO]]="", "", VLOOKUP(INICIAL[[#This Row],[CODIGO]], PRODUCTOS[#All], 2, FALSE))</f>
        <v>Archifuelle tamaño chequera</v>
      </c>
      <c r="E139" s="56">
        <v>7</v>
      </c>
    </row>
    <row r="140" spans="2:5" x14ac:dyDescent="0.2">
      <c r="B140" s="6" t="s">
        <v>940</v>
      </c>
      <c r="C140" s="6" t="s">
        <v>1038</v>
      </c>
      <c r="D140" s="28" t="str">
        <f>IF(INICIAL[[#This Row],[CODIGO]]="", "", VLOOKUP(INICIAL[[#This Row],[CODIGO]], PRODUCTOS[#All], 2, FALSE))</f>
        <v>Apuntador</v>
      </c>
      <c r="E140" s="56">
        <v>2</v>
      </c>
    </row>
    <row r="141" spans="2:5" x14ac:dyDescent="0.2">
      <c r="B141" s="6" t="s">
        <v>1956</v>
      </c>
      <c r="C141" s="6" t="s">
        <v>1382</v>
      </c>
      <c r="D141" s="28" t="str">
        <f>IF(INICIAL[[#This Row],[CODIGO]]="", "", VLOOKUP(INICIAL[[#This Row],[CODIGO]], PRODUCTOS[#All], 2, FALSE))</f>
        <v xml:space="preserve">Viga 4" tramo 6 mts </v>
      </c>
      <c r="E141" s="56">
        <v>1</v>
      </c>
    </row>
    <row r="142" spans="2:5" x14ac:dyDescent="0.2">
      <c r="B142" s="6" t="s">
        <v>1956</v>
      </c>
      <c r="C142" s="6" t="s">
        <v>1393</v>
      </c>
      <c r="D142" s="28" t="str">
        <f>IF(INICIAL[[#This Row],[CODIGO]]="", "", VLOOKUP(INICIAL[[#This Row],[CODIGO]], PRODUCTOS[#All], 2, FALSE))</f>
        <v>Varilla corrugada 3/4" tramo 3.79mts</v>
      </c>
      <c r="E142" s="56">
        <v>1</v>
      </c>
    </row>
    <row r="143" spans="2:5" x14ac:dyDescent="0.2">
      <c r="B143" s="6" t="s">
        <v>1956</v>
      </c>
      <c r="C143" s="6" t="s">
        <v>1393</v>
      </c>
      <c r="D143" s="28" t="str">
        <f>IF(INICIAL[[#This Row],[CODIGO]]="", "", VLOOKUP(INICIAL[[#This Row],[CODIGO]], PRODUCTOS[#All], 2, FALSE))</f>
        <v>Varilla corrugada 3/4" tramo 3.79mts</v>
      </c>
      <c r="E143" s="56">
        <v>1</v>
      </c>
    </row>
    <row r="144" spans="2:5" x14ac:dyDescent="0.2">
      <c r="B144" s="6" t="s">
        <v>1956</v>
      </c>
      <c r="C144" s="6" t="s">
        <v>1393</v>
      </c>
      <c r="D144" s="28" t="str">
        <f>IF(INICIAL[[#This Row],[CODIGO]]="", "", VLOOKUP(INICIAL[[#This Row],[CODIGO]], PRODUCTOS[#All], 2, FALSE))</f>
        <v>Varilla corrugada 3/4" tramo 3.79mts</v>
      </c>
      <c r="E144" s="56">
        <v>1</v>
      </c>
    </row>
    <row r="145" spans="2:5" x14ac:dyDescent="0.2">
      <c r="B145" s="6" t="s">
        <v>1956</v>
      </c>
      <c r="C145" s="6" t="s">
        <v>1326</v>
      </c>
      <c r="D145" s="28" t="str">
        <f>IF(INICIAL[[#This Row],[CODIGO]]="", "", VLOOKUP(INICIAL[[#This Row],[CODIGO]], PRODUCTOS[#All], 2, FALSE))</f>
        <v>Tubo de 1/2" hueco tramo de 2.68mts</v>
      </c>
      <c r="E145" s="56">
        <v>1</v>
      </c>
    </row>
    <row r="146" spans="2:5" x14ac:dyDescent="0.2">
      <c r="B146" s="6" t="s">
        <v>1956</v>
      </c>
      <c r="C146" s="6" t="s">
        <v>1386</v>
      </c>
      <c r="D146" s="28" t="str">
        <f>IF(INICIAL[[#This Row],[CODIGO]]="", "", VLOOKUP(INICIAL[[#This Row],[CODIGO]], PRODUCTOS[#All], 2, FALSE))</f>
        <v>Tubo 3 1/2" tramo 6mts</v>
      </c>
      <c r="E146" s="56">
        <v>4</v>
      </c>
    </row>
    <row r="147" spans="2:5" x14ac:dyDescent="0.2">
      <c r="B147" s="6" t="s">
        <v>1956</v>
      </c>
      <c r="C147" s="6" t="s">
        <v>1389</v>
      </c>
      <c r="D147" s="28" t="str">
        <f>IF(INICIAL[[#This Row],[CODIGO]]="", "", VLOOKUP(INICIAL[[#This Row],[CODIGO]], PRODUCTOS[#All], 2, FALSE))</f>
        <v>Tubo 2 1/2" tramo 3mts</v>
      </c>
      <c r="E147" s="56">
        <v>1</v>
      </c>
    </row>
    <row r="148" spans="2:5" x14ac:dyDescent="0.2">
      <c r="B148" s="6" t="s">
        <v>1956</v>
      </c>
      <c r="C148" s="6" t="s">
        <v>1384</v>
      </c>
      <c r="D148" s="28" t="str">
        <f>IF(INICIAL[[#This Row],[CODIGO]]="", "", VLOOKUP(INICIAL[[#This Row],[CODIGO]], PRODUCTOS[#All], 2, FALSE))</f>
        <v>Tubo 2" tramo 6mts</v>
      </c>
      <c r="E148" s="56">
        <v>4</v>
      </c>
    </row>
    <row r="149" spans="2:5" x14ac:dyDescent="0.2">
      <c r="B149" s="6" t="s">
        <v>1956</v>
      </c>
      <c r="C149" s="6" t="s">
        <v>1384</v>
      </c>
      <c r="D149" s="28" t="str">
        <f>IF(INICIAL[[#This Row],[CODIGO]]="", "", VLOOKUP(INICIAL[[#This Row],[CODIGO]], PRODUCTOS[#All], 2, FALSE))</f>
        <v>Tubo 2" tramo 6mts</v>
      </c>
      <c r="E149" s="56">
        <v>2</v>
      </c>
    </row>
    <row r="150" spans="2:5" x14ac:dyDescent="0.2">
      <c r="B150" s="6" t="s">
        <v>1956</v>
      </c>
      <c r="C150" s="6" t="s">
        <v>1322</v>
      </c>
      <c r="D150" s="28" t="str">
        <f>IF(INICIAL[[#This Row],[CODIGO]]="", "", VLOOKUP(INICIAL[[#This Row],[CODIGO]], PRODUCTOS[#All], 2, FALSE))</f>
        <v>TUBULAR 4 x 1 1/2" 6 mts</v>
      </c>
      <c r="E150" s="56">
        <v>1</v>
      </c>
    </row>
    <row r="151" spans="2:5" x14ac:dyDescent="0.2">
      <c r="B151" s="6" t="s">
        <v>1956</v>
      </c>
      <c r="C151" s="6" t="s">
        <v>1320</v>
      </c>
      <c r="D151" s="28" t="str">
        <f>IF(INICIAL[[#This Row],[CODIGO]]="", "", VLOOKUP(INICIAL[[#This Row],[CODIGO]], PRODUCTOS[#All], 2, FALSE))</f>
        <v>tubular 2 x 1" tramo 6 mts</v>
      </c>
      <c r="E151" s="56">
        <v>3</v>
      </c>
    </row>
    <row r="152" spans="2:5" x14ac:dyDescent="0.2">
      <c r="B152" s="6" t="s">
        <v>1956</v>
      </c>
      <c r="C152" s="6" t="s">
        <v>1337</v>
      </c>
      <c r="D152" s="28" t="str">
        <f>IF(INICIAL[[#This Row],[CODIGO]]="", "", VLOOKUP(INICIAL[[#This Row],[CODIGO]], PRODUCTOS[#All], 2, FALSE))</f>
        <v>Solera de 5/16" x 1 1/2" tramo de 45"</v>
      </c>
      <c r="E152" s="56">
        <v>1</v>
      </c>
    </row>
    <row r="153" spans="2:5" x14ac:dyDescent="0.2">
      <c r="B153" s="6" t="s">
        <v>1956</v>
      </c>
      <c r="C153" s="6" t="s">
        <v>1339</v>
      </c>
      <c r="D153" s="28" t="str">
        <f>IF(INICIAL[[#This Row],[CODIGO]]="", "", VLOOKUP(INICIAL[[#This Row],[CODIGO]], PRODUCTOS[#All], 2, FALSE))</f>
        <v>Solera de 1/8" x 1 1/2" tramos de 76"</v>
      </c>
      <c r="E153" s="56">
        <v>1</v>
      </c>
    </row>
    <row r="154" spans="2:5" x14ac:dyDescent="0.2">
      <c r="B154" s="6" t="s">
        <v>1956</v>
      </c>
      <c r="C154" s="6" t="s">
        <v>1329</v>
      </c>
      <c r="D154" s="28" t="str">
        <f>IF(INICIAL[[#This Row],[CODIGO]]="", "", VLOOKUP(INICIAL[[#This Row],[CODIGO]], PRODUCTOS[#All], 2, FALSE))</f>
        <v>solera de 1/8 x 1" tramo de 6 mts</v>
      </c>
      <c r="E154" s="56">
        <v>2</v>
      </c>
    </row>
    <row r="155" spans="2:5" x14ac:dyDescent="0.2">
      <c r="B155" s="6" t="s">
        <v>1956</v>
      </c>
      <c r="C155" s="6" t="s">
        <v>1329</v>
      </c>
      <c r="D155" s="28" t="str">
        <f>IF(INICIAL[[#This Row],[CODIGO]]="", "", VLOOKUP(INICIAL[[#This Row],[CODIGO]], PRODUCTOS[#All], 2, FALSE))</f>
        <v>solera de 1/8 x 1" tramo de 6 mts</v>
      </c>
      <c r="E155" s="56">
        <v>1</v>
      </c>
    </row>
    <row r="156" spans="2:5" x14ac:dyDescent="0.2">
      <c r="B156" s="6" t="s">
        <v>1956</v>
      </c>
      <c r="C156" s="6" t="s">
        <v>1335</v>
      </c>
      <c r="D156" s="28" t="str">
        <f>IF(INICIAL[[#This Row],[CODIGO]]="", "", VLOOKUP(INICIAL[[#This Row],[CODIGO]], PRODUCTOS[#All], 2, FALSE))</f>
        <v xml:space="preserve">Solera de 1/2" x 1/6" tramo de 6mts </v>
      </c>
      <c r="E156" s="56">
        <v>1</v>
      </c>
    </row>
    <row r="157" spans="2:5" x14ac:dyDescent="0.2">
      <c r="B157" s="6" t="s">
        <v>1956</v>
      </c>
      <c r="C157" s="6" t="s">
        <v>1331</v>
      </c>
      <c r="D157" s="28" t="str">
        <f>IF(INICIAL[[#This Row],[CODIGO]]="", "", VLOOKUP(INICIAL[[#This Row],[CODIGO]], PRODUCTOS[#All], 2, FALSE))</f>
        <v>solera de 1/16" x 1" tramo de 6 mts</v>
      </c>
      <c r="E157" s="56">
        <v>5</v>
      </c>
    </row>
    <row r="158" spans="2:5" x14ac:dyDescent="0.2">
      <c r="B158" s="6" t="s">
        <v>1956</v>
      </c>
      <c r="C158" s="6" t="s">
        <v>1333</v>
      </c>
      <c r="D158" s="28" t="str">
        <f>IF(INICIAL[[#This Row],[CODIGO]]="", "", VLOOKUP(INICIAL[[#This Row],[CODIGO]], PRODUCTOS[#All], 2, FALSE))</f>
        <v>solera de 1 1/2" x 1/8 tramos de 6 mts</v>
      </c>
      <c r="E158" s="56">
        <v>1</v>
      </c>
    </row>
    <row r="159" spans="2:5" x14ac:dyDescent="0.2">
      <c r="B159" s="6" t="s">
        <v>1956</v>
      </c>
      <c r="C159" s="6" t="s">
        <v>1360</v>
      </c>
      <c r="D159" s="28" t="str">
        <f>IF(INICIAL[[#This Row],[CODIGO]]="", "", VLOOKUP(INICIAL[[#This Row],[CODIGO]], PRODUCTOS[#All], 2, FALSE))</f>
        <v>PTR 3" reforzado de 3.81 mts</v>
      </c>
      <c r="E159" s="56">
        <v>1</v>
      </c>
    </row>
    <row r="160" spans="2:5" x14ac:dyDescent="0.2">
      <c r="B160" s="6" t="s">
        <v>1956</v>
      </c>
      <c r="C160" s="6" t="s">
        <v>1358</v>
      </c>
      <c r="D160" s="28" t="str">
        <f>IF(INICIAL[[#This Row],[CODIGO]]="", "", VLOOKUP(INICIAL[[#This Row],[CODIGO]], PRODUCTOS[#All], 2, FALSE))</f>
        <v>PTR 3" tramo de 6mts</v>
      </c>
      <c r="E160" s="56">
        <v>3</v>
      </c>
    </row>
    <row r="161" spans="2:5" x14ac:dyDescent="0.2">
      <c r="B161" s="6" t="s">
        <v>1956</v>
      </c>
      <c r="C161" s="6" t="s">
        <v>1347</v>
      </c>
      <c r="D161" s="28" t="str">
        <f>IF(INICIAL[[#This Row],[CODIGO]]="", "", VLOOKUP(INICIAL[[#This Row],[CODIGO]], PRODUCTOS[#All], 2, FALSE))</f>
        <v xml:space="preserve">PTR 2 1/2" tramo de 80 cm </v>
      </c>
      <c r="E161" s="56">
        <v>1</v>
      </c>
    </row>
    <row r="162" spans="2:5" x14ac:dyDescent="0.2">
      <c r="B162" s="6" t="s">
        <v>1956</v>
      </c>
      <c r="C162" s="6" t="s">
        <v>1344</v>
      </c>
      <c r="D162" s="28" t="str">
        <f>IF(INICIAL[[#This Row],[CODIGO]]="", "", VLOOKUP(INICIAL[[#This Row],[CODIGO]], PRODUCTOS[#All], 2, FALSE))</f>
        <v>PTR 2" tramo de 2.99mts</v>
      </c>
      <c r="E162" s="56">
        <v>1</v>
      </c>
    </row>
    <row r="163" spans="2:5" x14ac:dyDescent="0.2">
      <c r="B163" s="6" t="s">
        <v>1956</v>
      </c>
      <c r="C163" s="6" t="s">
        <v>1344</v>
      </c>
      <c r="D163" s="28" t="str">
        <f>IF(INICIAL[[#This Row],[CODIGO]]="", "", VLOOKUP(INICIAL[[#This Row],[CODIGO]], PRODUCTOS[#All], 2, FALSE))</f>
        <v>PTR 2" tramo de 2.99mts</v>
      </c>
      <c r="E163" s="56">
        <v>1</v>
      </c>
    </row>
    <row r="164" spans="2:5" x14ac:dyDescent="0.2">
      <c r="B164" s="6" t="s">
        <v>1956</v>
      </c>
      <c r="C164" s="6" t="s">
        <v>1344</v>
      </c>
      <c r="D164" s="28" t="str">
        <f>IF(INICIAL[[#This Row],[CODIGO]]="", "", VLOOKUP(INICIAL[[#This Row],[CODIGO]], PRODUCTOS[#All], 2, FALSE))</f>
        <v>PTR 2" tramo de 2.99mts</v>
      </c>
      <c r="E164" s="56">
        <v>2</v>
      </c>
    </row>
    <row r="165" spans="2:5" x14ac:dyDescent="0.2">
      <c r="B165" s="6" t="s">
        <v>1956</v>
      </c>
      <c r="C165" s="6" t="s">
        <v>1344</v>
      </c>
      <c r="D165" s="28" t="str">
        <f>IF(INICIAL[[#This Row],[CODIGO]]="", "", VLOOKUP(INICIAL[[#This Row],[CODIGO]], PRODUCTOS[#All], 2, FALSE))</f>
        <v>PTR 2" tramo de 2.99mts</v>
      </c>
      <c r="E165" s="56">
        <v>1</v>
      </c>
    </row>
    <row r="166" spans="2:5" x14ac:dyDescent="0.2">
      <c r="B166" s="6" t="s">
        <v>1956</v>
      </c>
      <c r="C166" s="6" t="s">
        <v>1344</v>
      </c>
      <c r="D166" s="28" t="str">
        <f>IF(INICIAL[[#This Row],[CODIGO]]="", "", VLOOKUP(INICIAL[[#This Row],[CODIGO]], PRODUCTOS[#All], 2, FALSE))</f>
        <v>PTR 2" tramo de 2.99mts</v>
      </c>
      <c r="E166" s="56">
        <v>1</v>
      </c>
    </row>
    <row r="167" spans="2:5" x14ac:dyDescent="0.2">
      <c r="B167" s="6" t="s">
        <v>1956</v>
      </c>
      <c r="C167" s="6" t="s">
        <v>1324</v>
      </c>
      <c r="D167" s="28" t="str">
        <f>IF(INICIAL[[#This Row],[CODIGO]]="", "", VLOOKUP(INICIAL[[#This Row],[CODIGO]], PRODUCTOS[#All], 2, FALSE))</f>
        <v>ptr cuadrado de 1/2 2.75 mts</v>
      </c>
      <c r="E167" s="56">
        <v>1</v>
      </c>
    </row>
    <row r="168" spans="2:5" x14ac:dyDescent="0.2">
      <c r="B168" s="6" t="s">
        <v>1956</v>
      </c>
      <c r="C168" s="6" t="s">
        <v>1324</v>
      </c>
      <c r="D168" s="28" t="str">
        <f>IF(INICIAL[[#This Row],[CODIGO]]="", "", VLOOKUP(INICIAL[[#This Row],[CODIGO]], PRODUCTOS[#All], 2, FALSE))</f>
        <v>ptr cuadrado de 1/2 2.75 mts</v>
      </c>
      <c r="E168" s="56">
        <v>1</v>
      </c>
    </row>
    <row r="169" spans="2:5" x14ac:dyDescent="0.2">
      <c r="B169" s="6" t="s">
        <v>1956</v>
      </c>
      <c r="C169" s="6" t="s">
        <v>1349</v>
      </c>
      <c r="D169" s="28" t="str">
        <f>IF(INICIAL[[#This Row],[CODIGO]]="", "", VLOOKUP(INICIAL[[#This Row],[CODIGO]], PRODUCTOS[#All], 2, FALSE))</f>
        <v>PTR 1 1/2" tramo de 1.30 mts</v>
      </c>
      <c r="E169" s="56">
        <v>1</v>
      </c>
    </row>
    <row r="170" spans="2:5" x14ac:dyDescent="0.2">
      <c r="B170" s="6" t="s">
        <v>1956</v>
      </c>
      <c r="C170" s="6" t="s">
        <v>1349</v>
      </c>
      <c r="D170" s="28" t="str">
        <f>IF(INICIAL[[#This Row],[CODIGO]]="", "", VLOOKUP(INICIAL[[#This Row],[CODIGO]], PRODUCTOS[#All], 2, FALSE))</f>
        <v>PTR 1 1/2" tramo de 1.30 mts</v>
      </c>
      <c r="E170" s="56">
        <v>1</v>
      </c>
    </row>
    <row r="171" spans="2:5" x14ac:dyDescent="0.2">
      <c r="B171" s="6" t="s">
        <v>1956</v>
      </c>
      <c r="C171" s="6" t="s">
        <v>1342</v>
      </c>
      <c r="D171" s="28" t="str">
        <f>IF(INICIAL[[#This Row],[CODIGO]]="", "", VLOOKUP(INICIAL[[#This Row],[CODIGO]], PRODUCTOS[#All], 2, FALSE))</f>
        <v>PTR 1" Tramo 2.95 mts</v>
      </c>
      <c r="E171" s="56">
        <v>1</v>
      </c>
    </row>
    <row r="172" spans="2:5" x14ac:dyDescent="0.2">
      <c r="B172" s="6" t="s">
        <v>1956</v>
      </c>
      <c r="C172" s="6" t="s">
        <v>1391</v>
      </c>
      <c r="D172" s="28" t="str">
        <f>IF(INICIAL[[#This Row],[CODIGO]]="", "", VLOOKUP(INICIAL[[#This Row],[CODIGO]], PRODUCTOS[#All], 2, FALSE))</f>
        <v>Canaleta 1 1/2" tramo 88"</v>
      </c>
      <c r="E172" s="56">
        <v>1</v>
      </c>
    </row>
    <row r="173" spans="2:5" x14ac:dyDescent="0.2">
      <c r="B173" s="6" t="s">
        <v>1956</v>
      </c>
      <c r="C173" s="6" t="s">
        <v>1351</v>
      </c>
      <c r="D173" s="28" t="str">
        <f>IF(INICIAL[[#This Row],[CODIGO]]="", "", VLOOKUP(INICIAL[[#This Row],[CODIGO]], PRODUCTOS[#All], 2, FALSE))</f>
        <v>Barra reforzada 1" tramo de 2.85 mts</v>
      </c>
      <c r="E173" s="56">
        <v>1</v>
      </c>
    </row>
    <row r="174" spans="2:5" x14ac:dyDescent="0.2">
      <c r="B174" s="6" t="s">
        <v>1956</v>
      </c>
      <c r="C174" s="6" t="s">
        <v>1374</v>
      </c>
      <c r="D174" s="28" t="str">
        <f>IF(INICIAL[[#This Row],[CODIGO]]="", "", VLOOKUP(INICIAL[[#This Row],[CODIGO]], PRODUCTOS[#All], 2, FALSE))</f>
        <v>Barra 5/82 tramo de 4.25mts</v>
      </c>
      <c r="E174" s="56">
        <v>1</v>
      </c>
    </row>
    <row r="175" spans="2:5" x14ac:dyDescent="0.2">
      <c r="B175" s="6" t="s">
        <v>1956</v>
      </c>
      <c r="C175" s="6" t="s">
        <v>1379</v>
      </c>
      <c r="D175" s="28" t="str">
        <f>IF(INICIAL[[#This Row],[CODIGO]]="", "", VLOOKUP(INICIAL[[#This Row],[CODIGO]], PRODUCTOS[#All], 2, FALSE))</f>
        <v>Barra 3/4" tramo 3.25 mts</v>
      </c>
      <c r="E175" s="56">
        <v>1</v>
      </c>
    </row>
    <row r="176" spans="2:5" x14ac:dyDescent="0.2">
      <c r="B176" s="6" t="s">
        <v>1956</v>
      </c>
      <c r="C176" s="6" t="s">
        <v>1371</v>
      </c>
      <c r="D176" s="28" t="str">
        <f>IF(INICIAL[[#This Row],[CODIGO]]="", "", VLOOKUP(INICIAL[[#This Row],[CODIGO]], PRODUCTOS[#All], 2, FALSE))</f>
        <v>Barra 1/4" tramo 2.32mts</v>
      </c>
      <c r="E176" s="56">
        <v>1</v>
      </c>
    </row>
    <row r="177" spans="2:5" x14ac:dyDescent="0.2">
      <c r="B177" s="6" t="s">
        <v>1956</v>
      </c>
      <c r="C177" s="6" t="s">
        <v>1371</v>
      </c>
      <c r="D177" s="28" t="str">
        <f>IF(INICIAL[[#This Row],[CODIGO]]="", "", VLOOKUP(INICIAL[[#This Row],[CODIGO]], PRODUCTOS[#All], 2, FALSE))</f>
        <v>Barra 1/4" tramo 2.32mts</v>
      </c>
      <c r="E177" s="56">
        <v>2</v>
      </c>
    </row>
    <row r="178" spans="2:5" x14ac:dyDescent="0.2">
      <c r="B178" s="6" t="s">
        <v>1956</v>
      </c>
      <c r="C178" s="6" t="s">
        <v>1369</v>
      </c>
      <c r="D178" s="28" t="str">
        <f>IF(INICIAL[[#This Row],[CODIGO]]="", "", VLOOKUP(INICIAL[[#This Row],[CODIGO]], PRODUCTOS[#All], 2, FALSE))</f>
        <v xml:space="preserve">barra 1/2" tramo de 6mts </v>
      </c>
      <c r="E178" s="56">
        <v>1</v>
      </c>
    </row>
    <row r="179" spans="2:5" x14ac:dyDescent="0.2">
      <c r="B179" s="6" t="s">
        <v>1956</v>
      </c>
      <c r="C179" s="6" t="s">
        <v>1369</v>
      </c>
      <c r="D179" s="28" t="str">
        <f>IF(INICIAL[[#This Row],[CODIGO]]="", "", VLOOKUP(INICIAL[[#This Row],[CODIGO]], PRODUCTOS[#All], 2, FALSE))</f>
        <v xml:space="preserve">barra 1/2" tramo de 6mts </v>
      </c>
      <c r="E179" s="56">
        <v>1</v>
      </c>
    </row>
    <row r="180" spans="2:5" x14ac:dyDescent="0.2">
      <c r="B180" s="6" t="s">
        <v>1956</v>
      </c>
      <c r="C180" s="6" t="s">
        <v>1376</v>
      </c>
      <c r="D180" s="28" t="str">
        <f>IF(INICIAL[[#This Row],[CODIGO]]="", "", VLOOKUP(INICIAL[[#This Row],[CODIGO]], PRODUCTOS[#All], 2, FALSE))</f>
        <v>Angulo 3/4" x 1/16" tramo 6mts</v>
      </c>
      <c r="E180" s="56">
        <v>1</v>
      </c>
    </row>
    <row r="181" spans="2:5" x14ac:dyDescent="0.2">
      <c r="B181" s="6" t="s">
        <v>1956</v>
      </c>
      <c r="C181" s="6" t="s">
        <v>1354</v>
      </c>
      <c r="D181" s="28" t="str">
        <f>IF(INICIAL[[#This Row],[CODIGO]]="", "", VLOOKUP(INICIAL[[#This Row],[CODIGO]], PRODUCTOS[#All], 2, FALSE))</f>
        <v>Angulo 1/4 x 2 x 2" tramo de 2.39mts</v>
      </c>
      <c r="E181" s="56">
        <v>1</v>
      </c>
    </row>
    <row r="182" spans="2:5" x14ac:dyDescent="0.2">
      <c r="B182" s="6" t="s">
        <v>1956</v>
      </c>
      <c r="C182" s="6" t="s">
        <v>1363</v>
      </c>
      <c r="D182" s="28" t="str">
        <f>IF(INICIAL[[#This Row],[CODIGO]]="", "", VLOOKUP(INICIAL[[#This Row],[CODIGO]], PRODUCTOS[#All], 2, FALSE))</f>
        <v>Angulo 1/2 x 1/8 tramo 6 mts</v>
      </c>
      <c r="E182" s="56">
        <v>3</v>
      </c>
    </row>
    <row r="183" spans="2:5" x14ac:dyDescent="0.2">
      <c r="B183" s="6" t="s">
        <v>1956</v>
      </c>
      <c r="C183" s="6" t="s">
        <v>1367</v>
      </c>
      <c r="D183" s="28" t="str">
        <f>IF(INICIAL[[#This Row],[CODIGO]]="", "", VLOOKUP(INICIAL[[#This Row],[CODIGO]], PRODUCTOS[#All], 2, FALSE))</f>
        <v>Angulo 1" x 1/8" tramo 6 mts</v>
      </c>
      <c r="E183" s="56">
        <v>4</v>
      </c>
    </row>
    <row r="184" spans="2:5" x14ac:dyDescent="0.2">
      <c r="B184" s="6" t="s">
        <v>1956</v>
      </c>
      <c r="C184" s="6" t="s">
        <v>1367</v>
      </c>
      <c r="D184" s="28" t="str">
        <f>IF(INICIAL[[#This Row],[CODIGO]]="", "", VLOOKUP(INICIAL[[#This Row],[CODIGO]], PRODUCTOS[#All], 2, FALSE))</f>
        <v>Angulo 1" x 1/8" tramo 6 mts</v>
      </c>
      <c r="E184" s="56">
        <v>1</v>
      </c>
    </row>
    <row r="185" spans="2:5" x14ac:dyDescent="0.2">
      <c r="B185" s="6" t="s">
        <v>1956</v>
      </c>
      <c r="C185" s="6" t="s">
        <v>1365</v>
      </c>
      <c r="D185" s="28" t="str">
        <f>IF(INICIAL[[#This Row],[CODIGO]]="", "", VLOOKUP(INICIAL[[#This Row],[CODIGO]], PRODUCTOS[#All], 2, FALSE))</f>
        <v>Angulo 1 1/2 x 1/8 tramo de 3.96</v>
      </c>
      <c r="E185" s="56">
        <v>1</v>
      </c>
    </row>
    <row r="186" spans="2:5" x14ac:dyDescent="0.2">
      <c r="B186" s="6" t="s">
        <v>1956</v>
      </c>
      <c r="C186" s="6" t="s">
        <v>1152</v>
      </c>
      <c r="D186" s="28" t="str">
        <f>IF(INICIAL[[#This Row],[CODIGO]]="", "", VLOOKUP(INICIAL[[#This Row],[CODIGO]], PRODUCTOS[#All], 2, FALSE))</f>
        <v>Torno 220 - Regal</v>
      </c>
      <c r="E186" s="56">
        <v>1</v>
      </c>
    </row>
    <row r="187" spans="2:5" x14ac:dyDescent="0.2">
      <c r="B187" s="6" t="s">
        <v>1956</v>
      </c>
      <c r="C187" s="6" t="s">
        <v>1154</v>
      </c>
      <c r="D187" s="28" t="str">
        <f>IF(INICIAL[[#This Row],[CODIGO]]="", "", VLOOKUP(INICIAL[[#This Row],[CODIGO]], PRODUCTOS[#All], 2, FALSE))</f>
        <v>Soldadora con regenerador AX Tech 200 A</v>
      </c>
      <c r="E187" s="56">
        <v>1</v>
      </c>
    </row>
    <row r="188" spans="2:5" x14ac:dyDescent="0.2">
      <c r="B188" s="6" t="s">
        <v>1956</v>
      </c>
      <c r="C188" s="6" t="s">
        <v>1156</v>
      </c>
      <c r="D188" s="28" t="str">
        <f>IF(INICIAL[[#This Row],[CODIGO]]="", "", VLOOKUP(INICIAL[[#This Row],[CODIGO]], PRODUCTOS[#All], 2, FALSE))</f>
        <v>Soldadora con generador AX Tech 160 A 5,500 W</v>
      </c>
      <c r="E188" s="56">
        <v>1</v>
      </c>
    </row>
    <row r="189" spans="2:5" x14ac:dyDescent="0.2">
      <c r="B189" s="6" t="s">
        <v>1956</v>
      </c>
      <c r="C189" s="6" t="s">
        <v>1158</v>
      </c>
      <c r="D189" s="28" t="str">
        <f>IF(INICIAL[[#This Row],[CODIGO]]="", "", VLOOKUP(INICIAL[[#This Row],[CODIGO]], PRODUCTOS[#All], 2, FALSE))</f>
        <v>Soldadora con generador Power Hunt 7 Hp 5 Lts 130 A</v>
      </c>
      <c r="E189" s="56">
        <v>1</v>
      </c>
    </row>
    <row r="190" spans="2:5" x14ac:dyDescent="0.2">
      <c r="B190" s="6" t="s">
        <v>1956</v>
      </c>
      <c r="C190" s="6" t="s">
        <v>1168</v>
      </c>
      <c r="D190" s="28" t="str">
        <f>IF(INICIAL[[#This Row],[CODIGO]]="", "", VLOOKUP(INICIAL[[#This Row],[CODIGO]], PRODUCTOS[#All], 2, FALSE))</f>
        <v>Rectificador Dewalt 450 W 3.1 A 3450 r/min</v>
      </c>
      <c r="E190" s="56">
        <v>1</v>
      </c>
    </row>
    <row r="191" spans="2:5" x14ac:dyDescent="0.2">
      <c r="B191" s="6" t="s">
        <v>1956</v>
      </c>
      <c r="C191" s="6" t="s">
        <v>1172</v>
      </c>
      <c r="D191" s="28" t="str">
        <f>IF(INICIAL[[#This Row],[CODIGO]]="", "", VLOOKUP(INICIAL[[#This Row],[CODIGO]], PRODUCTOS[#All], 2, FALSE))</f>
        <v>Pulidora de 6" blanca de ker</v>
      </c>
      <c r="E191" s="56">
        <v>1</v>
      </c>
    </row>
    <row r="192" spans="2:5" x14ac:dyDescent="0.2">
      <c r="B192" s="6" t="s">
        <v>1956</v>
      </c>
      <c r="C192" s="6" t="s">
        <v>1166</v>
      </c>
      <c r="D192" s="28" t="str">
        <f>IF(INICIAL[[#This Row],[CODIGO]]="", "", VLOOKUP(INICIAL[[#This Row],[CODIGO]], PRODUCTOS[#All], 2, FALSE))</f>
        <v>Pulidora makita verde 4 1/2" 12,00 r/min  1,100 W</v>
      </c>
      <c r="E192" s="56">
        <v>2</v>
      </c>
    </row>
    <row r="193" spans="2:5" x14ac:dyDescent="0.2">
      <c r="B193" s="6" t="s">
        <v>1956</v>
      </c>
      <c r="C193" s="6" t="s">
        <v>1164</v>
      </c>
      <c r="D193" s="28" t="str">
        <f>IF(INICIAL[[#This Row],[CODIGO]]="", "", VLOOKUP(INICIAL[[#This Row],[CODIGO]], PRODUCTOS[#All], 2, FALSE))</f>
        <v>Pulidora makita roja 4 1/2" 11,00 r/min 1,050W</v>
      </c>
      <c r="E193" s="56">
        <v>1</v>
      </c>
    </row>
    <row r="194" spans="2:5" x14ac:dyDescent="0.2">
      <c r="B194" s="6" t="s">
        <v>1956</v>
      </c>
      <c r="C194" s="6" t="s">
        <v>1162</v>
      </c>
      <c r="D194" s="28" t="str">
        <f>IF(INICIAL[[#This Row],[CODIGO]]="", "", VLOOKUP(INICIAL[[#This Row],[CODIGO]], PRODUCTOS[#All], 2, FALSE))</f>
        <v>Pulidora Dewalt 4 1/2" 12,00 r/min de 5/8" a 1"</v>
      </c>
      <c r="E194" s="56">
        <v>1</v>
      </c>
    </row>
    <row r="195" spans="2:5" x14ac:dyDescent="0.2">
      <c r="B195" s="6" t="s">
        <v>1956</v>
      </c>
      <c r="C195" s="6" t="s">
        <v>1174</v>
      </c>
      <c r="D195" s="28" t="str">
        <f>IF(INICIAL[[#This Row],[CODIGO]]="", "", VLOOKUP(INICIAL[[#This Row],[CODIGO]], PRODUCTOS[#All], 2, FALSE))</f>
        <v>Motosierra Husky 20" 2.5 Hp</v>
      </c>
      <c r="E195" s="56">
        <v>2</v>
      </c>
    </row>
    <row r="196" spans="2:5" x14ac:dyDescent="0.2">
      <c r="B196" s="6" t="s">
        <v>1956</v>
      </c>
      <c r="C196" s="6" t="s">
        <v>1160</v>
      </c>
      <c r="D196" s="28" t="str">
        <f>IF(INICIAL[[#This Row],[CODIGO]]="", "", VLOOKUP(INICIAL[[#This Row],[CODIGO]], PRODUCTOS[#All], 2, FALSE))</f>
        <v>Esmeril  de banco Dewalt 1/2Hp 373 W  3.1 A  3,450 r/min</v>
      </c>
      <c r="E196" s="56">
        <v>1</v>
      </c>
    </row>
    <row r="197" spans="2:5" x14ac:dyDescent="0.2">
      <c r="B197" s="6" t="s">
        <v>1956</v>
      </c>
      <c r="C197" s="6" t="s">
        <v>1150</v>
      </c>
      <c r="D197" s="28" t="str">
        <f>IF(INICIAL[[#This Row],[CODIGO]]="", "", VLOOKUP(INICIAL[[#This Row],[CODIGO]], PRODUCTOS[#All], 2, FALSE))</f>
        <v>Máquina de soldar 220- 440 Infra 300 Ampr</v>
      </c>
      <c r="E197" s="56">
        <v>1</v>
      </c>
    </row>
    <row r="198" spans="2:5" x14ac:dyDescent="0.2">
      <c r="B198" s="6" t="s">
        <v>1956</v>
      </c>
      <c r="C198" s="6" t="s">
        <v>1146</v>
      </c>
      <c r="D198" s="28" t="str">
        <f>IF(INICIAL[[#This Row],[CODIGO]]="", "", VLOOKUP(INICIAL[[#This Row],[CODIGO]], PRODUCTOS[#All], 2, FALSE))</f>
        <v>Máquina de soldar 220 -110 Lincoln 250 Ampr</v>
      </c>
      <c r="E198" s="56">
        <v>2</v>
      </c>
    </row>
    <row r="199" spans="2:5" x14ac:dyDescent="0.2">
      <c r="B199" s="6" t="s">
        <v>1956</v>
      </c>
      <c r="C199" s="6" t="s">
        <v>1148</v>
      </c>
      <c r="D199" s="28" t="str">
        <f>IF(INICIAL[[#This Row],[CODIGO]]="", "", VLOOKUP(INICIAL[[#This Row],[CODIGO]], PRODUCTOS[#All], 2, FALSE))</f>
        <v>Máquina de soldar 210 - 110 Microalambre Kerhër</v>
      </c>
      <c r="E199" s="56">
        <v>1</v>
      </c>
    </row>
    <row r="200" spans="2:5" x14ac:dyDescent="0.2">
      <c r="B200" s="6" t="s">
        <v>1956</v>
      </c>
      <c r="C200" s="6" t="s">
        <v>1142</v>
      </c>
      <c r="D200" s="28" t="str">
        <f>IF(INICIAL[[#This Row],[CODIGO]]="", "", VLOOKUP(INICIAL[[#This Row],[CODIGO]], PRODUCTOS[#All], 2, FALSE))</f>
        <v>Compresor verde Oakland 2.5 Hp 25Lts</v>
      </c>
      <c r="E200" s="56">
        <v>1</v>
      </c>
    </row>
    <row r="201" spans="2:5" x14ac:dyDescent="0.2">
      <c r="B201" s="6" t="s">
        <v>1956</v>
      </c>
      <c r="C201" s="6" t="s">
        <v>1144</v>
      </c>
      <c r="D201" s="28" t="str">
        <f>IF(INICIAL[[#This Row],[CODIGO]]="", "", VLOOKUP(INICIAL[[#This Row],[CODIGO]], PRODUCTOS[#All], 2, FALSE))</f>
        <v>Compresor negro Oakland 1 Hp 108Lts</v>
      </c>
      <c r="E201" s="56">
        <v>1</v>
      </c>
    </row>
    <row r="202" spans="2:5" x14ac:dyDescent="0.2">
      <c r="B202" s="6" t="s">
        <v>1956</v>
      </c>
      <c r="C202" s="6" t="s">
        <v>1170</v>
      </c>
      <c r="D202" s="28" t="str">
        <f>IF(INICIAL[[#This Row],[CODIGO]]="", "", VLOOKUP(INICIAL[[#This Row],[CODIGO]], PRODUCTOS[#All], 2, FALSE))</f>
        <v>Cortadora Dewalt circular 14" 25,000 r/min 2,300W</v>
      </c>
      <c r="E202" s="56">
        <v>1</v>
      </c>
    </row>
    <row r="203" spans="2:5" x14ac:dyDescent="0.2">
      <c r="B203" s="6" t="s">
        <v>1956</v>
      </c>
      <c r="C203" s="6" t="s">
        <v>1176</v>
      </c>
      <c r="D203" s="28" t="str">
        <f>IF(INICIAL[[#This Row],[CODIGO]]="", "", VLOOKUP(INICIAL[[#This Row],[CODIGO]], PRODUCTOS[#All], 2, FALSE))</f>
        <v>Cargador de baterias Schumacher Instant Power 1,200 ampr 150 psi</v>
      </c>
      <c r="E203" s="56">
        <v>1</v>
      </c>
    </row>
    <row r="204" spans="2:5" x14ac:dyDescent="0.2">
      <c r="B204" s="6" t="s">
        <v>1956</v>
      </c>
      <c r="C204" s="6" t="s">
        <v>1888</v>
      </c>
      <c r="D204" s="28" t="str">
        <f>IF(INICIAL[[#This Row],[CODIGO]]="", "", VLOOKUP(INICIAL[[#This Row],[CODIGO]], PRODUCTOS[#All], 2, FALSE))</f>
        <v xml:space="preserve">zapata de retención </v>
      </c>
      <c r="E204" s="56">
        <v>1</v>
      </c>
    </row>
    <row r="205" spans="2:5" x14ac:dyDescent="0.2">
      <c r="B205" s="6" t="s">
        <v>1956</v>
      </c>
      <c r="C205" s="6" t="s">
        <v>1750</v>
      </c>
      <c r="D205" s="28" t="str">
        <f>IF(INICIAL[[#This Row],[CODIGO]]="", "", VLOOKUP(INICIAL[[#This Row],[CODIGO]], PRODUCTOS[#All], 2, FALSE))</f>
        <v>Vinimex 1L</v>
      </c>
      <c r="E205" s="56">
        <v>2</v>
      </c>
    </row>
    <row r="206" spans="2:5" x14ac:dyDescent="0.2">
      <c r="B206" s="6" t="s">
        <v>1956</v>
      </c>
      <c r="C206" s="6" t="s">
        <v>1826</v>
      </c>
      <c r="D206" s="28" t="str">
        <f>IF(INICIAL[[#This Row],[CODIGO]]="", "", VLOOKUP(INICIAL[[#This Row],[CODIGO]], PRODUCTOS[#All], 2, FALSE))</f>
        <v>Velocimetro digital miniatura para moto</v>
      </c>
      <c r="E206" s="56">
        <v>1</v>
      </c>
    </row>
    <row r="207" spans="2:5" x14ac:dyDescent="0.2">
      <c r="B207" s="6" t="s">
        <v>1956</v>
      </c>
      <c r="C207" s="6" t="s">
        <v>1427</v>
      </c>
      <c r="D207" s="28" t="str">
        <f>IF(INICIAL[[#This Row],[CODIGO]]="", "", VLOOKUP(INICIAL[[#This Row],[CODIGO]], PRODUCTOS[#All], 2, FALSE))</f>
        <v xml:space="preserve">Varilla para arcaid carbón 1/4 </v>
      </c>
      <c r="E207" s="56">
        <v>48</v>
      </c>
    </row>
    <row r="208" spans="2:5" x14ac:dyDescent="0.2">
      <c r="B208" s="6" t="s">
        <v>1956</v>
      </c>
      <c r="C208" s="6" t="s">
        <v>1579</v>
      </c>
      <c r="D208" s="28" t="str">
        <f>IF(INICIAL[[#This Row],[CODIGO]]="", "", VLOOKUP(INICIAL[[#This Row],[CODIGO]], PRODUCTOS[#All], 2, FALSE))</f>
        <v>Tuerca de seguridad 1/2"</v>
      </c>
      <c r="E208" s="56">
        <v>0</v>
      </c>
    </row>
    <row r="209" spans="2:5" x14ac:dyDescent="0.2">
      <c r="B209" s="6" t="s">
        <v>1956</v>
      </c>
      <c r="C209" s="6" t="s">
        <v>1944</v>
      </c>
      <c r="D209" s="28" t="str">
        <f>IF(INICIAL[[#This Row],[CODIGO]]="", "", VLOOKUP(INICIAL[[#This Row],[CODIGO]], PRODUCTOS[#All], 2, FALSE))</f>
        <v xml:space="preserve">Tuercas de plásctico </v>
      </c>
      <c r="E209" s="56">
        <v>21</v>
      </c>
    </row>
    <row r="210" spans="2:5" x14ac:dyDescent="0.2">
      <c r="B210" s="6" t="s">
        <v>1956</v>
      </c>
      <c r="C210" s="6" t="s">
        <v>1577</v>
      </c>
      <c r="D210" s="28" t="str">
        <f>IF(INICIAL[[#This Row],[CODIGO]]="", "", VLOOKUP(INICIAL[[#This Row],[CODIGO]], PRODUCTOS[#All], 2, FALSE))</f>
        <v>Tuerca de acople 3/8</v>
      </c>
      <c r="E210" s="56">
        <v>3</v>
      </c>
    </row>
    <row r="211" spans="2:5" x14ac:dyDescent="0.2">
      <c r="B211" s="6" t="s">
        <v>1956</v>
      </c>
      <c r="C211" s="6" t="s">
        <v>1573</v>
      </c>
      <c r="D211" s="28" t="str">
        <f>IF(INICIAL[[#This Row],[CODIGO]]="", "", VLOOKUP(INICIAL[[#This Row],[CODIGO]], PRODUCTOS[#All], 2, FALSE))</f>
        <v xml:space="preserve">Tuerca 9mm </v>
      </c>
      <c r="E211" s="56">
        <v>3</v>
      </c>
    </row>
    <row r="212" spans="2:5" x14ac:dyDescent="0.2">
      <c r="B212" s="6" t="s">
        <v>1956</v>
      </c>
      <c r="C212" s="6" t="s">
        <v>1555</v>
      </c>
      <c r="D212" s="28" t="str">
        <f>IF(INICIAL[[#This Row],[CODIGO]]="", "", VLOOKUP(INICIAL[[#This Row],[CODIGO]], PRODUCTOS[#All], 2, FALSE))</f>
        <v>Tuerca 9/16"</v>
      </c>
      <c r="E212" s="56">
        <v>1</v>
      </c>
    </row>
    <row r="213" spans="2:5" x14ac:dyDescent="0.2">
      <c r="B213" s="6" t="s">
        <v>1956</v>
      </c>
      <c r="C213" s="6" t="s">
        <v>1553</v>
      </c>
      <c r="D213" s="28" t="str">
        <f>IF(INICIAL[[#This Row],[CODIGO]]="", "", VLOOKUP(INICIAL[[#This Row],[CODIGO]], PRODUCTOS[#All], 2, FALSE))</f>
        <v>Tuerca 7/16"</v>
      </c>
      <c r="E213" s="56">
        <v>2</v>
      </c>
    </row>
    <row r="214" spans="2:5" x14ac:dyDescent="0.2">
      <c r="B214" s="6" t="s">
        <v>1956</v>
      </c>
      <c r="C214" s="6" t="s">
        <v>1575</v>
      </c>
      <c r="D214" s="28" t="str">
        <f>IF(INICIAL[[#This Row],[CODIGO]]="", "", VLOOKUP(INICIAL[[#This Row],[CODIGO]], PRODUCTOS[#All], 2, FALSE))</f>
        <v>Tuerca 6mm</v>
      </c>
      <c r="E214" s="56">
        <v>9</v>
      </c>
    </row>
    <row r="215" spans="2:5" x14ac:dyDescent="0.2">
      <c r="B215" s="6" t="s">
        <v>1956</v>
      </c>
      <c r="C215" s="6" t="s">
        <v>1551</v>
      </c>
      <c r="D215" s="28" t="str">
        <f>IF(INICIAL[[#This Row],[CODIGO]]="", "", VLOOKUP(INICIAL[[#This Row],[CODIGO]], PRODUCTOS[#All], 2, FALSE))</f>
        <v>Tuerca 5/8"</v>
      </c>
      <c r="E215" s="56">
        <v>10</v>
      </c>
    </row>
    <row r="216" spans="2:5" x14ac:dyDescent="0.2">
      <c r="B216" s="6" t="s">
        <v>1956</v>
      </c>
      <c r="C216" s="6" t="s">
        <v>1561</v>
      </c>
      <c r="D216" s="28" t="str">
        <f>IF(INICIAL[[#This Row],[CODIGO]]="", "", VLOOKUP(INICIAL[[#This Row],[CODIGO]], PRODUCTOS[#All], 2, FALSE))</f>
        <v>Tuerca 5/3"</v>
      </c>
      <c r="E216" s="56">
        <v>1</v>
      </c>
    </row>
    <row r="217" spans="2:5" x14ac:dyDescent="0.2">
      <c r="B217" s="6" t="s">
        <v>1956</v>
      </c>
      <c r="C217" s="6" t="s">
        <v>1563</v>
      </c>
      <c r="D217" s="28" t="str">
        <f>IF(INICIAL[[#This Row],[CODIGO]]="", "", VLOOKUP(INICIAL[[#This Row],[CODIGO]], PRODUCTOS[#All], 2, FALSE))</f>
        <v>Tuerca 5/16"</v>
      </c>
      <c r="E217" s="56">
        <v>56</v>
      </c>
    </row>
    <row r="218" spans="2:5" x14ac:dyDescent="0.2">
      <c r="B218" s="6" t="s">
        <v>1956</v>
      </c>
      <c r="C218" s="6" t="s">
        <v>1557</v>
      </c>
      <c r="D218" s="28" t="str">
        <f>IF(INICIAL[[#This Row],[CODIGO]]="", "", VLOOKUP(INICIAL[[#This Row],[CODIGO]], PRODUCTOS[#All], 2, FALSE))</f>
        <v>Tuerca 3/8"</v>
      </c>
      <c r="E218" s="56">
        <v>10</v>
      </c>
    </row>
    <row r="219" spans="2:5" x14ac:dyDescent="0.2">
      <c r="B219" s="6" t="s">
        <v>1956</v>
      </c>
      <c r="C219" s="6" t="s">
        <v>1559</v>
      </c>
      <c r="D219" s="28" t="str">
        <f>IF(INICIAL[[#This Row],[CODIGO]]="", "", VLOOKUP(INICIAL[[#This Row],[CODIGO]], PRODUCTOS[#All], 2, FALSE))</f>
        <v>Tuerca 3/4"</v>
      </c>
      <c r="E219" s="56">
        <v>41</v>
      </c>
    </row>
    <row r="220" spans="2:5" x14ac:dyDescent="0.2">
      <c r="B220" s="6" t="s">
        <v>1956</v>
      </c>
      <c r="C220" s="6" t="s">
        <v>1569</v>
      </c>
      <c r="D220" s="28" t="str">
        <f>IF(INICIAL[[#This Row],[CODIGO]]="", "", VLOOKUP(INICIAL[[#This Row],[CODIGO]], PRODUCTOS[#All], 2, FALSE))</f>
        <v>Tuerca 14mm</v>
      </c>
      <c r="E220" s="56">
        <v>29</v>
      </c>
    </row>
    <row r="221" spans="2:5" x14ac:dyDescent="0.2">
      <c r="B221" s="6" t="s">
        <v>1956</v>
      </c>
      <c r="C221" s="6" t="s">
        <v>1567</v>
      </c>
      <c r="D221" s="28" t="str">
        <f>IF(INICIAL[[#This Row],[CODIGO]]="", "", VLOOKUP(INICIAL[[#This Row],[CODIGO]], PRODUCTOS[#All], 2, FALSE))</f>
        <v>Tuerca 1/4"</v>
      </c>
      <c r="E221" s="56">
        <v>3</v>
      </c>
    </row>
    <row r="222" spans="2:5" x14ac:dyDescent="0.2">
      <c r="B222" s="6" t="s">
        <v>1956</v>
      </c>
      <c r="C222" s="6" t="s">
        <v>1565</v>
      </c>
      <c r="D222" s="28" t="str">
        <f>IF(INICIAL[[#This Row],[CODIGO]]="", "", VLOOKUP(INICIAL[[#This Row],[CODIGO]], PRODUCTOS[#All], 2, FALSE))</f>
        <v>Tuerca 1/2"</v>
      </c>
      <c r="E222" s="56">
        <v>8</v>
      </c>
    </row>
    <row r="223" spans="2:5" x14ac:dyDescent="0.2">
      <c r="B223" s="6" t="s">
        <v>1956</v>
      </c>
      <c r="C223" s="6" t="s">
        <v>1571</v>
      </c>
      <c r="D223" s="28" t="str">
        <f>IF(INICIAL[[#This Row],[CODIGO]]="", "", VLOOKUP(INICIAL[[#This Row],[CODIGO]], PRODUCTOS[#All], 2, FALSE))</f>
        <v>Tuerca 10mm</v>
      </c>
      <c r="E223" s="56">
        <v>10</v>
      </c>
    </row>
    <row r="224" spans="2:5" x14ac:dyDescent="0.2">
      <c r="B224" s="6" t="s">
        <v>1956</v>
      </c>
      <c r="C224" s="6" t="s">
        <v>1545</v>
      </c>
      <c r="D224" s="28" t="str">
        <f>IF(INICIAL[[#This Row],[CODIGO]]="", "", VLOOKUP(INICIAL[[#This Row],[CODIGO]], PRODUCTOS[#All], 2, FALSE))</f>
        <v>Tornillo socket 7/16 x 3/4</v>
      </c>
      <c r="E224" s="56">
        <v>1</v>
      </c>
    </row>
    <row r="225" spans="2:5" x14ac:dyDescent="0.2">
      <c r="B225" s="6" t="s">
        <v>1956</v>
      </c>
      <c r="C225" s="6" t="s">
        <v>1541</v>
      </c>
      <c r="D225" s="28" t="str">
        <f>IF(INICIAL[[#This Row],[CODIGO]]="", "", VLOOKUP(INICIAL[[#This Row],[CODIGO]], PRODUCTOS[#All], 2, FALSE))</f>
        <v>Tornillo socket 7/16 x 3"</v>
      </c>
      <c r="E225" s="56">
        <v>1</v>
      </c>
    </row>
    <row r="226" spans="2:5" x14ac:dyDescent="0.2">
      <c r="B226" s="6" t="s">
        <v>1956</v>
      </c>
      <c r="C226" s="6" t="s">
        <v>1539</v>
      </c>
      <c r="D226" s="28" t="str">
        <f>IF(INICIAL[[#This Row],[CODIGO]]="", "", VLOOKUP(INICIAL[[#This Row],[CODIGO]], PRODUCTOS[#All], 2, FALSE))</f>
        <v>Tornillo socket 5/16 x 5/8</v>
      </c>
      <c r="E226" s="56">
        <v>1</v>
      </c>
    </row>
    <row r="227" spans="2:5" x14ac:dyDescent="0.2">
      <c r="B227" s="6" t="s">
        <v>1956</v>
      </c>
      <c r="C227" s="6" t="s">
        <v>1547</v>
      </c>
      <c r="D227" s="28" t="str">
        <f>IF(INICIAL[[#This Row],[CODIGO]]="", "", VLOOKUP(INICIAL[[#This Row],[CODIGO]], PRODUCTOS[#All], 2, FALSE))</f>
        <v>Tornillo socket 5/16 x 2 1/2"</v>
      </c>
      <c r="E227" s="56">
        <v>1</v>
      </c>
    </row>
    <row r="228" spans="2:5" x14ac:dyDescent="0.2">
      <c r="B228" s="6" t="s">
        <v>1956</v>
      </c>
      <c r="C228" s="6" t="s">
        <v>1549</v>
      </c>
      <c r="D228" s="28" t="str">
        <f>IF(INICIAL[[#This Row],[CODIGO]]="", "", VLOOKUP(INICIAL[[#This Row],[CODIGO]], PRODUCTOS[#All], 2, FALSE))</f>
        <v>Tornillo socket 5/16 x 1 1/2"</v>
      </c>
      <c r="E228" s="56">
        <v>3</v>
      </c>
    </row>
    <row r="229" spans="2:5" x14ac:dyDescent="0.2">
      <c r="B229" s="6" t="s">
        <v>1956</v>
      </c>
      <c r="C229" s="6" t="s">
        <v>1537</v>
      </c>
      <c r="D229" s="28" t="str">
        <f>IF(INICIAL[[#This Row],[CODIGO]]="", "", VLOOKUP(INICIAL[[#This Row],[CODIGO]], PRODUCTOS[#All], 2, FALSE))</f>
        <v>Tornillo socket 12mm x 45mm</v>
      </c>
      <c r="E229" s="56">
        <v>3</v>
      </c>
    </row>
    <row r="230" spans="2:5" x14ac:dyDescent="0.2">
      <c r="B230" s="6" t="s">
        <v>1956</v>
      </c>
      <c r="C230" s="6" t="s">
        <v>1543</v>
      </c>
      <c r="D230" s="28" t="str">
        <f>IF(INICIAL[[#This Row],[CODIGO]]="", "", VLOOKUP(INICIAL[[#This Row],[CODIGO]], PRODUCTOS[#All], 2, FALSE))</f>
        <v>Tornillo socket 1/2 x 3"</v>
      </c>
      <c r="E230" s="56">
        <v>1</v>
      </c>
    </row>
    <row r="231" spans="2:5" x14ac:dyDescent="0.2">
      <c r="B231" s="6" t="s">
        <v>1956</v>
      </c>
      <c r="C231" s="6" t="s">
        <v>1846</v>
      </c>
      <c r="D231" s="28" t="str">
        <f>IF(INICIAL[[#This Row],[CODIGO]]="", "", VLOOKUP(INICIAL[[#This Row],[CODIGO]], PRODUCTOS[#All], 2, FALSE))</f>
        <v>Tornillo para aislador (con juego de 36pz)</v>
      </c>
      <c r="E231" s="56">
        <v>1</v>
      </c>
    </row>
    <row r="232" spans="2:5" x14ac:dyDescent="0.2">
      <c r="B232" s="6" t="s">
        <v>1956</v>
      </c>
      <c r="C232" s="6" t="s">
        <v>1489</v>
      </c>
      <c r="D232" s="28" t="str">
        <f>IF(INICIAL[[#This Row],[CODIGO]]="", "", VLOOKUP(INICIAL[[#This Row],[CODIGO]], PRODUCTOS[#All], 2, FALSE))</f>
        <v>Tornillo 7/16 x 3/4</v>
      </c>
      <c r="E232" s="56">
        <v>1</v>
      </c>
    </row>
    <row r="233" spans="2:5" x14ac:dyDescent="0.2">
      <c r="B233" s="6" t="s">
        <v>1956</v>
      </c>
      <c r="C233" s="6" t="s">
        <v>1505</v>
      </c>
      <c r="D233" s="28" t="str">
        <f>IF(INICIAL[[#This Row],[CODIGO]]="", "", VLOOKUP(INICIAL[[#This Row],[CODIGO]], PRODUCTOS[#All], 2, FALSE))</f>
        <v>Tornillo 7/16 x 3 1/2"</v>
      </c>
      <c r="E233" s="56">
        <v>1</v>
      </c>
    </row>
    <row r="234" spans="2:5" x14ac:dyDescent="0.2">
      <c r="B234" s="6" t="s">
        <v>1956</v>
      </c>
      <c r="C234" s="6" t="s">
        <v>1525</v>
      </c>
      <c r="D234" s="28" t="str">
        <f>IF(INICIAL[[#This Row],[CODIGO]]="", "", VLOOKUP(INICIAL[[#This Row],[CODIGO]], PRODUCTOS[#All], 2, FALSE))</f>
        <v>Tornillo 7/16 x 3"</v>
      </c>
      <c r="E234" s="56">
        <v>1</v>
      </c>
    </row>
    <row r="235" spans="2:5" x14ac:dyDescent="0.2">
      <c r="B235" s="6" t="s">
        <v>1956</v>
      </c>
      <c r="C235" s="6" t="s">
        <v>1523</v>
      </c>
      <c r="D235" s="28" t="str">
        <f>IF(INICIAL[[#This Row],[CODIGO]]="", "", VLOOKUP(INICIAL[[#This Row],[CODIGO]], PRODUCTOS[#All], 2, FALSE))</f>
        <v>Tornillo 7/16 x 2 1/2"</v>
      </c>
      <c r="E235" s="56">
        <v>1</v>
      </c>
    </row>
    <row r="236" spans="2:5" x14ac:dyDescent="0.2">
      <c r="B236" s="6" t="s">
        <v>1956</v>
      </c>
      <c r="C236" s="6" t="s">
        <v>1523</v>
      </c>
      <c r="D236" s="28" t="str">
        <f>IF(INICIAL[[#This Row],[CODIGO]]="", "", VLOOKUP(INICIAL[[#This Row],[CODIGO]], PRODUCTOS[#All], 2, FALSE))</f>
        <v>Tornillo 7/16 x 2 1/2"</v>
      </c>
      <c r="E236" s="56">
        <v>6</v>
      </c>
    </row>
    <row r="237" spans="2:5" x14ac:dyDescent="0.2">
      <c r="B237" s="6" t="s">
        <v>1956</v>
      </c>
      <c r="C237" s="6" t="s">
        <v>1497</v>
      </c>
      <c r="D237" s="28" t="str">
        <f>IF(INICIAL[[#This Row],[CODIGO]]="", "", VLOOKUP(INICIAL[[#This Row],[CODIGO]], PRODUCTOS[#All], 2, FALSE))</f>
        <v>Tornillo 7/16 x 2"</v>
      </c>
      <c r="E237" s="56">
        <v>4</v>
      </c>
    </row>
    <row r="238" spans="2:5" x14ac:dyDescent="0.2">
      <c r="B238" s="6" t="s">
        <v>1956</v>
      </c>
      <c r="C238" s="6" t="s">
        <v>1495</v>
      </c>
      <c r="D238" s="28" t="str">
        <f>IF(INICIAL[[#This Row],[CODIGO]]="", "", VLOOKUP(INICIAL[[#This Row],[CODIGO]], PRODUCTOS[#All], 2, FALSE))</f>
        <v>Tornillo 7/16 x 1 3/4"</v>
      </c>
      <c r="E238" s="56">
        <v>1</v>
      </c>
    </row>
    <row r="239" spans="2:5" x14ac:dyDescent="0.2">
      <c r="B239" s="6" t="s">
        <v>1956</v>
      </c>
      <c r="C239" s="6" t="s">
        <v>1493</v>
      </c>
      <c r="D239" s="28" t="str">
        <f>IF(INICIAL[[#This Row],[CODIGO]]="", "", VLOOKUP(INICIAL[[#This Row],[CODIGO]], PRODUCTOS[#All], 2, FALSE))</f>
        <v>Tornillo 7/16 x 1 1/2"</v>
      </c>
      <c r="E239" s="56">
        <v>6</v>
      </c>
    </row>
    <row r="240" spans="2:5" x14ac:dyDescent="0.2">
      <c r="B240" s="6" t="s">
        <v>1956</v>
      </c>
      <c r="C240" s="6" t="s">
        <v>1491</v>
      </c>
      <c r="D240" s="28" t="str">
        <f>IF(INICIAL[[#This Row],[CODIGO]]="", "", VLOOKUP(INICIAL[[#This Row],[CODIGO]], PRODUCTOS[#All], 2, FALSE))</f>
        <v>Tornillo 7/16 x 1"</v>
      </c>
      <c r="E240" s="56">
        <v>3</v>
      </c>
    </row>
    <row r="241" spans="2:5" x14ac:dyDescent="0.2">
      <c r="B241" s="6" t="s">
        <v>1956</v>
      </c>
      <c r="C241" s="6" t="s">
        <v>1511</v>
      </c>
      <c r="D241" s="28" t="str">
        <f>IF(INICIAL[[#This Row],[CODIGO]]="", "", VLOOKUP(INICIAL[[#This Row],[CODIGO]], PRODUCTOS[#All], 2, FALSE))</f>
        <v>Tornillo 5/3 x 4"</v>
      </c>
      <c r="E241" s="56">
        <v>2</v>
      </c>
    </row>
    <row r="242" spans="2:5" x14ac:dyDescent="0.2">
      <c r="B242" s="6" t="s">
        <v>1956</v>
      </c>
      <c r="C242" s="6" t="s">
        <v>1479</v>
      </c>
      <c r="D242" s="28" t="str">
        <f>IF(INICIAL[[#This Row],[CODIGO]]="", "", VLOOKUP(INICIAL[[#This Row],[CODIGO]], PRODUCTOS[#All], 2, FALSE))</f>
        <v>Tornillo 5/3 x 2 1/2"</v>
      </c>
      <c r="E242" s="56">
        <v>13</v>
      </c>
    </row>
    <row r="243" spans="2:5" x14ac:dyDescent="0.2">
      <c r="B243" s="6" t="s">
        <v>1956</v>
      </c>
      <c r="C243" s="6" t="s">
        <v>1507</v>
      </c>
      <c r="D243" s="28" t="str">
        <f>IF(INICIAL[[#This Row],[CODIGO]]="", "", VLOOKUP(INICIAL[[#This Row],[CODIGO]], PRODUCTOS[#All], 2, FALSE))</f>
        <v>Tornillo 5/3 x 2"</v>
      </c>
      <c r="E243" s="56">
        <v>1</v>
      </c>
    </row>
    <row r="244" spans="2:5" x14ac:dyDescent="0.2">
      <c r="B244" s="6" t="s">
        <v>1956</v>
      </c>
      <c r="C244" s="6" t="s">
        <v>1513</v>
      </c>
      <c r="D244" s="28" t="str">
        <f>IF(INICIAL[[#This Row],[CODIGO]]="", "", VLOOKUP(INICIAL[[#This Row],[CODIGO]], PRODUCTOS[#All], 2, FALSE))</f>
        <v>Tornillo 5/3 x 1 1/2"</v>
      </c>
      <c r="E244" s="56">
        <v>1</v>
      </c>
    </row>
    <row r="245" spans="2:5" x14ac:dyDescent="0.2">
      <c r="B245" s="6" t="s">
        <v>1956</v>
      </c>
      <c r="C245" s="6" t="s">
        <v>1521</v>
      </c>
      <c r="D245" s="28" t="str">
        <f>IF(INICIAL[[#This Row],[CODIGO]]="", "", VLOOKUP(INICIAL[[#This Row],[CODIGO]], PRODUCTOS[#All], 2, FALSE))</f>
        <v xml:space="preserve">Tornillo 5/16 x 1" </v>
      </c>
      <c r="E245" s="56">
        <v>1</v>
      </c>
    </row>
    <row r="246" spans="2:5" x14ac:dyDescent="0.2">
      <c r="B246" s="6" t="s">
        <v>1956</v>
      </c>
      <c r="C246" s="6" t="s">
        <v>1509</v>
      </c>
      <c r="D246" s="28" t="str">
        <f>IF(INICIAL[[#This Row],[CODIGO]]="", "", VLOOKUP(INICIAL[[#This Row],[CODIGO]], PRODUCTOS[#All], 2, FALSE))</f>
        <v xml:space="preserve">Tornillo 4mm x 100mm </v>
      </c>
      <c r="E246" s="56">
        <v>2</v>
      </c>
    </row>
    <row r="247" spans="2:5" x14ac:dyDescent="0.2">
      <c r="B247" s="6" t="s">
        <v>1956</v>
      </c>
      <c r="C247" s="6" t="s">
        <v>1499</v>
      </c>
      <c r="D247" s="28" t="str">
        <f>IF(INICIAL[[#This Row],[CODIGO]]="", "", VLOOKUP(INICIAL[[#This Row],[CODIGO]], PRODUCTOS[#All], 2, FALSE))</f>
        <v>Tornillo 3/8 x 3/4</v>
      </c>
      <c r="E247" s="56">
        <v>4</v>
      </c>
    </row>
    <row r="248" spans="2:5" x14ac:dyDescent="0.2">
      <c r="B248" s="6" t="s">
        <v>1956</v>
      </c>
      <c r="C248" s="6" t="s">
        <v>1535</v>
      </c>
      <c r="D248" s="28" t="str">
        <f>IF(INICIAL[[#This Row],[CODIGO]]="", "", VLOOKUP(INICIAL[[#This Row],[CODIGO]], PRODUCTOS[#All], 2, FALSE))</f>
        <v>Tornillo 3/8 x 2 1/2"</v>
      </c>
      <c r="E248" s="56">
        <v>1</v>
      </c>
    </row>
    <row r="249" spans="2:5" x14ac:dyDescent="0.2">
      <c r="B249" s="6" t="s">
        <v>1956</v>
      </c>
      <c r="C249" s="6" t="s">
        <v>1531</v>
      </c>
      <c r="D249" s="28" t="str">
        <f>IF(INICIAL[[#This Row],[CODIGO]]="", "", VLOOKUP(INICIAL[[#This Row],[CODIGO]], PRODUCTOS[#All], 2, FALSE))</f>
        <v>Tornillo 3/8 x 2"</v>
      </c>
      <c r="E249" s="56">
        <v>1</v>
      </c>
    </row>
    <row r="250" spans="2:5" x14ac:dyDescent="0.2">
      <c r="B250" s="6" t="s">
        <v>1956</v>
      </c>
      <c r="C250" s="6" t="s">
        <v>1503</v>
      </c>
      <c r="D250" s="28" t="str">
        <f>IF(INICIAL[[#This Row],[CODIGO]]="", "", VLOOKUP(INICIAL[[#This Row],[CODIGO]], PRODUCTOS[#All], 2, FALSE))</f>
        <v>Tronillo 3/8 x 1 1/2"</v>
      </c>
      <c r="E250" s="56">
        <v>12</v>
      </c>
    </row>
    <row r="251" spans="2:5" x14ac:dyDescent="0.2">
      <c r="B251" s="6" t="s">
        <v>1956</v>
      </c>
      <c r="C251" s="6" t="s">
        <v>1501</v>
      </c>
      <c r="D251" s="28" t="str">
        <f>IF(INICIAL[[#This Row],[CODIGO]]="", "", VLOOKUP(INICIAL[[#This Row],[CODIGO]], PRODUCTOS[#All], 2, FALSE))</f>
        <v>Tornillo 3/8 x 1"</v>
      </c>
      <c r="E251" s="56">
        <v>7</v>
      </c>
    </row>
    <row r="252" spans="2:5" x14ac:dyDescent="0.2">
      <c r="B252" s="6" t="s">
        <v>1956</v>
      </c>
      <c r="C252" s="6" t="s">
        <v>1519</v>
      </c>
      <c r="D252" s="28" t="str">
        <f>IF(INICIAL[[#This Row],[CODIGO]]="", "", VLOOKUP(INICIAL[[#This Row],[CODIGO]], PRODUCTOS[#All], 2, FALSE))</f>
        <v>Tornillo 3/4 x 5/8"</v>
      </c>
      <c r="E252" s="56">
        <v>1</v>
      </c>
    </row>
    <row r="253" spans="2:5" x14ac:dyDescent="0.2">
      <c r="B253" s="6" t="s">
        <v>1956</v>
      </c>
      <c r="C253" s="6" t="s">
        <v>1515</v>
      </c>
      <c r="D253" s="28" t="str">
        <f>IF(INICIAL[[#This Row],[CODIGO]]="", "", VLOOKUP(INICIAL[[#This Row],[CODIGO]], PRODUCTOS[#All], 2, FALSE))</f>
        <v>Tornillo 3/4 x 4 1/2"</v>
      </c>
      <c r="E253" s="56">
        <v>2</v>
      </c>
    </row>
    <row r="254" spans="2:5" x14ac:dyDescent="0.2">
      <c r="B254" s="6" t="s">
        <v>1956</v>
      </c>
      <c r="C254" s="6" t="s">
        <v>1517</v>
      </c>
      <c r="D254" s="28" t="str">
        <f>IF(INICIAL[[#This Row],[CODIGO]]="", "", VLOOKUP(INICIAL[[#This Row],[CODIGO]], PRODUCTOS[#All], 2, FALSE))</f>
        <v>Tornillo 3/4 x 3 1/2"</v>
      </c>
      <c r="E254" s="56">
        <v>17</v>
      </c>
    </row>
    <row r="255" spans="2:5" x14ac:dyDescent="0.2">
      <c r="B255" s="6" t="s">
        <v>1956</v>
      </c>
      <c r="C255" s="6" t="s">
        <v>1481</v>
      </c>
      <c r="D255" s="28" t="str">
        <f>IF(INICIAL[[#This Row],[CODIGO]]="", "", VLOOKUP(INICIAL[[#This Row],[CODIGO]], PRODUCTOS[#All], 2, FALSE))</f>
        <v xml:space="preserve">Tronillo 5/3 x 3" </v>
      </c>
      <c r="E255" s="56">
        <v>2</v>
      </c>
    </row>
    <row r="256" spans="2:5" x14ac:dyDescent="0.2">
      <c r="B256" s="6" t="s">
        <v>1956</v>
      </c>
      <c r="C256" s="6" t="s">
        <v>1533</v>
      </c>
      <c r="D256" s="28" t="str">
        <f>IF(INICIAL[[#This Row],[CODIGO]]="", "", VLOOKUP(INICIAL[[#This Row],[CODIGO]], PRODUCTOS[#All], 2, FALSE))</f>
        <v>Tornillo 1/4" x 4 3/4"</v>
      </c>
      <c r="E256" s="56">
        <v>3</v>
      </c>
    </row>
    <row r="257" spans="2:5" x14ac:dyDescent="0.2">
      <c r="B257" s="6" t="s">
        <v>1956</v>
      </c>
      <c r="C257" s="6" t="s">
        <v>1483</v>
      </c>
      <c r="D257" s="28" t="str">
        <f>IF(INICIAL[[#This Row],[CODIGO]]="", "", VLOOKUP(INICIAL[[#This Row],[CODIGO]], PRODUCTOS[#All], 2, FALSE))</f>
        <v>Tornillo 1/2 x 2 1/2"</v>
      </c>
      <c r="E257" s="56">
        <v>10</v>
      </c>
    </row>
    <row r="258" spans="2:5" x14ac:dyDescent="0.2">
      <c r="B258" s="6" t="s">
        <v>1956</v>
      </c>
      <c r="C258" s="6" t="s">
        <v>1485</v>
      </c>
      <c r="D258" s="28" t="str">
        <f>IF(INICIAL[[#This Row],[CODIGO]]="", "", VLOOKUP(INICIAL[[#This Row],[CODIGO]], PRODUCTOS[#All], 2, FALSE))</f>
        <v>Tornillo 1/2 x 2"</v>
      </c>
      <c r="E258" s="56">
        <v>1</v>
      </c>
    </row>
    <row r="259" spans="2:5" x14ac:dyDescent="0.2">
      <c r="B259" s="6" t="s">
        <v>1956</v>
      </c>
      <c r="C259" s="6" t="s">
        <v>1485</v>
      </c>
      <c r="D259" s="28" t="str">
        <f>IF(INICIAL[[#This Row],[CODIGO]]="", "", VLOOKUP(INICIAL[[#This Row],[CODIGO]], PRODUCTOS[#All], 2, FALSE))</f>
        <v>Tornillo 1/2 x 2"</v>
      </c>
      <c r="E259" s="56">
        <v>5</v>
      </c>
    </row>
    <row r="260" spans="2:5" x14ac:dyDescent="0.2">
      <c r="B260" s="6" t="s">
        <v>1956</v>
      </c>
      <c r="C260" s="6" t="s">
        <v>1487</v>
      </c>
      <c r="D260" s="28" t="str">
        <f>IF(INICIAL[[#This Row],[CODIGO]]="", "", VLOOKUP(INICIAL[[#This Row],[CODIGO]], PRODUCTOS[#All], 2, FALSE))</f>
        <v>Tornillo 1/2 x 1 3/8"</v>
      </c>
      <c r="E260" s="56">
        <v>5</v>
      </c>
    </row>
    <row r="261" spans="2:5" x14ac:dyDescent="0.2">
      <c r="B261" s="6" t="s">
        <v>1956</v>
      </c>
      <c r="C261" s="6" t="s">
        <v>1527</v>
      </c>
      <c r="D261" s="28" t="str">
        <f>IF(INICIAL[[#This Row],[CODIGO]]="", "", VLOOKUP(INICIAL[[#This Row],[CODIGO]], PRODUCTOS[#All], 2, FALSE))</f>
        <v>Tronillo 1/2 x 1 1/2"</v>
      </c>
      <c r="E261" s="56">
        <v>1</v>
      </c>
    </row>
    <row r="262" spans="2:5" x14ac:dyDescent="0.2">
      <c r="B262" s="6" t="s">
        <v>1956</v>
      </c>
      <c r="C262" s="6" t="s">
        <v>1529</v>
      </c>
      <c r="D262" s="28" t="str">
        <f>IF(INICIAL[[#This Row],[CODIGO]]="", "", VLOOKUP(INICIAL[[#This Row],[CODIGO]], PRODUCTOS[#All], 2, FALSE))</f>
        <v>Tornillo 10mm</v>
      </c>
      <c r="E262" s="56">
        <v>3</v>
      </c>
    </row>
    <row r="263" spans="2:5" x14ac:dyDescent="0.2">
      <c r="B263" s="6" t="s">
        <v>1956</v>
      </c>
      <c r="C263" s="6" t="s">
        <v>1692</v>
      </c>
      <c r="D263" s="28" t="str">
        <f>IF(INICIAL[[#This Row],[CODIGO]]="", "", VLOOKUP(INICIAL[[#This Row],[CODIGO]], PRODUCTOS[#All], 2, FALSE))</f>
        <v>Tiner 4lts</v>
      </c>
      <c r="E263" s="56">
        <v>1</v>
      </c>
    </row>
    <row r="264" spans="2:5" x14ac:dyDescent="0.2">
      <c r="B264" s="6" t="s">
        <v>1956</v>
      </c>
      <c r="C264" s="6" t="s">
        <v>1948</v>
      </c>
      <c r="D264" s="28" t="str">
        <f>IF(INICIAL[[#This Row],[CODIGO]]="", "", VLOOKUP(INICIAL[[#This Row],[CODIGO]], PRODUCTOS[#All], 2, FALSE))</f>
        <v>Taquete mariposa 1/8 (incompletos)</v>
      </c>
      <c r="E264" s="56">
        <v>3</v>
      </c>
    </row>
    <row r="265" spans="2:5" x14ac:dyDescent="0.2">
      <c r="B265" s="6" t="s">
        <v>1956</v>
      </c>
      <c r="C265" s="6" t="s">
        <v>1950</v>
      </c>
      <c r="D265" s="28" t="str">
        <f>IF(INICIAL[[#This Row],[CODIGO]]="", "", VLOOKUP(INICIAL[[#This Row],[CODIGO]], PRODUCTOS[#All], 2, FALSE))</f>
        <v>Taquete mariposa 1/2 (incompletos)</v>
      </c>
      <c r="E265" s="56">
        <v>1</v>
      </c>
    </row>
    <row r="266" spans="2:5" x14ac:dyDescent="0.2">
      <c r="B266" s="6" t="s">
        <v>1956</v>
      </c>
      <c r="C266" s="6" t="s">
        <v>1652</v>
      </c>
      <c r="D266" s="28" t="str">
        <f>IF(INICIAL[[#This Row],[CODIGO]]="", "", VLOOKUP(INICIAL[[#This Row],[CODIGO]], PRODUCTOS[#All], 2, FALSE))</f>
        <v>Taquetes 6mm x 45mm</v>
      </c>
      <c r="E266" s="56">
        <v>38</v>
      </c>
    </row>
    <row r="267" spans="2:5" x14ac:dyDescent="0.2">
      <c r="B267" s="6" t="s">
        <v>1956</v>
      </c>
      <c r="C267" s="6" t="s">
        <v>1946</v>
      </c>
      <c r="D267" s="28" t="str">
        <f>IF(INICIAL[[#This Row],[CODIGO]]="", "", VLOOKUP(INICIAL[[#This Row],[CODIGO]], PRODUCTOS[#All], 2, FALSE))</f>
        <v>Taquete mariposa 3/16 (completos)</v>
      </c>
      <c r="E267" s="56">
        <v>9</v>
      </c>
    </row>
    <row r="268" spans="2:5" x14ac:dyDescent="0.2">
      <c r="B268" s="6" t="s">
        <v>1956</v>
      </c>
      <c r="C268" s="6" t="s">
        <v>1906</v>
      </c>
      <c r="D268" s="28" t="str">
        <f>IF(INICIAL[[#This Row],[CODIGO]]="", "", VLOOKUP(INICIAL[[#This Row],[CODIGO]], PRODUCTOS[#All], 2, FALSE))</f>
        <v xml:space="preserve">Soporte tipo l tornillo t montaje de riel panel </v>
      </c>
      <c r="E268" s="56">
        <v>4</v>
      </c>
    </row>
    <row r="269" spans="2:5" x14ac:dyDescent="0.2">
      <c r="B269" s="6" t="s">
        <v>1956</v>
      </c>
      <c r="C269" s="6" t="s">
        <v>1908</v>
      </c>
      <c r="D269" s="28" t="str">
        <f>IF(INICIAL[[#This Row],[CODIGO]]="", "", VLOOKUP(INICIAL[[#This Row],[CODIGO]], PRODUCTOS[#All], 2, FALSE))</f>
        <v xml:space="preserve">Soporte tipo L </v>
      </c>
      <c r="E269" s="56">
        <v>21</v>
      </c>
    </row>
    <row r="270" spans="2:5" x14ac:dyDescent="0.2">
      <c r="B270" s="6" t="s">
        <v>1956</v>
      </c>
      <c r="C270" s="6" t="s">
        <v>1896</v>
      </c>
      <c r="D270" s="28" t="str">
        <f>IF(INICIAL[[#This Row],[CODIGO]]="", "", VLOOKUP(INICIAL[[#This Row],[CODIGO]], PRODUCTOS[#All], 2, FALSE))</f>
        <v>Soporte estructura solar connera</v>
      </c>
      <c r="E270" s="56">
        <v>41</v>
      </c>
    </row>
    <row r="271" spans="2:5" x14ac:dyDescent="0.2">
      <c r="B271" s="6" t="s">
        <v>1956</v>
      </c>
      <c r="C271" s="6" t="s">
        <v>1834</v>
      </c>
      <c r="D271" s="28" t="str">
        <f>IF(INICIAL[[#This Row],[CODIGO]]="", "", VLOOKUP(INICIAL[[#This Row],[CODIGO]], PRODUCTOS[#All], 2, FALSE))</f>
        <v>Soporte de brazo 24" - 65"</v>
      </c>
      <c r="E271" s="56">
        <v>1</v>
      </c>
    </row>
    <row r="272" spans="2:5" x14ac:dyDescent="0.2">
      <c r="B272" s="6" t="s">
        <v>1956</v>
      </c>
      <c r="C272" s="6" t="s">
        <v>1732</v>
      </c>
      <c r="D272" s="28" t="str">
        <f>IF(INICIAL[[#This Row],[CODIGO]]="", "", VLOOKUP(INICIAL[[#This Row],[CODIGO]], PRODUCTOS[#All], 2, FALSE))</f>
        <v xml:space="preserve">Silicon </v>
      </c>
      <c r="E272" s="56">
        <v>1</v>
      </c>
    </row>
    <row r="273" spans="2:5" x14ac:dyDescent="0.2">
      <c r="B273" s="6" t="s">
        <v>1956</v>
      </c>
      <c r="C273" s="6" t="s">
        <v>1864</v>
      </c>
      <c r="D273" s="28" t="str">
        <f>IF(INICIAL[[#This Row],[CODIGO]]="", "", VLOOKUP(INICIAL[[#This Row],[CODIGO]], PRODUCTOS[#All], 2, FALSE))</f>
        <v>Sellado giratoria 8 - 410</v>
      </c>
      <c r="E273" s="56">
        <v>4</v>
      </c>
    </row>
    <row r="274" spans="2:5" x14ac:dyDescent="0.2">
      <c r="B274" s="6" t="s">
        <v>1956</v>
      </c>
      <c r="C274" s="6" t="s">
        <v>1611</v>
      </c>
      <c r="D274" s="28" t="str">
        <f>IF(INICIAL[[#This Row],[CODIGO]]="", "", VLOOKUP(INICIAL[[#This Row],[CODIGO]], PRODUCTOS[#All], 2, FALSE))</f>
        <v>Rondana de seguridad 9mm</v>
      </c>
      <c r="E274" s="56">
        <v>87</v>
      </c>
    </row>
    <row r="275" spans="2:5" x14ac:dyDescent="0.2">
      <c r="B275" s="6" t="s">
        <v>1956</v>
      </c>
      <c r="C275" s="6" t="s">
        <v>1617</v>
      </c>
      <c r="D275" s="28" t="str">
        <f>IF(INICIAL[[#This Row],[CODIGO]]="", "", VLOOKUP(INICIAL[[#This Row],[CODIGO]], PRODUCTOS[#All], 2, FALSE))</f>
        <v>Rondana de seguridad 8mm</v>
      </c>
      <c r="E275" s="56">
        <v>10</v>
      </c>
    </row>
    <row r="276" spans="2:5" x14ac:dyDescent="0.2">
      <c r="B276" s="6" t="s">
        <v>1956</v>
      </c>
      <c r="C276" s="6" t="s">
        <v>1607</v>
      </c>
      <c r="D276" s="28" t="str">
        <f>IF(INICIAL[[#This Row],[CODIGO]]="", "", VLOOKUP(INICIAL[[#This Row],[CODIGO]], PRODUCTOS[#All], 2, FALSE))</f>
        <v>Rondana de seguridad 20mm</v>
      </c>
      <c r="E276" s="56">
        <v>7</v>
      </c>
    </row>
    <row r="277" spans="2:5" x14ac:dyDescent="0.2">
      <c r="B277" s="6" t="s">
        <v>1956</v>
      </c>
      <c r="C277" s="6" t="s">
        <v>1615</v>
      </c>
      <c r="D277" s="28" t="str">
        <f>IF(INICIAL[[#This Row],[CODIGO]]="", "", VLOOKUP(INICIAL[[#This Row],[CODIGO]], PRODUCTOS[#All], 2, FALSE))</f>
        <v>Rondana de seguridad 16mm</v>
      </c>
      <c r="E277" s="56">
        <v>10</v>
      </c>
    </row>
    <row r="278" spans="2:5" x14ac:dyDescent="0.2">
      <c r="B278" s="6" t="s">
        <v>1956</v>
      </c>
      <c r="C278" s="6" t="s">
        <v>1613</v>
      </c>
      <c r="D278" s="28" t="str">
        <f>IF(INICIAL[[#This Row],[CODIGO]]="", "", VLOOKUP(INICIAL[[#This Row],[CODIGO]], PRODUCTOS[#All], 2, FALSE))</f>
        <v>Rondana de seguridad 13mm</v>
      </c>
      <c r="E278" s="56">
        <v>31</v>
      </c>
    </row>
    <row r="279" spans="2:5" x14ac:dyDescent="0.2">
      <c r="B279" s="6" t="s">
        <v>1956</v>
      </c>
      <c r="C279" s="6" t="s">
        <v>1609</v>
      </c>
      <c r="D279" s="28" t="str">
        <f>IF(INICIAL[[#This Row],[CODIGO]]="", "", VLOOKUP(INICIAL[[#This Row],[CODIGO]], PRODUCTOS[#All], 2, FALSE))</f>
        <v>Rondana de seguridad 10mm</v>
      </c>
      <c r="E279" s="56">
        <v>81</v>
      </c>
    </row>
    <row r="280" spans="2:5" x14ac:dyDescent="0.2">
      <c r="B280" s="6" t="s">
        <v>1956</v>
      </c>
      <c r="C280" s="6" t="s">
        <v>1623</v>
      </c>
      <c r="D280" s="28" t="str">
        <f>IF(INICIAL[[#This Row],[CODIGO]]="", "", VLOOKUP(INICIAL[[#This Row],[CODIGO]], PRODUCTOS[#All], 2, FALSE))</f>
        <v>Rondana Reforzada 1/2"</v>
      </c>
      <c r="E280" s="56">
        <v>21</v>
      </c>
    </row>
    <row r="281" spans="2:5" x14ac:dyDescent="0.2">
      <c r="B281" s="6" t="s">
        <v>1956</v>
      </c>
      <c r="C281" s="6" t="s">
        <v>1619</v>
      </c>
      <c r="D281" s="28" t="str">
        <f>IF(INICIAL[[#This Row],[CODIGO]]="", "", VLOOKUP(INICIAL[[#This Row],[CODIGO]], PRODUCTOS[#All], 2, FALSE))</f>
        <v>Rondana de presión 7/16</v>
      </c>
      <c r="E281" s="56">
        <v>8</v>
      </c>
    </row>
    <row r="282" spans="2:5" x14ac:dyDescent="0.2">
      <c r="B282" s="6" t="s">
        <v>1956</v>
      </c>
      <c r="C282" s="6" t="s">
        <v>1621</v>
      </c>
      <c r="D282" s="28" t="str">
        <f>IF(INICIAL[[#This Row],[CODIGO]]="", "", VLOOKUP(INICIAL[[#This Row],[CODIGO]], PRODUCTOS[#All], 2, FALSE))</f>
        <v>Rondana de presión 3/4</v>
      </c>
      <c r="E282" s="56">
        <v>23</v>
      </c>
    </row>
    <row r="283" spans="2:5" x14ac:dyDescent="0.2">
      <c r="B283" s="6" t="s">
        <v>1956</v>
      </c>
      <c r="C283" s="6" t="s">
        <v>1603</v>
      </c>
      <c r="D283" s="28" t="str">
        <f>IF(INICIAL[[#This Row],[CODIGO]]="", "", VLOOKUP(INICIAL[[#This Row],[CODIGO]], PRODUCTOS[#All], 2, FALSE))</f>
        <v>Rondana de bloqueo 3/8"</v>
      </c>
      <c r="E283" s="56">
        <v>17</v>
      </c>
    </row>
    <row r="284" spans="2:5" x14ac:dyDescent="0.2">
      <c r="B284" s="6" t="s">
        <v>1956</v>
      </c>
      <c r="C284" s="6" t="s">
        <v>1605</v>
      </c>
      <c r="D284" s="28" t="str">
        <f>IF(INICIAL[[#This Row],[CODIGO]]="", "", VLOOKUP(INICIAL[[#This Row],[CODIGO]], PRODUCTOS[#All], 2, FALSE))</f>
        <v>Rondana de bloqueo 13mm</v>
      </c>
      <c r="E284" s="56">
        <v>12</v>
      </c>
    </row>
    <row r="285" spans="2:5" x14ac:dyDescent="0.2">
      <c r="B285" s="6" t="s">
        <v>1956</v>
      </c>
      <c r="C285" s="6" t="s">
        <v>1581</v>
      </c>
      <c r="D285" s="28" t="str">
        <f>IF(INICIAL[[#This Row],[CODIGO]]="", "", VLOOKUP(INICIAL[[#This Row],[CODIGO]], PRODUCTOS[#All], 2, FALSE))</f>
        <v>Rondana 7/16"</v>
      </c>
      <c r="E285" s="56">
        <v>12</v>
      </c>
    </row>
    <row r="286" spans="2:5" x14ac:dyDescent="0.2">
      <c r="B286" s="6" t="s">
        <v>1956</v>
      </c>
      <c r="C286" s="6" t="s">
        <v>1589</v>
      </c>
      <c r="D286" s="28" t="str">
        <f>IF(INICIAL[[#This Row],[CODIGO]]="", "", VLOOKUP(INICIAL[[#This Row],[CODIGO]], PRODUCTOS[#All], 2, FALSE))</f>
        <v>Rondana 5/8"</v>
      </c>
      <c r="E286" s="56">
        <v>5</v>
      </c>
    </row>
    <row r="287" spans="2:5" x14ac:dyDescent="0.2">
      <c r="B287" s="6" t="s">
        <v>1956</v>
      </c>
      <c r="C287" s="6" t="s">
        <v>1585</v>
      </c>
      <c r="D287" s="28" t="str">
        <f>IF(INICIAL[[#This Row],[CODIGO]]="", "", VLOOKUP(INICIAL[[#This Row],[CODIGO]], PRODUCTOS[#All], 2, FALSE))</f>
        <v>Rondana 5/16"</v>
      </c>
      <c r="E287" s="56">
        <v>20</v>
      </c>
    </row>
    <row r="288" spans="2:5" x14ac:dyDescent="0.2">
      <c r="B288" s="6" t="s">
        <v>1956</v>
      </c>
      <c r="C288" s="6" t="s">
        <v>1587</v>
      </c>
      <c r="D288" s="28" t="str">
        <f>IF(INICIAL[[#This Row],[CODIGO]]="", "", VLOOKUP(INICIAL[[#This Row],[CODIGO]], PRODUCTOS[#All], 2, FALSE))</f>
        <v>Rondana 3/8"</v>
      </c>
      <c r="E288" s="56">
        <v>6</v>
      </c>
    </row>
    <row r="289" spans="2:5" x14ac:dyDescent="0.2">
      <c r="B289" s="6" t="s">
        <v>1956</v>
      </c>
      <c r="C289" s="6" t="s">
        <v>1591</v>
      </c>
      <c r="D289" s="28" t="str">
        <f>IF(INICIAL[[#This Row],[CODIGO]]="", "", VLOOKUP(INICIAL[[#This Row],[CODIGO]], PRODUCTOS[#All], 2, FALSE))</f>
        <v>Rondana 3/4"</v>
      </c>
      <c r="E289" s="56">
        <v>5</v>
      </c>
    </row>
    <row r="290" spans="2:5" x14ac:dyDescent="0.2">
      <c r="B290" s="6" t="s">
        <v>1956</v>
      </c>
      <c r="C290" s="6" t="s">
        <v>1593</v>
      </c>
      <c r="D290" s="28" t="str">
        <f>IF(INICIAL[[#This Row],[CODIGO]]="", "", VLOOKUP(INICIAL[[#This Row],[CODIGO]], PRODUCTOS[#All], 2, FALSE))</f>
        <v>Ronadana 20mm</v>
      </c>
      <c r="E290" s="56">
        <v>1</v>
      </c>
    </row>
    <row r="291" spans="2:5" x14ac:dyDescent="0.2">
      <c r="B291" s="6" t="s">
        <v>1956</v>
      </c>
      <c r="C291" s="6" t="s">
        <v>1595</v>
      </c>
      <c r="D291" s="28" t="str">
        <f>IF(INICIAL[[#This Row],[CODIGO]]="", "", VLOOKUP(INICIAL[[#This Row],[CODIGO]], PRODUCTOS[#All], 2, FALSE))</f>
        <v>Rondana 18mm</v>
      </c>
      <c r="E291" s="56">
        <v>1</v>
      </c>
    </row>
    <row r="292" spans="2:5" x14ac:dyDescent="0.2">
      <c r="B292" s="6" t="s">
        <v>1956</v>
      </c>
      <c r="C292" s="6" t="s">
        <v>1597</v>
      </c>
      <c r="D292" s="28" t="str">
        <f>IF(INICIAL[[#This Row],[CODIGO]]="", "", VLOOKUP(INICIAL[[#This Row],[CODIGO]], PRODUCTOS[#All], 2, FALSE))</f>
        <v>Rondana 16mm</v>
      </c>
      <c r="E292" s="56">
        <v>5</v>
      </c>
    </row>
    <row r="293" spans="2:5" x14ac:dyDescent="0.2">
      <c r="B293" s="6" t="s">
        <v>1956</v>
      </c>
      <c r="C293" s="6" t="s">
        <v>1599</v>
      </c>
      <c r="D293" s="28" t="str">
        <f>IF(INICIAL[[#This Row],[CODIGO]]="", "", VLOOKUP(INICIAL[[#This Row],[CODIGO]], PRODUCTOS[#All], 2, FALSE))</f>
        <v>Ronadana 15mm</v>
      </c>
      <c r="E293" s="56">
        <v>12</v>
      </c>
    </row>
    <row r="294" spans="2:5" x14ac:dyDescent="0.2">
      <c r="B294" s="6" t="s">
        <v>1956</v>
      </c>
      <c r="C294" s="6" t="s">
        <v>1601</v>
      </c>
      <c r="D294" s="28" t="str">
        <f>IF(INICIAL[[#This Row],[CODIGO]]="", "", VLOOKUP(INICIAL[[#This Row],[CODIGO]], PRODUCTOS[#All], 2, FALSE))</f>
        <v>Rondana 14mm</v>
      </c>
      <c r="E294" s="56">
        <v>38</v>
      </c>
    </row>
    <row r="295" spans="2:5" x14ac:dyDescent="0.2">
      <c r="B295" s="6" t="s">
        <v>1956</v>
      </c>
      <c r="C295" s="6" t="s">
        <v>1583</v>
      </c>
      <c r="D295" s="28" t="str">
        <f>IF(INICIAL[[#This Row],[CODIGO]]="", "", VLOOKUP(INICIAL[[#This Row],[CODIGO]], PRODUCTOS[#All], 2, FALSE))</f>
        <v>Rondana 1/2"</v>
      </c>
      <c r="E295" s="56">
        <v>7</v>
      </c>
    </row>
    <row r="296" spans="2:5" x14ac:dyDescent="0.2">
      <c r="B296" s="6" t="s">
        <v>1956</v>
      </c>
      <c r="C296" s="6" t="s">
        <v>1694</v>
      </c>
      <c r="D296" s="28" t="str">
        <f>IF(INICIAL[[#This Row],[CODIGO]]="", "", VLOOKUP(INICIAL[[#This Row],[CODIGO]], PRODUCTOS[#All], 2, FALSE))</f>
        <v>Resistol 850 - 500ml</v>
      </c>
      <c r="E296" s="56">
        <v>1</v>
      </c>
    </row>
    <row r="297" spans="2:5" x14ac:dyDescent="0.2">
      <c r="B297" s="6" t="s">
        <v>1956</v>
      </c>
      <c r="C297" s="6" t="s">
        <v>1734</v>
      </c>
      <c r="D297" s="28" t="str">
        <f>IF(INICIAL[[#This Row],[CODIGO]]="", "", VLOOKUP(INICIAL[[#This Row],[CODIGO]], PRODUCTOS[#All], 2, FALSE))</f>
        <v xml:space="preserve">Resina epoxica </v>
      </c>
      <c r="E297" s="56">
        <v>2</v>
      </c>
    </row>
    <row r="298" spans="2:5" x14ac:dyDescent="0.2">
      <c r="B298" s="6" t="s">
        <v>1956</v>
      </c>
      <c r="C298" s="6" t="s">
        <v>1842</v>
      </c>
      <c r="D298" s="28" t="str">
        <f>IF(INICIAL[[#This Row],[CODIGO]]="", "", VLOOKUP(INICIAL[[#This Row],[CODIGO]], PRODUCTOS[#All], 2, FALSE))</f>
        <v>Reflector lea 100W geopower</v>
      </c>
      <c r="E298" s="56">
        <v>1</v>
      </c>
    </row>
    <row r="299" spans="2:5" x14ac:dyDescent="0.2">
      <c r="B299" s="6" t="s">
        <v>1956</v>
      </c>
      <c r="C299" s="6" t="s">
        <v>1690</v>
      </c>
      <c r="D299" s="28" t="str">
        <f>IF(INICIAL[[#This Row],[CODIGO]]="", "", VLOOKUP(INICIAL[[#This Row],[CODIGO]], PRODUCTOS[#All], 2, FALSE))</f>
        <v>Quita grasa B10 - azul  5lts</v>
      </c>
      <c r="E299" s="56">
        <v>1</v>
      </c>
    </row>
    <row r="300" spans="2:5" x14ac:dyDescent="0.2">
      <c r="B300" s="6" t="s">
        <v>1956</v>
      </c>
      <c r="C300" s="6" t="s">
        <v>1942</v>
      </c>
      <c r="D300" s="28" t="str">
        <f>IF(INICIAL[[#This Row],[CODIGO]]="", "", VLOOKUP(INICIAL[[#This Row],[CODIGO]], PRODUCTOS[#All], 2, FALSE))</f>
        <v>Punta conector de galndula 1/2 para ccable de 3/8</v>
      </c>
      <c r="E300" s="56">
        <v>3</v>
      </c>
    </row>
    <row r="301" spans="2:5" x14ac:dyDescent="0.2">
      <c r="B301" s="6" t="s">
        <v>1956</v>
      </c>
      <c r="C301" s="6" t="s">
        <v>1940</v>
      </c>
      <c r="D301" s="28" t="str">
        <f>IF(INICIAL[[#This Row],[CODIGO]]="", "", VLOOKUP(INICIAL[[#This Row],[CODIGO]], PRODUCTOS[#All], 2, FALSE))</f>
        <v>Punta conector de glandula 1/2 para cable de 1/8 - 1/4</v>
      </c>
      <c r="E301" s="56">
        <v>32</v>
      </c>
    </row>
    <row r="302" spans="2:5" x14ac:dyDescent="0.2">
      <c r="B302" s="6" t="s">
        <v>1956</v>
      </c>
      <c r="C302" s="6" t="s">
        <v>1934</v>
      </c>
      <c r="D302" s="28" t="str">
        <f>IF(INICIAL[[#This Row],[CODIGO]]="", "", VLOOKUP(INICIAL[[#This Row],[CODIGO]], PRODUCTOS[#All], 2, FALSE))</f>
        <v>Protección de cable negro 5/16</v>
      </c>
      <c r="E302" s="56">
        <v>30</v>
      </c>
    </row>
    <row r="303" spans="2:5" x14ac:dyDescent="0.2">
      <c r="B303" s="6" t="s">
        <v>1956</v>
      </c>
      <c r="C303" s="6" t="s">
        <v>1936</v>
      </c>
      <c r="D303" s="28" t="str">
        <f>IF(INICIAL[[#This Row],[CODIGO]]="", "", VLOOKUP(INICIAL[[#This Row],[CODIGO]], PRODUCTOS[#All], 2, FALSE))</f>
        <v>Protección de cable blanco 1/2</v>
      </c>
      <c r="E303" s="56">
        <v>16</v>
      </c>
    </row>
    <row r="304" spans="2:5" x14ac:dyDescent="0.2">
      <c r="B304" s="6" t="s">
        <v>1956</v>
      </c>
      <c r="C304" s="6" t="s">
        <v>1938</v>
      </c>
      <c r="D304" s="28" t="str">
        <f>IF(INICIAL[[#This Row],[CODIGO]]="", "", VLOOKUP(INICIAL[[#This Row],[CODIGO]], PRODUCTOS[#All], 2, FALSE))</f>
        <v>Protección de cable azul 1/2</v>
      </c>
      <c r="E304" s="56">
        <v>10</v>
      </c>
    </row>
    <row r="305" spans="2:5" x14ac:dyDescent="0.2">
      <c r="B305" s="6" t="s">
        <v>1956</v>
      </c>
      <c r="C305" s="6" t="s">
        <v>1662</v>
      </c>
      <c r="D305" s="28" t="str">
        <f>IF(INICIAL[[#This Row],[CODIGO]]="", "", VLOOKUP(INICIAL[[#This Row],[CODIGO]], PRODUCTOS[#All], 2, FALSE))</f>
        <v>Polainas (pares)</v>
      </c>
      <c r="E305" s="56">
        <v>1</v>
      </c>
    </row>
    <row r="306" spans="2:5" x14ac:dyDescent="0.2">
      <c r="B306" s="6" t="s">
        <v>1956</v>
      </c>
      <c r="C306" s="6" t="s">
        <v>1900</v>
      </c>
      <c r="D306" s="28" t="str">
        <f>IF(INICIAL[[#This Row],[CODIGO]]="", "", VLOOKUP(INICIAL[[#This Row],[CODIGO]], PRODUCTOS[#All], 2, FALSE))</f>
        <v>placa de puesta a tierra</v>
      </c>
      <c r="E306" s="56">
        <v>46</v>
      </c>
    </row>
    <row r="307" spans="2:5" x14ac:dyDescent="0.2">
      <c r="B307" s="6" t="s">
        <v>1956</v>
      </c>
      <c r="C307" s="6" t="s">
        <v>1930</v>
      </c>
      <c r="D307" s="28" t="str">
        <f>IF(INICIAL[[#This Row],[CODIGO]]="", "", VLOOKUP(INICIAL[[#This Row],[CODIGO]], PRODUCTOS[#All], 2, FALSE))</f>
        <v>Placa conexión a tierra 4 x 2</v>
      </c>
      <c r="E307" s="56">
        <v>9</v>
      </c>
    </row>
    <row r="308" spans="2:5" x14ac:dyDescent="0.2">
      <c r="B308" s="6" t="s">
        <v>1956</v>
      </c>
      <c r="C308" s="6" t="s">
        <v>1704</v>
      </c>
      <c r="D308" s="28" t="str">
        <f>IF(INICIAL[[#This Row],[CODIGO]]="", "", VLOOKUP(INICIAL[[#This Row],[CODIGO]], PRODUCTOS[#All], 2, FALSE))</f>
        <v>Pistola de pintura</v>
      </c>
      <c r="E308" s="56">
        <v>3</v>
      </c>
    </row>
    <row r="309" spans="2:5" x14ac:dyDescent="0.2">
      <c r="B309" s="6" t="s">
        <v>1956</v>
      </c>
      <c r="C309" s="6" t="s">
        <v>1714</v>
      </c>
      <c r="D309" s="28" t="str">
        <f>IF(INICIAL[[#This Row],[CODIGO]]="", "", VLOOKUP(INICIAL[[#This Row],[CODIGO]], PRODUCTOS[#All], 2, FALSE))</f>
        <v>Pintura verde vinílica (1L)</v>
      </c>
      <c r="E309" s="56">
        <v>1</v>
      </c>
    </row>
    <row r="310" spans="2:5" x14ac:dyDescent="0.2">
      <c r="B310" s="6" t="s">
        <v>1956</v>
      </c>
      <c r="C310" s="6" t="s">
        <v>1728</v>
      </c>
      <c r="D310" s="28" t="str">
        <f>IF(INICIAL[[#This Row],[CODIGO]]="", "", VLOOKUP(INICIAL[[#This Row],[CODIGO]], PRODUCTOS[#All], 2, FALSE))</f>
        <v>Lata de pintura 4L turquesa</v>
      </c>
      <c r="E310" s="56">
        <v>1</v>
      </c>
    </row>
    <row r="311" spans="2:5" x14ac:dyDescent="0.2">
      <c r="B311" s="6" t="s">
        <v>1956</v>
      </c>
      <c r="C311" s="6" t="s">
        <v>1726</v>
      </c>
      <c r="D311" s="28" t="str">
        <f>IF(INICIAL[[#This Row],[CODIGO]]="", "", VLOOKUP(INICIAL[[#This Row],[CODIGO]], PRODUCTOS[#All], 2, FALSE))</f>
        <v xml:space="preserve">Lata de pintura roja en aerosol </v>
      </c>
      <c r="E311" s="56">
        <v>0</v>
      </c>
    </row>
    <row r="312" spans="2:5" x14ac:dyDescent="0.2">
      <c r="B312" s="6" t="s">
        <v>1956</v>
      </c>
      <c r="C312" s="6" t="s">
        <v>1722</v>
      </c>
      <c r="D312" s="28" t="str">
        <f>IF(INICIAL[[#This Row],[CODIGO]]="", "", VLOOKUP(INICIAL[[#This Row],[CODIGO]], PRODUCTOS[#All], 2, FALSE))</f>
        <v>Pintura plateada acrílica 3L</v>
      </c>
      <c r="E312" s="56">
        <v>1</v>
      </c>
    </row>
    <row r="313" spans="2:5" x14ac:dyDescent="0.2">
      <c r="B313" s="6" t="s">
        <v>1956</v>
      </c>
      <c r="C313" s="6" t="s">
        <v>1730</v>
      </c>
      <c r="D313" s="28" t="str">
        <f>IF(INICIAL[[#This Row],[CODIGO]]="", "", VLOOKUP(INICIAL[[#This Row],[CODIGO]], PRODUCTOS[#All], 2, FALSE))</f>
        <v>Lata de pintura 4L morado</v>
      </c>
      <c r="E313" s="56">
        <v>1</v>
      </c>
    </row>
    <row r="314" spans="2:5" x14ac:dyDescent="0.2">
      <c r="B314" s="6" t="s">
        <v>1956</v>
      </c>
      <c r="C314" s="6" t="s">
        <v>1816</v>
      </c>
      <c r="D314" s="28" t="str">
        <f>IF(INICIAL[[#This Row],[CODIGO]]="", "", VLOOKUP(INICIAL[[#This Row],[CODIGO]], PRODUCTOS[#All], 2, FALSE))</f>
        <v>pinza selladora flejes 1/2</v>
      </c>
      <c r="E314" s="56">
        <v>1</v>
      </c>
    </row>
    <row r="315" spans="2:5" x14ac:dyDescent="0.2">
      <c r="B315" s="6" t="s">
        <v>1956</v>
      </c>
      <c r="C315" s="6" t="s">
        <v>1746</v>
      </c>
      <c r="D315" s="28" t="str">
        <f>IF(INICIAL[[#This Row],[CODIGO]]="", "", VLOOKUP(INICIAL[[#This Row],[CODIGO]], PRODUCTOS[#All], 2, FALSE))</f>
        <v>Bote de pintura comex verde</v>
      </c>
      <c r="E315" s="56">
        <v>1</v>
      </c>
    </row>
    <row r="316" spans="2:5" x14ac:dyDescent="0.2">
      <c r="B316" s="6" t="s">
        <v>1956</v>
      </c>
      <c r="C316" s="6" t="s">
        <v>1744</v>
      </c>
      <c r="D316" s="28" t="str">
        <f>IF(INICIAL[[#This Row],[CODIGO]]="", "", VLOOKUP(INICIAL[[#This Row],[CODIGO]], PRODUCTOS[#All], 2, FALSE))</f>
        <v>Bote de pintura comex amarillo</v>
      </c>
      <c r="E316" s="56">
        <v>1</v>
      </c>
    </row>
    <row r="317" spans="2:5" x14ac:dyDescent="0.2">
      <c r="B317" s="6" t="s">
        <v>1956</v>
      </c>
      <c r="C317" s="6" t="s">
        <v>1718</v>
      </c>
      <c r="D317" s="28" t="str">
        <f>IF(INICIAL[[#This Row],[CODIGO]]="", "", VLOOKUP(INICIAL[[#This Row],[CODIGO]], PRODUCTOS[#All], 2, FALSE))</f>
        <v>pintura blanca vinílica (4l)</v>
      </c>
      <c r="E317" s="56">
        <v>2</v>
      </c>
    </row>
    <row r="318" spans="2:5" x14ac:dyDescent="0.2">
      <c r="B318" s="6" t="s">
        <v>1956</v>
      </c>
      <c r="C318" s="6" t="s">
        <v>1716</v>
      </c>
      <c r="D318" s="28" t="str">
        <f>IF(INICIAL[[#This Row],[CODIGO]]="", "", VLOOKUP(INICIAL[[#This Row],[CODIGO]], PRODUCTOS[#All], 2, FALSE))</f>
        <v>Pintura azul vinílica 4(l)</v>
      </c>
      <c r="E318" s="56">
        <v>1</v>
      </c>
    </row>
    <row r="319" spans="2:5" x14ac:dyDescent="0.2">
      <c r="B319" s="6" t="s">
        <v>1956</v>
      </c>
      <c r="C319" s="6" t="s">
        <v>1724</v>
      </c>
      <c r="D319" s="28" t="str">
        <f>IF(INICIAL[[#This Row],[CODIGO]]="", "", VLOOKUP(INICIAL[[#This Row],[CODIGO]], PRODUCTOS[#All], 2, FALSE))</f>
        <v>Lata de pintura 4L azul</v>
      </c>
      <c r="E319" s="56">
        <v>1</v>
      </c>
    </row>
    <row r="320" spans="2:5" x14ac:dyDescent="0.2">
      <c r="B320" s="6" t="s">
        <v>1956</v>
      </c>
      <c r="C320" s="6" t="s">
        <v>1975</v>
      </c>
      <c r="D320" s="28" t="str">
        <f>IF(INICIAL[[#This Row],[CODIGO]]="", "", VLOOKUP(INICIAL[[#This Row],[CODIGO]], PRODUCTOS[#All], 2, FALSE))</f>
        <v>pija cabeza hexagonal 1/4 x 3/4"</v>
      </c>
      <c r="E320" s="56">
        <v>9</v>
      </c>
    </row>
    <row r="321" spans="2:5" x14ac:dyDescent="0.2">
      <c r="B321" s="6" t="s">
        <v>1956</v>
      </c>
      <c r="C321" s="6" t="s">
        <v>1636</v>
      </c>
      <c r="D321" s="28" t="str">
        <f>IF(INICIAL[[#This Row],[CODIGO]]="", "", VLOOKUP(INICIAL[[#This Row],[CODIGO]], PRODUCTOS[#All], 2, FALSE))</f>
        <v>Pija 8mm x 2 1/4"</v>
      </c>
      <c r="E321" s="56">
        <v>8</v>
      </c>
    </row>
    <row r="322" spans="2:5" x14ac:dyDescent="0.2">
      <c r="B322" s="6" t="s">
        <v>1956</v>
      </c>
      <c r="C322" s="6" t="s">
        <v>1974</v>
      </c>
      <c r="D322" s="28" t="str">
        <f>IF(INICIAL[[#This Row],[CODIGO]]="", "", VLOOKUP(INICIAL[[#This Row],[CODIGO]], PRODUCTOS[#All], 2, FALSE))</f>
        <v>Pja 4mm x 35</v>
      </c>
      <c r="E322" s="56">
        <v>12</v>
      </c>
    </row>
    <row r="323" spans="2:5" x14ac:dyDescent="0.2">
      <c r="B323" s="6" t="s">
        <v>1956</v>
      </c>
      <c r="C323" s="6" t="s">
        <v>1631</v>
      </c>
      <c r="D323" s="28" t="str">
        <f>IF(INICIAL[[#This Row],[CODIGO]]="", "", VLOOKUP(INICIAL[[#This Row],[CODIGO]], PRODUCTOS[#All], 2, FALSE))</f>
        <v>Pija 4mm x 1 1/2"</v>
      </c>
      <c r="E323" s="56">
        <v>5</v>
      </c>
    </row>
    <row r="324" spans="2:5" x14ac:dyDescent="0.2">
      <c r="B324" s="6" t="s">
        <v>1956</v>
      </c>
      <c r="C324" s="6" t="s">
        <v>1633</v>
      </c>
      <c r="D324" s="28" t="str">
        <f>IF(INICIAL[[#This Row],[CODIGO]]="", "", VLOOKUP(INICIAL[[#This Row],[CODIGO]], PRODUCTOS[#All], 2, FALSE))</f>
        <v>Pija 2 x 1/4"</v>
      </c>
      <c r="E324" s="56">
        <v>14</v>
      </c>
    </row>
    <row r="325" spans="2:5" x14ac:dyDescent="0.2">
      <c r="B325" s="6" t="s">
        <v>1956</v>
      </c>
      <c r="C325" s="6" t="s">
        <v>1912</v>
      </c>
      <c r="D325" s="28" t="str">
        <f>IF(INICIAL[[#This Row],[CODIGO]]="", "", VLOOKUP(INICIAL[[#This Row],[CODIGO]], PRODUCTOS[#All], 2, FALSE))</f>
        <v>Perfil aluminio tipo riel panle solar</v>
      </c>
      <c r="E325" s="56">
        <v>13</v>
      </c>
    </row>
    <row r="326" spans="2:5" x14ac:dyDescent="0.2">
      <c r="B326" s="6" t="s">
        <v>1956</v>
      </c>
      <c r="C326" s="6" t="s">
        <v>1640</v>
      </c>
      <c r="D326" s="28" t="str">
        <f>IF(INICIAL[[#This Row],[CODIGO]]="", "", VLOOKUP(INICIAL[[#This Row],[CODIGO]], PRODUCTOS[#All], 2, FALSE))</f>
        <v>Perros 5/8"</v>
      </c>
      <c r="E326" s="56">
        <v>0</v>
      </c>
    </row>
    <row r="327" spans="2:5" x14ac:dyDescent="0.2">
      <c r="B327" s="6" t="s">
        <v>1956</v>
      </c>
      <c r="C327" s="6" t="s">
        <v>1638</v>
      </c>
      <c r="D327" s="28" t="str">
        <f>IF(INICIAL[[#This Row],[CODIGO]]="", "", VLOOKUP(INICIAL[[#This Row],[CODIGO]], PRODUCTOS[#All], 2, FALSE))</f>
        <v>Perros 3/4"</v>
      </c>
      <c r="E327" s="56">
        <v>0</v>
      </c>
    </row>
    <row r="328" spans="2:5" x14ac:dyDescent="0.2">
      <c r="B328" s="6" t="s">
        <v>1956</v>
      </c>
      <c r="C328" s="6" t="s">
        <v>1642</v>
      </c>
      <c r="D328" s="28" t="str">
        <f>IF(INICIAL[[#This Row],[CODIGO]]="", "", VLOOKUP(INICIAL[[#This Row],[CODIGO]], PRODUCTOS[#All], 2, FALSE))</f>
        <v>Perros 1/8"</v>
      </c>
      <c r="E328" s="56">
        <v>0</v>
      </c>
    </row>
    <row r="329" spans="2:5" x14ac:dyDescent="0.2">
      <c r="B329" s="6" t="s">
        <v>1956</v>
      </c>
      <c r="C329" s="6" t="s">
        <v>1914</v>
      </c>
      <c r="D329" s="28" t="str">
        <f>IF(INICIAL[[#This Row],[CODIGO]]="", "", VLOOKUP(INICIAL[[#This Row],[CODIGO]], PRODUCTOS[#All], 2, FALSE))</f>
        <v xml:space="preserve">Perfil estructural con soporto tipo L con riel y fijación ajustable </v>
      </c>
      <c r="E329" s="56">
        <v>53</v>
      </c>
    </row>
    <row r="330" spans="2:5" x14ac:dyDescent="0.2">
      <c r="B330" s="6" t="s">
        <v>1956</v>
      </c>
      <c r="C330" s="6" t="s">
        <v>1756</v>
      </c>
      <c r="D330" s="28" t="str">
        <f>IF(INICIAL[[#This Row],[CODIGO]]="", "", VLOOKUP(INICIAL[[#This Row],[CODIGO]], PRODUCTOS[#All], 2, FALSE))</f>
        <v>Pegamento pvc</v>
      </c>
      <c r="E330" s="56">
        <v>1</v>
      </c>
    </row>
    <row r="331" spans="2:5" x14ac:dyDescent="0.2">
      <c r="B331" s="6" t="s">
        <v>1956</v>
      </c>
      <c r="C331" s="6" t="s">
        <v>1874</v>
      </c>
      <c r="D331" s="28" t="str">
        <f>IF(INICIAL[[#This Row],[CODIGO]]="", "", VLOOKUP(INICIAL[[#This Row],[CODIGO]], PRODUCTOS[#All], 2, FALSE))</f>
        <v>Notas de remisión block grande</v>
      </c>
      <c r="E331" s="56">
        <v>13</v>
      </c>
    </row>
    <row r="332" spans="2:5" x14ac:dyDescent="0.2">
      <c r="B332" s="6" t="s">
        <v>1956</v>
      </c>
      <c r="C332" s="6" t="s">
        <v>1876</v>
      </c>
      <c r="D332" s="28" t="str">
        <f>IF(INICIAL[[#This Row],[CODIGO]]="", "", VLOOKUP(INICIAL[[#This Row],[CODIGO]], PRODUCTOS[#All], 2, FALSE))</f>
        <v>Notas de remisión block chico</v>
      </c>
      <c r="E332" s="56">
        <v>13</v>
      </c>
    </row>
    <row r="333" spans="2:5" x14ac:dyDescent="0.2">
      <c r="B333" s="6" t="s">
        <v>1956</v>
      </c>
      <c r="C333" s="6" t="s">
        <v>1878</v>
      </c>
      <c r="D333" s="28" t="str">
        <f>IF(INICIAL[[#This Row],[CODIGO]]="", "", VLOOKUP(INICIAL[[#This Row],[CODIGO]], PRODUCTOS[#All], 2, FALSE))</f>
        <v xml:space="preserve">Muestrario de lonas </v>
      </c>
      <c r="E333" s="56">
        <v>1</v>
      </c>
    </row>
    <row r="334" spans="2:5" x14ac:dyDescent="0.2">
      <c r="B334" s="6" t="s">
        <v>1956</v>
      </c>
      <c r="C334" s="6" t="s">
        <v>1836</v>
      </c>
      <c r="D334" s="28" t="str">
        <f>IF(INICIAL[[#This Row],[CODIGO]]="", "", VLOOKUP(INICIAL[[#This Row],[CODIGO]], PRODUCTOS[#All], 2, FALSE))</f>
        <v xml:space="preserve">Montaje para paneles solares </v>
      </c>
      <c r="E334" s="56">
        <v>87</v>
      </c>
    </row>
    <row r="335" spans="2:5" x14ac:dyDescent="0.2">
      <c r="B335" s="6" t="s">
        <v>1956</v>
      </c>
      <c r="C335" s="6" t="s">
        <v>1880</v>
      </c>
      <c r="D335" s="28" t="str">
        <f>IF(INICIAL[[#This Row],[CODIGO]]="", "", VLOOKUP(INICIAL[[#This Row],[CODIGO]], PRODUCTOS[#All], 2, FALSE))</f>
        <v>Mochila fumigadora manual</v>
      </c>
      <c r="E335" s="56">
        <v>1</v>
      </c>
    </row>
    <row r="336" spans="2:5" x14ac:dyDescent="0.2">
      <c r="B336" s="6" t="s">
        <v>1956</v>
      </c>
      <c r="C336" s="6" t="s">
        <v>1822</v>
      </c>
      <c r="D336" s="28" t="str">
        <f>IF(INICIAL[[#This Row],[CODIGO]]="", "", VLOOKUP(INICIAL[[#This Row],[CODIGO]], PRODUCTOS[#All], 2, FALSE))</f>
        <v xml:space="preserve">Matracas </v>
      </c>
      <c r="E336" s="56">
        <v>5</v>
      </c>
    </row>
    <row r="337" spans="2:5" x14ac:dyDescent="0.2">
      <c r="B337" s="6" t="s">
        <v>1956</v>
      </c>
      <c r="C337" s="6" t="s">
        <v>1670</v>
      </c>
      <c r="D337" s="28" t="str">
        <f>IF(INICIAL[[#This Row],[CODIGO]]="", "", VLOOKUP(INICIAL[[#This Row],[CODIGO]], PRODUCTOS[#All], 2, FALSE))</f>
        <v>Mangas carnaza (pares)</v>
      </c>
      <c r="E337" s="56">
        <v>1</v>
      </c>
    </row>
    <row r="338" spans="2:5" x14ac:dyDescent="0.2">
      <c r="B338" s="6" t="s">
        <v>1956</v>
      </c>
      <c r="C338" s="6" t="s">
        <v>1664</v>
      </c>
      <c r="D338" s="28" t="str">
        <f>IF(INICIAL[[#This Row],[CODIGO]]="", "", VLOOKUP(INICIAL[[#This Row],[CODIGO]], PRODUCTOS[#All], 2, FALSE))</f>
        <v>Mandil carnaza</v>
      </c>
      <c r="E338" s="56">
        <v>2</v>
      </c>
    </row>
    <row r="339" spans="2:5" x14ac:dyDescent="0.2">
      <c r="B339" s="6" t="s">
        <v>1956</v>
      </c>
      <c r="C339" s="6" t="s">
        <v>1686</v>
      </c>
      <c r="D339" s="28" t="str">
        <f>IF(INICIAL[[#This Row],[CODIGO]]="", "", VLOOKUP(INICIAL[[#This Row],[CODIGO]], PRODUCTOS[#All], 2, FALSE))</f>
        <v xml:space="preserve">Líquido limpia parabrisas 3 - 7 lts </v>
      </c>
      <c r="E339" s="56">
        <v>1</v>
      </c>
    </row>
    <row r="340" spans="2:5" x14ac:dyDescent="0.2">
      <c r="B340" s="6" t="s">
        <v>1956</v>
      </c>
      <c r="C340" s="6" t="s">
        <v>1776</v>
      </c>
      <c r="D340" s="28" t="str">
        <f>IF(INICIAL[[#This Row],[CODIGO]]="", "", VLOOKUP(INICIAL[[#This Row],[CODIGO]], PRODUCTOS[#All], 2, FALSE))</f>
        <v>líquido para frenos 900ml</v>
      </c>
      <c r="E340" s="56">
        <v>1</v>
      </c>
    </row>
    <row r="341" spans="2:5" x14ac:dyDescent="0.2">
      <c r="B341" s="6" t="s">
        <v>1956</v>
      </c>
      <c r="C341" s="6" t="s">
        <v>1808</v>
      </c>
      <c r="D341" s="28" t="str">
        <f>IF(INICIAL[[#This Row],[CODIGO]]="", "", VLOOKUP(INICIAL[[#This Row],[CODIGO]], PRODUCTOS[#All], 2, FALSE))</f>
        <v>Limpiador de interiores 510g</v>
      </c>
      <c r="E341" s="56">
        <v>2</v>
      </c>
    </row>
    <row r="342" spans="2:5" x14ac:dyDescent="0.2">
      <c r="B342" s="6" t="s">
        <v>1956</v>
      </c>
      <c r="C342" s="6" t="s">
        <v>1886</v>
      </c>
      <c r="D342" s="28" t="str">
        <f>IF(INICIAL[[#This Row],[CODIGO]]="", "", VLOOKUP(INICIAL[[#This Row],[CODIGO]], PRODUCTOS[#All], 2, FALSE))</f>
        <v>L-feet (estructura solar)</v>
      </c>
      <c r="E342" s="56">
        <v>1</v>
      </c>
    </row>
    <row r="343" spans="2:5" x14ac:dyDescent="0.2">
      <c r="B343" s="6" t="s">
        <v>1956</v>
      </c>
      <c r="C343" s="6" t="s">
        <v>1720</v>
      </c>
      <c r="D343" s="28" t="str">
        <f>IF(INICIAL[[#This Row],[CODIGO]]="", "", VLOOKUP(INICIAL[[#This Row],[CODIGO]], PRODUCTOS[#All], 2, FALSE))</f>
        <v>Laca de nitroselulosa 1L</v>
      </c>
      <c r="E343" s="56">
        <v>2</v>
      </c>
    </row>
    <row r="344" spans="2:5" x14ac:dyDescent="0.2">
      <c r="B344" s="6" t="s">
        <v>1956</v>
      </c>
      <c r="C344" s="6" t="s">
        <v>1752</v>
      </c>
      <c r="D344" s="28" t="str">
        <f>IF(INICIAL[[#This Row],[CODIGO]]="", "", VLOOKUP(INICIAL[[#This Row],[CODIGO]], PRODUCTOS[#All], 2, FALSE))</f>
        <v>Laca color chocolate 1L</v>
      </c>
      <c r="E344" s="56">
        <v>4</v>
      </c>
    </row>
    <row r="345" spans="2:5" x14ac:dyDescent="0.2">
      <c r="B345" s="6" t="s">
        <v>1956</v>
      </c>
      <c r="C345" s="6" t="s">
        <v>1443</v>
      </c>
      <c r="D345" s="28" t="str">
        <f>IF(INICIAL[[#This Row],[CODIGO]]="", "", VLOOKUP(INICIAL[[#This Row],[CODIGO]], PRODUCTOS[#All], 2, FALSE))</f>
        <v>Juego de brocas black+decker</v>
      </c>
      <c r="E345" s="56">
        <v>1</v>
      </c>
    </row>
    <row r="346" spans="2:5" x14ac:dyDescent="0.2">
      <c r="B346" s="6" t="s">
        <v>1956</v>
      </c>
      <c r="C346" s="6" t="s">
        <v>1828</v>
      </c>
      <c r="D346" s="28" t="str">
        <f>IF(INICIAL[[#This Row],[CODIGO]]="", "", VLOOKUP(INICIAL[[#This Row],[CODIGO]], PRODUCTOS[#All], 2, FALSE))</f>
        <v xml:space="preserve">Interruptor atenuador de luz vertical </v>
      </c>
      <c r="E346" s="56">
        <v>1</v>
      </c>
    </row>
    <row r="347" spans="2:5" x14ac:dyDescent="0.2">
      <c r="B347" s="6" t="s">
        <v>1956</v>
      </c>
      <c r="C347" s="6" t="s">
        <v>1648</v>
      </c>
      <c r="D347" s="28" t="str">
        <f>IF(INICIAL[[#This Row],[CODIGO]]="", "", VLOOKUP(INICIAL[[#This Row],[CODIGO]], PRODUCTOS[#All], 2, FALSE))</f>
        <v xml:space="preserve">Hebilla deslizante 8mm x 35mm </v>
      </c>
      <c r="E347" s="56">
        <v>98</v>
      </c>
    </row>
    <row r="348" spans="2:5" x14ac:dyDescent="0.2">
      <c r="B348" s="6" t="s">
        <v>1956</v>
      </c>
      <c r="C348" s="6" t="s">
        <v>1812</v>
      </c>
      <c r="D348" s="28" t="str">
        <f>IF(INICIAL[[#This Row],[CODIGO]]="", "", VLOOKUP(INICIAL[[#This Row],[CODIGO]], PRODUCTOS[#All], 2, FALSE))</f>
        <v xml:space="preserve">Guiro honda </v>
      </c>
      <c r="E348" s="56">
        <v>1</v>
      </c>
    </row>
    <row r="349" spans="2:5" x14ac:dyDescent="0.2">
      <c r="B349" s="6" t="s">
        <v>1956</v>
      </c>
      <c r="C349" s="6" t="s">
        <v>1676</v>
      </c>
      <c r="D349" s="28" t="str">
        <f>IF(INICIAL[[#This Row],[CODIGO]]="", "", VLOOKUP(INICIAL[[#This Row],[CODIGO]], PRODUCTOS[#All], 2, FALSE))</f>
        <v>Guantes soldador azul (pares)</v>
      </c>
      <c r="E349" s="56">
        <v>2</v>
      </c>
    </row>
    <row r="350" spans="2:5" x14ac:dyDescent="0.2">
      <c r="B350" s="6" t="s">
        <v>1956</v>
      </c>
      <c r="C350" s="6" t="s">
        <v>1852</v>
      </c>
      <c r="D350" s="28" t="str">
        <f>IF(INICIAL[[#This Row],[CODIGO]]="", "", VLOOKUP(INICIAL[[#This Row],[CODIGO]], PRODUCTOS[#All], 2, FALSE))</f>
        <v>Guardacabos 5/8</v>
      </c>
      <c r="E350" s="56">
        <v>10</v>
      </c>
    </row>
    <row r="351" spans="2:5" x14ac:dyDescent="0.2">
      <c r="B351" s="6" t="s">
        <v>1956</v>
      </c>
      <c r="C351" s="6" t="s">
        <v>1668</v>
      </c>
      <c r="D351" s="28" t="str">
        <f>IF(INICIAL[[#This Row],[CODIGO]]="", "", VLOOKUP(INICIAL[[#This Row],[CODIGO]], PRODUCTOS[#All], 2, FALSE))</f>
        <v>Guante nitrilo (pares)</v>
      </c>
      <c r="E351" s="56">
        <v>4</v>
      </c>
    </row>
    <row r="352" spans="2:5" x14ac:dyDescent="0.2">
      <c r="B352" s="6" t="s">
        <v>1956</v>
      </c>
      <c r="C352" s="6" t="s">
        <v>1674</v>
      </c>
      <c r="D352" s="28" t="str">
        <f>IF(INICIAL[[#This Row],[CODIGO]]="", "", VLOOKUP(INICIAL[[#This Row],[CODIGO]], PRODUCTOS[#All], 2, FALSE))</f>
        <v>Guantes latex (pares)</v>
      </c>
      <c r="E352" s="56">
        <v>1</v>
      </c>
    </row>
    <row r="353" spans="2:5" x14ac:dyDescent="0.2">
      <c r="B353" s="6" t="s">
        <v>1956</v>
      </c>
      <c r="C353" s="6" t="s">
        <v>1672</v>
      </c>
      <c r="D353" s="28" t="str">
        <f>IF(INICIAL[[#This Row],[CODIGO]]="", "", VLOOKUP(INICIAL[[#This Row],[CODIGO]], PRODUCTOS[#All], 2, FALSE))</f>
        <v>Guantes carnaza (pares)</v>
      </c>
      <c r="E353" s="56">
        <v>3</v>
      </c>
    </row>
    <row r="354" spans="2:5" x14ac:dyDescent="0.2">
      <c r="B354" s="6" t="s">
        <v>1956</v>
      </c>
      <c r="C354" s="6" t="s">
        <v>1856</v>
      </c>
      <c r="D354" s="28" t="str">
        <f>IF(INICIAL[[#This Row],[CODIGO]]="", "", VLOOKUP(INICIAL[[#This Row],[CODIGO]], PRODUCTOS[#All], 2, FALSE))</f>
        <v>Grillete 1 1/4</v>
      </c>
      <c r="E354" s="56">
        <v>1</v>
      </c>
    </row>
    <row r="355" spans="2:5" x14ac:dyDescent="0.2">
      <c r="B355" s="6" t="s">
        <v>1956</v>
      </c>
      <c r="C355" s="6" t="s">
        <v>1650</v>
      </c>
      <c r="D355" s="28" t="str">
        <f>IF(INICIAL[[#This Row],[CODIGO]]="", "", VLOOKUP(INICIAL[[#This Row],[CODIGO]], PRODUCTOS[#All], 2, FALSE))</f>
        <v xml:space="preserve">Grilla deslizante </v>
      </c>
      <c r="E355" s="56">
        <v>8</v>
      </c>
    </row>
    <row r="356" spans="2:5" x14ac:dyDescent="0.2">
      <c r="B356" s="6" t="s">
        <v>1956</v>
      </c>
      <c r="C356" s="6" t="s">
        <v>1898</v>
      </c>
      <c r="D356" s="28" t="str">
        <f>IF(INICIAL[[#This Row],[CODIGO]]="", "", VLOOKUP(INICIAL[[#This Row],[CODIGO]], PRODUCTOS[#All], 2, FALSE))</f>
        <v xml:space="preserve">Grapa central para panel solar </v>
      </c>
      <c r="E356" s="56">
        <v>36</v>
      </c>
    </row>
    <row r="357" spans="2:5" x14ac:dyDescent="0.2">
      <c r="B357" s="6" t="s">
        <v>1956</v>
      </c>
      <c r="C357" s="6" t="s">
        <v>1810</v>
      </c>
      <c r="D357" s="28" t="str">
        <f>IF(INICIAL[[#This Row],[CODIGO]]="", "", VLOOKUP(INICIAL[[#This Row],[CODIGO]], PRODUCTOS[#All], 2, FALSE))</f>
        <v>Grapas para flejes 1/2</v>
      </c>
      <c r="E357" s="56">
        <v>1000</v>
      </c>
    </row>
    <row r="358" spans="2:5" x14ac:dyDescent="0.2">
      <c r="B358" s="6" t="s">
        <v>1956</v>
      </c>
      <c r="C358" s="6" t="s">
        <v>1868</v>
      </c>
      <c r="D358" s="28" t="str">
        <f>IF(INICIAL[[#This Row],[CODIGO]]="", "", VLOOKUP(INICIAL[[#This Row],[CODIGO]], PRODUCTOS[#All], 2, FALSE))</f>
        <v xml:space="preserve">Gancho para retenida </v>
      </c>
      <c r="E358" s="56">
        <v>2</v>
      </c>
    </row>
    <row r="359" spans="2:5" x14ac:dyDescent="0.2">
      <c r="B359" s="6" t="s">
        <v>1956</v>
      </c>
      <c r="C359" s="6" t="s">
        <v>1820</v>
      </c>
      <c r="D359" s="28" t="str">
        <f>IF(INICIAL[[#This Row],[CODIGO]]="", "", VLOOKUP(INICIAL[[#This Row],[CODIGO]], PRODUCTOS[#All], 2, FALSE))</f>
        <v>Flejadora 3/4</v>
      </c>
      <c r="E359" s="56">
        <v>1</v>
      </c>
    </row>
    <row r="360" spans="2:5" x14ac:dyDescent="0.2">
      <c r="B360" s="6" t="s">
        <v>1956</v>
      </c>
      <c r="C360" s="6" t="s">
        <v>1814</v>
      </c>
      <c r="D360" s="28" t="str">
        <f>IF(INICIAL[[#This Row],[CODIGO]]="", "", VLOOKUP(INICIAL[[#This Row],[CODIGO]], PRODUCTOS[#All], 2, FALSE))</f>
        <v>Flejadora 1/2</v>
      </c>
      <c r="E360" s="56">
        <v>1</v>
      </c>
    </row>
    <row r="361" spans="2:5" x14ac:dyDescent="0.2">
      <c r="B361" s="6" t="s">
        <v>1956</v>
      </c>
      <c r="C361" s="6" t="s">
        <v>1830</v>
      </c>
      <c r="D361" s="28" t="str">
        <f>IF(INICIAL[[#This Row],[CODIGO]]="", "", VLOOKUP(INICIAL[[#This Row],[CODIGO]], PRODUCTOS[#All], 2, FALSE))</f>
        <v xml:space="preserve">Faro lea unidad de 7" halio turbo </v>
      </c>
      <c r="E361" s="56">
        <v>1</v>
      </c>
    </row>
    <row r="362" spans="2:5" x14ac:dyDescent="0.2">
      <c r="B362" s="6" t="s">
        <v>1956</v>
      </c>
      <c r="C362" s="6" t="s">
        <v>1788</v>
      </c>
      <c r="D362" s="28" t="str">
        <f>IF(INICIAL[[#This Row],[CODIGO]]="", "", VLOOKUP(INICIAL[[#This Row],[CODIGO]], PRODUCTOS[#All], 2, FALSE))</f>
        <v xml:space="preserve">Espuma limpiadora </v>
      </c>
      <c r="E362" s="56">
        <v>1</v>
      </c>
    </row>
    <row r="363" spans="2:5" x14ac:dyDescent="0.2">
      <c r="B363" s="6" t="s">
        <v>1956</v>
      </c>
      <c r="C363" s="6" t="s">
        <v>1702</v>
      </c>
      <c r="D363" s="28" t="str">
        <f>IF(INICIAL[[#This Row],[CODIGO]]="", "", VLOOKUP(INICIAL[[#This Row],[CODIGO]], PRODUCTOS[#All], 2, FALSE))</f>
        <v xml:space="preserve">Espuma expansiva </v>
      </c>
      <c r="E363" s="56">
        <v>1</v>
      </c>
    </row>
    <row r="364" spans="2:5" x14ac:dyDescent="0.2">
      <c r="B364" s="6" t="s">
        <v>1956</v>
      </c>
      <c r="C364" s="6" t="s">
        <v>1710</v>
      </c>
      <c r="D364" s="28" t="str">
        <f>IF(INICIAL[[#This Row],[CODIGO]]="", "", VLOOKUP(INICIAL[[#This Row],[CODIGO]], PRODUCTOS[#All], 2, FALSE))</f>
        <v xml:space="preserve">espatulas </v>
      </c>
      <c r="E364" s="56">
        <v>1</v>
      </c>
    </row>
    <row r="365" spans="2:5" x14ac:dyDescent="0.2">
      <c r="B365" s="6" t="s">
        <v>1956</v>
      </c>
      <c r="C365" s="6" t="s">
        <v>1748</v>
      </c>
      <c r="D365" s="28" t="str">
        <f>IF(INICIAL[[#This Row],[CODIGO]]="", "", VLOOKUP(INICIAL[[#This Row],[CODIGO]], PRODUCTOS[#All], 2, FALSE))</f>
        <v>Esmaltes comex 1L</v>
      </c>
      <c r="E365" s="56">
        <v>4</v>
      </c>
    </row>
    <row r="366" spans="2:5" x14ac:dyDescent="0.2">
      <c r="B366" s="6" t="s">
        <v>1956</v>
      </c>
      <c r="C366" s="6" t="s">
        <v>1754</v>
      </c>
      <c r="D366" s="28" t="str">
        <f>IF(INICIAL[[#This Row],[CODIGO]]="", "", VLOOKUP(INICIAL[[#This Row],[CODIGO]], PRODUCTOS[#All], 2, FALSE))</f>
        <v>Esmalte alquidalico 1l</v>
      </c>
      <c r="E366" s="56">
        <v>1</v>
      </c>
    </row>
    <row r="367" spans="2:5" x14ac:dyDescent="0.2">
      <c r="B367" s="6" t="s">
        <v>1956</v>
      </c>
      <c r="C367" s="6" t="s">
        <v>1742</v>
      </c>
      <c r="D367" s="28" t="str">
        <f>IF(INICIAL[[#This Row],[CODIGO]]="", "", VLOOKUP(INICIAL[[#This Row],[CODIGO]], PRODUCTOS[#All], 2, FALSE))</f>
        <v>Esmaltes comex 4L</v>
      </c>
      <c r="E367" s="56">
        <v>2</v>
      </c>
    </row>
    <row r="368" spans="2:5" x14ac:dyDescent="0.2">
      <c r="B368" s="6" t="s">
        <v>1956</v>
      </c>
      <c r="C368" s="6" t="s">
        <v>1738</v>
      </c>
      <c r="D368" s="28" t="str">
        <f>IF(INICIAL[[#This Row],[CODIGO]]="", "", VLOOKUP(INICIAL[[#This Row],[CODIGO]], PRODUCTOS[#All], 2, FALSE))</f>
        <v xml:space="preserve">Esmalte </v>
      </c>
      <c r="E368" s="56">
        <v>1</v>
      </c>
    </row>
    <row r="369" spans="2:5" x14ac:dyDescent="0.2">
      <c r="B369" s="6" t="s">
        <v>1956</v>
      </c>
      <c r="C369" s="6" t="s">
        <v>1736</v>
      </c>
      <c r="D369" s="28" t="str">
        <f>IF(INICIAL[[#This Row],[CODIGO]]="", "", VLOOKUP(INICIAL[[#This Row],[CODIGO]], PRODUCTOS[#All], 2, FALSE))</f>
        <v xml:space="preserve">Endurecedor </v>
      </c>
      <c r="E369" s="56">
        <v>1</v>
      </c>
    </row>
    <row r="370" spans="2:5" x14ac:dyDescent="0.2">
      <c r="B370" s="6" t="s">
        <v>1956</v>
      </c>
      <c r="C370" s="6" t="s">
        <v>1790</v>
      </c>
      <c r="D370" s="28" t="str">
        <f>IF(INICIAL[[#This Row],[CODIGO]]="", "", VLOOKUP(INICIAL[[#This Row],[CODIGO]], PRODUCTOS[#All], 2, FALSE))</f>
        <v xml:space="preserve">Embudo </v>
      </c>
      <c r="E370" s="56">
        <v>1</v>
      </c>
    </row>
    <row r="371" spans="2:5" x14ac:dyDescent="0.2">
      <c r="B371" s="6" t="s">
        <v>1956</v>
      </c>
      <c r="C371" s="6" t="s">
        <v>1433</v>
      </c>
      <c r="D371" s="28" t="str">
        <f>IF(INICIAL[[#This Row],[CODIGO]]="", "", VLOOKUP(INICIAL[[#This Row],[CODIGO]], PRODUCTOS[#All], 2, FALSE))</f>
        <v>Electrodo bronce 1/8</v>
      </c>
      <c r="E371" s="56">
        <v>1</v>
      </c>
    </row>
    <row r="372" spans="2:5" x14ac:dyDescent="0.2">
      <c r="B372" s="6" t="s">
        <v>1956</v>
      </c>
      <c r="C372" s="6" t="s">
        <v>1429</v>
      </c>
      <c r="D372" s="28" t="str">
        <f>IF(INICIAL[[#This Row],[CODIGO]]="", "", VLOOKUP(INICIAL[[#This Row],[CODIGO]], PRODUCTOS[#All], 2, FALSE))</f>
        <v>Electrodo 7018 5/32</v>
      </c>
      <c r="E372" s="56">
        <v>33</v>
      </c>
    </row>
    <row r="373" spans="2:5" x14ac:dyDescent="0.2">
      <c r="B373" s="6" t="s">
        <v>1956</v>
      </c>
      <c r="C373" s="6" t="s">
        <v>1425</v>
      </c>
      <c r="D373" s="28" t="str">
        <f>IF(INICIAL[[#This Row],[CODIGO]]="", "", VLOOKUP(INICIAL[[#This Row],[CODIGO]], PRODUCTOS[#All], 2, FALSE))</f>
        <v>electrodo 7018 1/8</v>
      </c>
      <c r="E373" s="56">
        <v>27</v>
      </c>
    </row>
    <row r="374" spans="2:5" x14ac:dyDescent="0.2">
      <c r="B374" s="6" t="s">
        <v>1956</v>
      </c>
      <c r="C374" s="6" t="s">
        <v>1431</v>
      </c>
      <c r="D374" s="28" t="str">
        <f>IF(INICIAL[[#This Row],[CODIGO]]="", "", VLOOKUP(INICIAL[[#This Row],[CODIGO]], PRODUCTOS[#All], 2, FALSE))</f>
        <v xml:space="preserve">Electrodo 6013 3/16 </v>
      </c>
      <c r="E374" s="56">
        <v>5</v>
      </c>
    </row>
    <row r="375" spans="2:5" x14ac:dyDescent="0.2">
      <c r="B375" s="6" t="s">
        <v>1956</v>
      </c>
      <c r="C375" s="6" t="s">
        <v>1423</v>
      </c>
      <c r="D375" s="28" t="str">
        <f>IF(INICIAL[[#This Row],[CODIGO]]="", "", VLOOKUP(INICIAL[[#This Row],[CODIGO]], PRODUCTOS[#All], 2, FALSE))</f>
        <v>Electrodo 6013 1/8</v>
      </c>
      <c r="E375" s="56">
        <v>10</v>
      </c>
    </row>
    <row r="376" spans="2:5" x14ac:dyDescent="0.2">
      <c r="B376" s="6" t="s">
        <v>1956</v>
      </c>
      <c r="C376" s="6" t="s">
        <v>1441</v>
      </c>
      <c r="D376" s="28" t="str">
        <f>IF(INICIAL[[#This Row],[CODIGO]]="", "", VLOOKUP(INICIAL[[#This Row],[CODIGO]], PRODUCTOS[#All], 2, FALSE))</f>
        <v>Disco de diamamante 4 1/2"</v>
      </c>
      <c r="E376" s="56">
        <v>2</v>
      </c>
    </row>
    <row r="377" spans="2:5" x14ac:dyDescent="0.2">
      <c r="B377" s="6" t="s">
        <v>1956</v>
      </c>
      <c r="C377" s="6" t="s">
        <v>1419</v>
      </c>
      <c r="D377" s="28" t="str">
        <f>IF(INICIAL[[#This Row],[CODIGO]]="", "", VLOOKUP(INICIAL[[#This Row],[CODIGO]], PRODUCTOS[#All], 2, FALSE))</f>
        <v xml:space="preserve">Discos de desvaste marca makita 4"- 1/2 x 1/4 x 7/8 </v>
      </c>
      <c r="E377" s="56">
        <v>7</v>
      </c>
    </row>
    <row r="378" spans="2:5" x14ac:dyDescent="0.2">
      <c r="B378" s="6" t="s">
        <v>1956</v>
      </c>
      <c r="C378" s="6" t="s">
        <v>1421</v>
      </c>
      <c r="D378" s="28" t="str">
        <f>IF(INICIAL[[#This Row],[CODIGO]]="", "", VLOOKUP(INICIAL[[#This Row],[CODIGO]], PRODUCTOS[#All], 2, FALSE))</f>
        <v>Disco de corte 4" - 1/2 x 3/64 x 7/8</v>
      </c>
      <c r="E378" s="56">
        <v>11</v>
      </c>
    </row>
    <row r="379" spans="2:5" x14ac:dyDescent="0.2">
      <c r="B379" s="6" t="s">
        <v>1956</v>
      </c>
      <c r="C379" s="6" t="s">
        <v>1437</v>
      </c>
      <c r="D379" s="28" t="str">
        <f>IF(INICIAL[[#This Row],[CODIGO]]="", "", VLOOKUP(INICIAL[[#This Row],[CODIGO]], PRODUCTOS[#All], 2, FALSE))</f>
        <v>Disco abrasivo para corte 4"</v>
      </c>
      <c r="E379" s="56">
        <v>1</v>
      </c>
    </row>
    <row r="380" spans="2:5" x14ac:dyDescent="0.2">
      <c r="B380" s="6" t="s">
        <v>1956</v>
      </c>
      <c r="C380" s="6" t="s">
        <v>1740</v>
      </c>
      <c r="D380" s="28" t="str">
        <f>IF(INICIAL[[#This Row],[CODIGO]]="", "", VLOOKUP(INICIAL[[#This Row],[CODIGO]], PRODUCTOS[#All], 2, FALSE))</f>
        <v>Desengrasante automotriz 2L</v>
      </c>
      <c r="E380" s="56">
        <v>1</v>
      </c>
    </row>
    <row r="381" spans="2:5" x14ac:dyDescent="0.2">
      <c r="B381" s="6" t="s">
        <v>1956</v>
      </c>
      <c r="C381" s="6" t="s">
        <v>1832</v>
      </c>
      <c r="D381" s="28" t="str">
        <f>IF(INICIAL[[#This Row],[CODIGO]]="", "", VLOOKUP(INICIAL[[#This Row],[CODIGO]], PRODUCTOS[#All], 2, FALSE))</f>
        <v xml:space="preserve">Dardos </v>
      </c>
      <c r="E381" s="56">
        <v>1</v>
      </c>
    </row>
    <row r="382" spans="2:5" x14ac:dyDescent="0.2">
      <c r="B382" s="6" t="s">
        <v>1956</v>
      </c>
      <c r="C382" s="6" t="s">
        <v>1866</v>
      </c>
      <c r="D382" s="28" t="str">
        <f>IF(INICIAL[[#This Row],[CODIGO]]="", "", VLOOKUP(INICIAL[[#This Row],[CODIGO]], PRODUCTOS[#All], 2, FALSE))</f>
        <v xml:space="preserve">cuchillas 27kva </v>
      </c>
      <c r="E382" s="56">
        <v>2</v>
      </c>
    </row>
    <row r="383" spans="2:5" x14ac:dyDescent="0.2">
      <c r="B383" s="6" t="s">
        <v>1956</v>
      </c>
      <c r="C383" s="6" t="s">
        <v>1872</v>
      </c>
      <c r="D383" s="28" t="str">
        <f>IF(INICIAL[[#This Row],[CODIGO]]="", "", VLOOKUP(INICIAL[[#This Row],[CODIGO]], PRODUCTOS[#All], 2, FALSE))</f>
        <v>cople conduit galvanizado 4"</v>
      </c>
      <c r="E383" s="56">
        <v>1</v>
      </c>
    </row>
    <row r="384" spans="2:5" x14ac:dyDescent="0.2">
      <c r="B384" s="6" t="s">
        <v>1956</v>
      </c>
      <c r="C384" s="6" t="s">
        <v>1932</v>
      </c>
      <c r="D384" s="28" t="str">
        <f>IF(INICIAL[[#This Row],[CODIGO]]="", "", VLOOKUP(INICIAL[[#This Row],[CODIGO]], PRODUCTOS[#All], 2, FALSE))</f>
        <v xml:space="preserve">Controlador de flujo Badgermeter </v>
      </c>
      <c r="E384" s="56">
        <v>1</v>
      </c>
    </row>
    <row r="385" spans="2:5" x14ac:dyDescent="0.2">
      <c r="B385" s="6" t="s">
        <v>1956</v>
      </c>
      <c r="C385" s="6" t="s">
        <v>1646</v>
      </c>
      <c r="D385" s="28" t="str">
        <f>IF(INICIAL[[#This Row],[CODIGO]]="", "", VLOOKUP(INICIAL[[#This Row],[CODIGO]], PRODUCTOS[#All], 2, FALSE))</f>
        <v>Contacto</v>
      </c>
      <c r="E385" s="56">
        <v>1</v>
      </c>
    </row>
    <row r="386" spans="2:5" x14ac:dyDescent="0.2">
      <c r="B386" s="6" t="s">
        <v>1956</v>
      </c>
      <c r="C386" s="6" t="s">
        <v>1904</v>
      </c>
      <c r="D386" s="28" t="str">
        <f>IF(INICIAL[[#This Row],[CODIGO]]="", "", VLOOKUP(INICIAL[[#This Row],[CODIGO]], PRODUCTOS[#All], 2, FALSE))</f>
        <v xml:space="preserve">conector para puesta a tierra tipo lug </v>
      </c>
      <c r="E386" s="56">
        <v>20</v>
      </c>
    </row>
    <row r="387" spans="2:5" x14ac:dyDescent="0.2">
      <c r="B387" s="6" t="s">
        <v>1956</v>
      </c>
      <c r="C387" s="6" t="s">
        <v>1838</v>
      </c>
      <c r="D387" s="28" t="str">
        <f>IF(INICIAL[[#This Row],[CODIGO]]="", "", VLOOKUP(INICIAL[[#This Row],[CODIGO]], PRODUCTOS[#All], 2, FALSE))</f>
        <v>Conector tipo estribo 210</v>
      </c>
      <c r="E387" s="56">
        <v>1</v>
      </c>
    </row>
    <row r="388" spans="2:5" x14ac:dyDescent="0.2">
      <c r="B388" s="6" t="s">
        <v>1956</v>
      </c>
      <c r="C388" s="6" t="s">
        <v>1850</v>
      </c>
      <c r="D388" s="28" t="str">
        <f>IF(INICIAL[[#This Row],[CODIGO]]="", "", VLOOKUP(INICIAL[[#This Row],[CODIGO]], PRODUCTOS[#All], 2, FALSE))</f>
        <v>Conector tipo estribo 410</v>
      </c>
      <c r="E388" s="56">
        <v>3</v>
      </c>
    </row>
    <row r="389" spans="2:5" x14ac:dyDescent="0.2">
      <c r="B389" s="6" t="s">
        <v>1956</v>
      </c>
      <c r="C389" s="6" t="s">
        <v>1920</v>
      </c>
      <c r="D389" s="28" t="str">
        <f>IF(INICIAL[[#This Row],[CODIGO]]="", "", VLOOKUP(INICIAL[[#This Row],[CODIGO]], PRODUCTOS[#All], 2, FALSE))</f>
        <v>Conector tipo estribo 2/0</v>
      </c>
      <c r="E389" s="56">
        <v>1</v>
      </c>
    </row>
    <row r="390" spans="2:5" x14ac:dyDescent="0.2">
      <c r="B390" s="6" t="s">
        <v>1956</v>
      </c>
      <c r="C390" s="6" t="s">
        <v>1858</v>
      </c>
      <c r="D390" s="28" t="str">
        <f>IF(INICIAL[[#This Row],[CODIGO]]="", "", VLOOKUP(INICIAL[[#This Row],[CODIGO]], PRODUCTOS[#All], 2, FALSE))</f>
        <v>Conector de compresión tipo terminal 6 - 2/0</v>
      </c>
      <c r="E390" s="56">
        <v>5</v>
      </c>
    </row>
    <row r="391" spans="2:5" x14ac:dyDescent="0.2">
      <c r="B391" s="6" t="s">
        <v>1956</v>
      </c>
      <c r="C391" s="6" t="s">
        <v>1854</v>
      </c>
      <c r="D391" s="28" t="str">
        <f>IF(INICIAL[[#This Row],[CODIGO]]="", "", VLOOKUP(INICIAL[[#This Row],[CODIGO]], PRODUCTOS[#All], 2, FALSE))</f>
        <v>Conectores anderson 1/4</v>
      </c>
      <c r="E391" s="56">
        <v>12</v>
      </c>
    </row>
    <row r="392" spans="2:5" x14ac:dyDescent="0.2">
      <c r="B392" s="6" t="s">
        <v>1956</v>
      </c>
      <c r="C392" s="6" t="s">
        <v>1684</v>
      </c>
      <c r="D392" s="28" t="str">
        <f>IF(INICIAL[[#This Row],[CODIGO]]="", "", VLOOKUP(INICIAL[[#This Row],[CODIGO]], PRODUCTOS[#All], 2, FALSE))</f>
        <v>Cloro (quimico polvo) 23kg</v>
      </c>
      <c r="E392" s="56">
        <v>1</v>
      </c>
    </row>
    <row r="393" spans="2:5" x14ac:dyDescent="0.2">
      <c r="B393" s="6" t="s">
        <v>1956</v>
      </c>
      <c r="C393" s="6" t="s">
        <v>1902</v>
      </c>
      <c r="D393" s="28" t="str">
        <f>IF(INICIAL[[#This Row],[CODIGO]]="", "", VLOOKUP(INICIAL[[#This Row],[CODIGO]], PRODUCTOS[#All], 2, FALSE))</f>
        <v>clip para puesta puesta tierra</v>
      </c>
      <c r="E393" s="56">
        <v>179</v>
      </c>
    </row>
    <row r="394" spans="2:5" x14ac:dyDescent="0.2">
      <c r="B394" s="6" t="s">
        <v>1956</v>
      </c>
      <c r="C394" s="6" t="s">
        <v>1644</v>
      </c>
      <c r="D394" s="28" t="str">
        <f>IF(INICIAL[[#This Row],[CODIGO]]="", "", VLOOKUP(INICIAL[[#This Row],[CODIGO]], PRODUCTOS[#All], 2, FALSE))</f>
        <v xml:space="preserve">Clavijas </v>
      </c>
      <c r="E394" s="56">
        <v>2</v>
      </c>
    </row>
    <row r="395" spans="2:5" x14ac:dyDescent="0.2">
      <c r="B395" s="6" t="s">
        <v>1956</v>
      </c>
      <c r="C395" s="6" t="s">
        <v>1629</v>
      </c>
      <c r="D395" s="28" t="str">
        <f>IF(INICIAL[[#This Row],[CODIGO]]="", "", VLOOKUP(INICIAL[[#This Row],[CODIGO]], PRODUCTOS[#All], 2, FALSE))</f>
        <v>Clavos 5mm x 50mm</v>
      </c>
      <c r="E395" s="56">
        <v>40</v>
      </c>
    </row>
    <row r="396" spans="2:5" x14ac:dyDescent="0.2">
      <c r="B396" s="6" t="s">
        <v>1956</v>
      </c>
      <c r="C396" s="6" t="s">
        <v>1625</v>
      </c>
      <c r="D396" s="28" t="str">
        <f>IF(INICIAL[[#This Row],[CODIGO]]="", "", VLOOKUP(INICIAL[[#This Row],[CODIGO]], PRODUCTOS[#All], 2, FALSE))</f>
        <v>Clavos 40mm</v>
      </c>
      <c r="E396" s="56">
        <v>250</v>
      </c>
    </row>
    <row r="397" spans="2:5" x14ac:dyDescent="0.2">
      <c r="B397" s="6" t="s">
        <v>1956</v>
      </c>
      <c r="C397" s="6" t="s">
        <v>1627</v>
      </c>
      <c r="D397" s="28" t="str">
        <f>IF(INICIAL[[#This Row],[CODIGO]]="", "", VLOOKUP(INICIAL[[#This Row],[CODIGO]], PRODUCTOS[#All], 2, FALSE))</f>
        <v>Clavos 10mm x 35mm</v>
      </c>
      <c r="E397" s="56">
        <v>50</v>
      </c>
    </row>
    <row r="398" spans="2:5" x14ac:dyDescent="0.2">
      <c r="B398" s="6" t="s">
        <v>1956</v>
      </c>
      <c r="C398" s="6" t="s">
        <v>1824</v>
      </c>
      <c r="D398" s="28" t="str">
        <f>IF(INICIAL[[#This Row],[CODIGO]]="", "", VLOOKUP(INICIAL[[#This Row],[CODIGO]], PRODUCTOS[#All], 2, FALSE))</f>
        <v>Cincho con matraca 181k</v>
      </c>
      <c r="E398" s="56">
        <v>1</v>
      </c>
    </row>
    <row r="399" spans="2:5" x14ac:dyDescent="0.2">
      <c r="B399" s="6" t="s">
        <v>1956</v>
      </c>
      <c r="C399" s="6" t="s">
        <v>1952</v>
      </c>
      <c r="D399" s="28" t="str">
        <f>IF(INICIAL[[#This Row],[CODIGO]]="", "", VLOOKUP(INICIAL[[#This Row],[CODIGO]], PRODUCTOS[#All], 2, FALSE))</f>
        <v>Cinchos 6m (4 toneladas)</v>
      </c>
      <c r="E399" s="56">
        <v>15</v>
      </c>
    </row>
    <row r="400" spans="2:5" x14ac:dyDescent="0.2">
      <c r="B400" s="6" t="s">
        <v>1956</v>
      </c>
      <c r="C400" s="6" t="s">
        <v>1818</v>
      </c>
      <c r="D400" s="28" t="str">
        <f>IF(INICIAL[[#This Row],[CODIGO]]="", "", VLOOKUP(INICIAL[[#This Row],[CODIGO]], PRODUCTOS[#All], 2, FALSE))</f>
        <v>Cinchos 5.08 x 8.23</v>
      </c>
      <c r="E400" s="56">
        <v>1500</v>
      </c>
    </row>
    <row r="401" spans="2:5" x14ac:dyDescent="0.2">
      <c r="B401" s="6" t="s">
        <v>1956</v>
      </c>
      <c r="C401" s="6" t="s">
        <v>1696</v>
      </c>
      <c r="D401" s="28" t="str">
        <f>IF(INICIAL[[#This Row],[CODIGO]]="", "", VLOOKUP(INICIAL[[#This Row],[CODIGO]], PRODUCTOS[#All], 2, FALSE))</f>
        <v xml:space="preserve">Cera para carros </v>
      </c>
      <c r="E401" s="56">
        <v>1</v>
      </c>
    </row>
    <row r="402" spans="2:5" x14ac:dyDescent="0.2">
      <c r="B402" s="6" t="s">
        <v>1956</v>
      </c>
      <c r="C402" s="6" t="s">
        <v>1439</v>
      </c>
      <c r="D402" s="28" t="str">
        <f>IF(INICIAL[[#This Row],[CODIGO]]="", "", VLOOKUP(INICIAL[[#This Row],[CODIGO]], PRODUCTOS[#All], 2, FALSE))</f>
        <v>Cepillo en forma de copa 4"</v>
      </c>
      <c r="E402" s="56">
        <v>1</v>
      </c>
    </row>
    <row r="403" spans="2:5" x14ac:dyDescent="0.2">
      <c r="B403" s="6" t="s">
        <v>1956</v>
      </c>
      <c r="C403" s="6" t="s">
        <v>1435</v>
      </c>
      <c r="D403" s="28" t="str">
        <f>IF(INICIAL[[#This Row],[CODIGO]]="", "", VLOOKUP(INICIAL[[#This Row],[CODIGO]], PRODUCTOS[#All], 2, FALSE))</f>
        <v xml:space="preserve">cepillo circular 4" </v>
      </c>
      <c r="E403" s="56">
        <v>1</v>
      </c>
    </row>
    <row r="404" spans="2:5" x14ac:dyDescent="0.2">
      <c r="B404" s="6" t="s">
        <v>1956</v>
      </c>
      <c r="C404" s="6" t="s">
        <v>1658</v>
      </c>
      <c r="D404" s="28" t="str">
        <f>IF(INICIAL[[#This Row],[CODIGO]]="", "", VLOOKUP(INICIAL[[#This Row],[CODIGO]], PRODUCTOS[#All], 2, FALSE))</f>
        <v xml:space="preserve">Casco naranja </v>
      </c>
      <c r="E404" s="56">
        <v>1</v>
      </c>
    </row>
    <row r="405" spans="2:5" x14ac:dyDescent="0.2">
      <c r="B405" s="6" t="s">
        <v>1956</v>
      </c>
      <c r="C405" s="6" t="s">
        <v>1656</v>
      </c>
      <c r="D405" s="28" t="str">
        <f>IF(INICIAL[[#This Row],[CODIGO]]="", "", VLOOKUP(INICIAL[[#This Row],[CODIGO]], PRODUCTOS[#All], 2, FALSE))</f>
        <v>Casco blanco</v>
      </c>
      <c r="E405" s="56">
        <v>2</v>
      </c>
    </row>
    <row r="406" spans="2:5" x14ac:dyDescent="0.2">
      <c r="B406" s="6" t="s">
        <v>1956</v>
      </c>
      <c r="C406" s="6" t="s">
        <v>1660</v>
      </c>
      <c r="D406" s="28" t="str">
        <f>IF(INICIAL[[#This Row],[CODIGO]]="", "", VLOOKUP(INICIAL[[#This Row],[CODIGO]], PRODUCTOS[#All], 2, FALSE))</f>
        <v>Casca amarillo</v>
      </c>
      <c r="E406" s="56">
        <v>2</v>
      </c>
    </row>
    <row r="407" spans="2:5" x14ac:dyDescent="0.2">
      <c r="B407" s="6" t="s">
        <v>1956</v>
      </c>
      <c r="C407" s="6" t="s">
        <v>1706</v>
      </c>
      <c r="D407" s="28" t="str">
        <f>IF(INICIAL[[#This Row],[CODIGO]]="", "", VLOOKUP(INICIAL[[#This Row],[CODIGO]], PRODUCTOS[#All], 2, FALSE))</f>
        <v xml:space="preserve">Cartucho de gas </v>
      </c>
      <c r="E407" s="56">
        <v>1</v>
      </c>
    </row>
    <row r="408" spans="2:5" x14ac:dyDescent="0.2">
      <c r="B408" s="6" t="s">
        <v>1956</v>
      </c>
      <c r="C408" s="6" t="s">
        <v>1654</v>
      </c>
      <c r="D408" s="28" t="str">
        <f>IF(INICIAL[[#This Row],[CODIGO]]="", "", VLOOKUP(INICIAL[[#This Row],[CODIGO]], PRODUCTOS[#All], 2, FALSE))</f>
        <v xml:space="preserve">Caretas de soldador </v>
      </c>
      <c r="E408" s="56">
        <v>4</v>
      </c>
    </row>
    <row r="409" spans="2:5" x14ac:dyDescent="0.2">
      <c r="B409" s="6" t="s">
        <v>1956</v>
      </c>
      <c r="C409" s="6" t="s">
        <v>1666</v>
      </c>
      <c r="D409" s="28" t="str">
        <f>IF(INICIAL[[#This Row],[CODIGO]]="", "", VLOOKUP(INICIAL[[#This Row],[CODIGO]], PRODUCTOS[#All], 2, FALSE))</f>
        <v>Capuchas mezclilla</v>
      </c>
      <c r="E409" s="56">
        <v>4</v>
      </c>
    </row>
    <row r="410" spans="2:5" x14ac:dyDescent="0.2">
      <c r="B410" s="6" t="s">
        <v>1956</v>
      </c>
      <c r="C410" s="6" t="s">
        <v>1926</v>
      </c>
      <c r="D410" s="28" t="str">
        <f>IF(INICIAL[[#This Row],[CODIGO]]="", "", VLOOKUP(INICIAL[[#This Row],[CODIGO]], PRODUCTOS[#All], 2, FALSE))</f>
        <v>Cable para conexión verde 14 AWG</v>
      </c>
      <c r="E410" s="56">
        <v>50</v>
      </c>
    </row>
    <row r="411" spans="2:5" x14ac:dyDescent="0.2">
      <c r="B411" s="6" t="s">
        <v>1956</v>
      </c>
      <c r="C411" s="6" t="s">
        <v>1884</v>
      </c>
      <c r="D411" s="28" t="str">
        <f>IF(INICIAL[[#This Row],[CODIGO]]="", "", VLOOKUP(INICIAL[[#This Row],[CODIGO]], PRODUCTOS[#All], 2, FALSE))</f>
        <v xml:space="preserve">Cable de acero trenzado </v>
      </c>
      <c r="E411" s="56">
        <v>14</v>
      </c>
    </row>
    <row r="412" spans="2:5" x14ac:dyDescent="0.2">
      <c r="B412" s="6" t="s">
        <v>1956</v>
      </c>
      <c r="C412" s="6" t="s">
        <v>1796</v>
      </c>
      <c r="D412" s="28" t="str">
        <f>IF(INICIAL[[#This Row],[CODIGO]]="", "", VLOOKUP(INICIAL[[#This Row],[CODIGO]], PRODUCTOS[#All], 2, FALSE))</f>
        <v>Cable sumergible 6 AWG</v>
      </c>
      <c r="E412" s="56">
        <v>34.22</v>
      </c>
    </row>
    <row r="413" spans="2:5" x14ac:dyDescent="0.2">
      <c r="B413" s="6" t="s">
        <v>1956</v>
      </c>
      <c r="C413" s="6" t="s">
        <v>1800</v>
      </c>
      <c r="D413" s="28" t="str">
        <f>IF(INICIAL[[#This Row],[CODIGO]]="", "", VLOOKUP(INICIAL[[#This Row],[CODIGO]], PRODUCTOS[#All], 2, FALSE))</f>
        <v>Cable sumergible 4 AWG</v>
      </c>
      <c r="E413" s="56">
        <v>10</v>
      </c>
    </row>
    <row r="414" spans="2:5" x14ac:dyDescent="0.2">
      <c r="B414" s="6" t="s">
        <v>1956</v>
      </c>
      <c r="C414" s="6" t="s">
        <v>1798</v>
      </c>
      <c r="D414" s="28" t="str">
        <f>IF(INICIAL[[#This Row],[CODIGO]]="", "", VLOOKUP(INICIAL[[#This Row],[CODIGO]], PRODUCTOS[#All], 2, FALSE))</f>
        <v>Cable sumergible 3x4/0</v>
      </c>
      <c r="E414" s="56">
        <v>70</v>
      </c>
    </row>
    <row r="415" spans="2:5" x14ac:dyDescent="0.2">
      <c r="B415" s="6" t="s">
        <v>1956</v>
      </c>
      <c r="C415" s="6" t="s">
        <v>1792</v>
      </c>
      <c r="D415" s="28" t="str">
        <f>IF(INICIAL[[#This Row],[CODIGO]]="", "", VLOOKUP(INICIAL[[#This Row],[CODIGO]], PRODUCTOS[#All], 2, FALSE))</f>
        <v>Cable sumergible 3x1/0</v>
      </c>
      <c r="E415" s="56">
        <v>2.42</v>
      </c>
    </row>
    <row r="416" spans="2:5" x14ac:dyDescent="0.2">
      <c r="B416" s="6" t="s">
        <v>1956</v>
      </c>
      <c r="C416" s="6" t="s">
        <v>1802</v>
      </c>
      <c r="D416" s="28" t="str">
        <f>IF(INICIAL[[#This Row],[CODIGO]]="", "", VLOOKUP(INICIAL[[#This Row],[CODIGO]], PRODUCTOS[#All], 2, FALSE))</f>
        <v>Cable sumergible 2/0</v>
      </c>
      <c r="E416" s="56">
        <v>32.6</v>
      </c>
    </row>
    <row r="417" spans="2:5" x14ac:dyDescent="0.2">
      <c r="B417" s="6" t="s">
        <v>1956</v>
      </c>
      <c r="C417" s="6" t="s">
        <v>1794</v>
      </c>
      <c r="D417" s="28" t="str">
        <f>IF(INICIAL[[#This Row],[CODIGO]]="", "", VLOOKUP(INICIAL[[#This Row],[CODIGO]], PRODUCTOS[#All], 2, FALSE))</f>
        <v>Cable sumergible 1/0</v>
      </c>
      <c r="E417" s="56">
        <v>23</v>
      </c>
    </row>
    <row r="418" spans="2:5" x14ac:dyDescent="0.2">
      <c r="B418" s="6" t="s">
        <v>1956</v>
      </c>
      <c r="C418" s="6" t="s">
        <v>1804</v>
      </c>
      <c r="D418" s="28" t="str">
        <f>IF(INICIAL[[#This Row],[CODIGO]]="", "", VLOOKUP(INICIAL[[#This Row],[CODIGO]], PRODUCTOS[#All], 2, FALSE))</f>
        <v>Cable con recubrimiento 3/10 19hilos</v>
      </c>
      <c r="E418" s="56">
        <v>73.55</v>
      </c>
    </row>
    <row r="419" spans="2:5" x14ac:dyDescent="0.2">
      <c r="B419" s="6" t="s">
        <v>1956</v>
      </c>
      <c r="C419" s="6" t="s">
        <v>1954</v>
      </c>
      <c r="D419" s="28" t="str">
        <f>IF(INICIAL[[#This Row],[CODIGO]]="", "", VLOOKUP(INICIAL[[#This Row],[CODIGO]], PRODUCTOS[#All], 2, FALSE))</f>
        <v xml:space="preserve">Cable de media </v>
      </c>
      <c r="E419" s="56">
        <v>55</v>
      </c>
    </row>
    <row r="420" spans="2:5" x14ac:dyDescent="0.2">
      <c r="B420" s="6" t="s">
        <v>1956</v>
      </c>
      <c r="C420" s="6" t="s">
        <v>1916</v>
      </c>
      <c r="D420" s="28" t="str">
        <f>IF(INICIAL[[#This Row],[CODIGO]]="", "", VLOOKUP(INICIAL[[#This Row],[CODIGO]], PRODUCTOS[#All], 2, FALSE))</f>
        <v>Cable de cobre 7/16</v>
      </c>
      <c r="E420" s="56">
        <v>13</v>
      </c>
    </row>
    <row r="421" spans="2:5" x14ac:dyDescent="0.2">
      <c r="B421" s="6" t="s">
        <v>1956</v>
      </c>
      <c r="C421" s="6" t="s">
        <v>1918</v>
      </c>
      <c r="D421" s="28" t="str">
        <f>IF(INICIAL[[#This Row],[CODIGO]]="", "", VLOOKUP(INICIAL[[#This Row],[CODIGO]], PRODUCTOS[#All], 2, FALSE))</f>
        <v>Cable de cobre 5/16</v>
      </c>
      <c r="E421" s="56">
        <v>21.7</v>
      </c>
    </row>
    <row r="422" spans="2:5" x14ac:dyDescent="0.2">
      <c r="B422" s="6" t="s">
        <v>1956</v>
      </c>
      <c r="C422" s="6" t="s">
        <v>1924</v>
      </c>
      <c r="D422" s="28" t="str">
        <f>IF(INICIAL[[#This Row],[CODIGO]]="", "", VLOOKUP(INICIAL[[#This Row],[CODIGO]], PRODUCTOS[#All], 2, FALSE))</f>
        <v>Cable blanco 12 AWG</v>
      </c>
      <c r="E422" s="56">
        <v>70</v>
      </c>
    </row>
    <row r="423" spans="2:5" x14ac:dyDescent="0.2">
      <c r="B423" s="6" t="s">
        <v>1956</v>
      </c>
      <c r="C423" s="6" t="s">
        <v>1928</v>
      </c>
      <c r="D423" s="28" t="str">
        <f>IF(INICIAL[[#This Row],[CODIGO]]="", "", VLOOKUP(INICIAL[[#This Row],[CODIGO]], PRODUCTOS[#All], 2, FALSE))</f>
        <v>Cable para conexión blanco 10 AWG</v>
      </c>
      <c r="E423" s="56">
        <v>50</v>
      </c>
    </row>
    <row r="424" spans="2:5" x14ac:dyDescent="0.2">
      <c r="B424" s="6" t="s">
        <v>1956</v>
      </c>
      <c r="C424" s="6" t="s">
        <v>1922</v>
      </c>
      <c r="D424" s="28" t="str">
        <f>IF(INICIAL[[#This Row],[CODIGO]]="", "", VLOOKUP(INICIAL[[#This Row],[CODIGO]], PRODUCTOS[#All], 2, FALSE))</f>
        <v xml:space="preserve">Cable aluminio </v>
      </c>
      <c r="E424" s="56">
        <v>20</v>
      </c>
    </row>
    <row r="425" spans="2:5" x14ac:dyDescent="0.2">
      <c r="B425" s="6" t="s">
        <v>1956</v>
      </c>
      <c r="C425" s="6" t="s">
        <v>1712</v>
      </c>
      <c r="D425" s="28" t="str">
        <f>IF(INICIAL[[#This Row],[CODIGO]]="", "", VLOOKUP(INICIAL[[#This Row],[CODIGO]], PRODUCTOS[#All], 2, FALSE))</f>
        <v>Brochas de pintura</v>
      </c>
      <c r="E425" s="56">
        <v>4</v>
      </c>
    </row>
    <row r="426" spans="2:5" x14ac:dyDescent="0.2">
      <c r="B426" s="6" t="s">
        <v>1956</v>
      </c>
      <c r="C426" s="6" t="s">
        <v>1477</v>
      </c>
      <c r="D426" s="28" t="str">
        <f>IF(INICIAL[[#This Row],[CODIGO]]="", "", VLOOKUP(INICIAL[[#This Row],[CODIGO]], PRODUCTOS[#All], 2, FALSE))</f>
        <v>Brocas 7/32 metal</v>
      </c>
      <c r="E426" s="56">
        <v>1</v>
      </c>
    </row>
    <row r="427" spans="2:5" x14ac:dyDescent="0.2">
      <c r="B427" s="6" t="s">
        <v>1956</v>
      </c>
      <c r="C427" s="6" t="s">
        <v>1455</v>
      </c>
      <c r="D427" s="28" t="str">
        <f>IF(INICIAL[[#This Row],[CODIGO]]="", "", VLOOKUP(INICIAL[[#This Row],[CODIGO]], PRODUCTOS[#All], 2, FALSE))</f>
        <v xml:space="preserve">Brocas 7/32 madera </v>
      </c>
      <c r="E427" s="56">
        <v>1</v>
      </c>
    </row>
    <row r="428" spans="2:5" x14ac:dyDescent="0.2">
      <c r="B428" s="6" t="s">
        <v>1956</v>
      </c>
      <c r="C428" s="6" t="s">
        <v>1473</v>
      </c>
      <c r="D428" s="28" t="str">
        <f>IF(INICIAL[[#This Row],[CODIGO]]="", "", VLOOKUP(INICIAL[[#This Row],[CODIGO]], PRODUCTOS[#All], 2, FALSE))</f>
        <v>Brocas 7/16 metal</v>
      </c>
      <c r="E428" s="56">
        <v>1</v>
      </c>
    </row>
    <row r="429" spans="2:5" x14ac:dyDescent="0.2">
      <c r="B429" s="6" t="s">
        <v>1956</v>
      </c>
      <c r="C429" s="6" t="s">
        <v>1461</v>
      </c>
      <c r="D429" s="28" t="str">
        <f>IF(INICIAL[[#This Row],[CODIGO]]="", "", VLOOKUP(INICIAL[[#This Row],[CODIGO]], PRODUCTOS[#All], 2, FALSE))</f>
        <v>Brocas 5/3 metal</v>
      </c>
      <c r="E429" s="56">
        <v>1</v>
      </c>
    </row>
    <row r="430" spans="2:5" x14ac:dyDescent="0.2">
      <c r="B430" s="6" t="s">
        <v>1956</v>
      </c>
      <c r="C430" s="6" t="s">
        <v>1449</v>
      </c>
      <c r="D430" s="28" t="str">
        <f>IF(INICIAL[[#This Row],[CODIGO]]="", "", VLOOKUP(INICIAL[[#This Row],[CODIGO]], PRODUCTOS[#All], 2, FALSE))</f>
        <v>Brocas 5/32 metal</v>
      </c>
      <c r="E430" s="56">
        <v>1</v>
      </c>
    </row>
    <row r="431" spans="2:5" x14ac:dyDescent="0.2">
      <c r="B431" s="6" t="s">
        <v>1956</v>
      </c>
      <c r="C431" s="6" t="s">
        <v>1447</v>
      </c>
      <c r="D431" s="28" t="str">
        <f>IF(INICIAL[[#This Row],[CODIGO]]="", "", VLOOKUP(INICIAL[[#This Row],[CODIGO]], PRODUCTOS[#All], 2, FALSE))</f>
        <v>Brocas 5/16 metal</v>
      </c>
      <c r="E431" s="56">
        <v>2</v>
      </c>
    </row>
    <row r="432" spans="2:5" x14ac:dyDescent="0.2">
      <c r="B432" s="6" t="s">
        <v>1956</v>
      </c>
      <c r="C432" s="6" t="s">
        <v>1469</v>
      </c>
      <c r="D432" s="28" t="str">
        <f>IF(INICIAL[[#This Row],[CODIGO]]="", "", VLOOKUP(INICIAL[[#This Row],[CODIGO]], PRODUCTOS[#All], 2, FALSE))</f>
        <v xml:space="preserve">Borcas 5/16 madera </v>
      </c>
      <c r="E432" s="56">
        <v>1</v>
      </c>
    </row>
    <row r="433" spans="2:5" x14ac:dyDescent="0.2">
      <c r="B433" s="6" t="s">
        <v>1956</v>
      </c>
      <c r="C433" s="6" t="s">
        <v>1471</v>
      </c>
      <c r="D433" s="28" t="str">
        <f>IF(INICIAL[[#This Row],[CODIGO]]="", "", VLOOKUP(INICIAL[[#This Row],[CODIGO]], PRODUCTOS[#All], 2, FALSE))</f>
        <v>Brocas 5/16 concreto</v>
      </c>
      <c r="E433" s="56">
        <v>2</v>
      </c>
    </row>
    <row r="434" spans="2:5" x14ac:dyDescent="0.2">
      <c r="B434" s="6" t="s">
        <v>1956</v>
      </c>
      <c r="C434" s="6" t="s">
        <v>1467</v>
      </c>
      <c r="D434" s="28" t="str">
        <f>IF(INICIAL[[#This Row],[CODIGO]]="", "", VLOOKUP(INICIAL[[#This Row],[CODIGO]], PRODUCTOS[#All], 2, FALSE))</f>
        <v>Brocas 3/8 metal</v>
      </c>
      <c r="E434" s="56">
        <v>3</v>
      </c>
    </row>
    <row r="435" spans="2:5" x14ac:dyDescent="0.2">
      <c r="B435" s="6" t="s">
        <v>1956</v>
      </c>
      <c r="C435" s="6" t="s">
        <v>1459</v>
      </c>
      <c r="D435" s="28" t="str">
        <f>IF(INICIAL[[#This Row],[CODIGO]]="", "", VLOOKUP(INICIAL[[#This Row],[CODIGO]], PRODUCTOS[#All], 2, FALSE))</f>
        <v>Brocas 3/8 concreto</v>
      </c>
      <c r="E435" s="56">
        <v>1</v>
      </c>
    </row>
    <row r="436" spans="2:5" x14ac:dyDescent="0.2">
      <c r="B436" s="6" t="s">
        <v>1956</v>
      </c>
      <c r="C436" s="6" t="s">
        <v>1475</v>
      </c>
      <c r="D436" s="28" t="str">
        <f>IF(INICIAL[[#This Row],[CODIGO]]="", "", VLOOKUP(INICIAL[[#This Row],[CODIGO]], PRODUCTOS[#All], 2, FALSE))</f>
        <v>Brocas 3/32 metal</v>
      </c>
      <c r="E436" s="56">
        <v>2</v>
      </c>
    </row>
    <row r="437" spans="2:5" x14ac:dyDescent="0.2">
      <c r="B437" s="6" t="s">
        <v>1956</v>
      </c>
      <c r="C437" s="6" t="s">
        <v>1453</v>
      </c>
      <c r="D437" s="28" t="str">
        <f>IF(INICIAL[[#This Row],[CODIGO]]="", "", VLOOKUP(INICIAL[[#This Row],[CODIGO]], PRODUCTOS[#All], 2, FALSE))</f>
        <v xml:space="preserve">Brocas 3/16 metal </v>
      </c>
      <c r="E437" s="56">
        <v>3</v>
      </c>
    </row>
    <row r="438" spans="2:5" x14ac:dyDescent="0.2">
      <c r="B438" s="6" t="s">
        <v>1956</v>
      </c>
      <c r="C438" s="6" t="s">
        <v>1451</v>
      </c>
      <c r="D438" s="28" t="str">
        <f>IF(INICIAL[[#This Row],[CODIGO]]="", "", VLOOKUP(INICIAL[[#This Row],[CODIGO]], PRODUCTOS[#All], 2, FALSE))</f>
        <v>Brocas 1/8 metal</v>
      </c>
      <c r="E438" s="56">
        <v>2</v>
      </c>
    </row>
    <row r="439" spans="2:5" x14ac:dyDescent="0.2">
      <c r="B439" s="6" t="s">
        <v>1956</v>
      </c>
      <c r="C439" s="6" t="s">
        <v>1445</v>
      </c>
      <c r="D439" s="28" t="str">
        <f>IF(INICIAL[[#This Row],[CODIGO]]="", "", VLOOKUP(INICIAL[[#This Row],[CODIGO]], PRODUCTOS[#All], 2, FALSE))</f>
        <v>Brocas 1/4 metal</v>
      </c>
      <c r="E439" s="56">
        <v>1</v>
      </c>
    </row>
    <row r="440" spans="2:5" x14ac:dyDescent="0.2">
      <c r="B440" s="6" t="s">
        <v>1956</v>
      </c>
      <c r="C440" s="6" t="s">
        <v>1457</v>
      </c>
      <c r="D440" s="28" t="str">
        <f>IF(INICIAL[[#This Row],[CODIGO]]="", "", VLOOKUP(INICIAL[[#This Row],[CODIGO]], PRODUCTOS[#All], 2, FALSE))</f>
        <v xml:space="preserve">Brocas 1/4 concreto </v>
      </c>
      <c r="E440" s="56">
        <v>1</v>
      </c>
    </row>
    <row r="441" spans="2:5" x14ac:dyDescent="0.2">
      <c r="B441" s="6" t="s">
        <v>1956</v>
      </c>
      <c r="C441" s="6" t="s">
        <v>1463</v>
      </c>
      <c r="D441" s="28" t="str">
        <f>IF(INICIAL[[#This Row],[CODIGO]]="", "", VLOOKUP(INICIAL[[#This Row],[CODIGO]], PRODUCTOS[#All], 2, FALSE))</f>
        <v>Brocas 1/2 metal</v>
      </c>
      <c r="E441" s="56">
        <v>2</v>
      </c>
    </row>
    <row r="442" spans="2:5" x14ac:dyDescent="0.2">
      <c r="B442" s="6" t="s">
        <v>1956</v>
      </c>
      <c r="C442" s="6" t="s">
        <v>1465</v>
      </c>
      <c r="D442" s="28" t="str">
        <f>IF(INICIAL[[#This Row],[CODIGO]]="", "", VLOOKUP(INICIAL[[#This Row],[CODIGO]], PRODUCTOS[#All], 2, FALSE))</f>
        <v>Brocas 1/2"</v>
      </c>
      <c r="E442" s="56">
        <v>2</v>
      </c>
    </row>
    <row r="443" spans="2:5" x14ac:dyDescent="0.2">
      <c r="B443" s="6" t="s">
        <v>1956</v>
      </c>
      <c r="C443" s="6" t="s">
        <v>1806</v>
      </c>
      <c r="D443" s="28" t="str">
        <f>IF(INICIAL[[#This Row],[CODIGO]]="", "", VLOOKUP(INICIAL[[#This Row],[CODIGO]], PRODUCTOS[#All], 2, FALSE))</f>
        <v>Bomba sumergible 1hp truper</v>
      </c>
      <c r="E443" s="56">
        <v>1</v>
      </c>
    </row>
    <row r="444" spans="2:5" x14ac:dyDescent="0.2">
      <c r="B444" s="6" t="s">
        <v>1956</v>
      </c>
      <c r="C444" s="6" t="s">
        <v>1708</v>
      </c>
      <c r="D444" s="28" t="str">
        <f>IF(INICIAL[[#This Row],[CODIGO]]="", "", VLOOKUP(INICIAL[[#This Row],[CODIGO]], PRODUCTOS[#All], 2, FALSE))</f>
        <v xml:space="preserve">Bolas de rafia </v>
      </c>
      <c r="E444" s="56">
        <v>3</v>
      </c>
    </row>
    <row r="445" spans="2:5" x14ac:dyDescent="0.2">
      <c r="B445" s="6" t="s">
        <v>1956</v>
      </c>
      <c r="C445" s="6" t="s">
        <v>1894</v>
      </c>
      <c r="D445" s="28" t="str">
        <f>IF(INICIAL[[#This Row],[CODIGO]]="", "", VLOOKUP(INICIAL[[#This Row],[CODIGO]], PRODUCTOS[#All], 2, FALSE))</f>
        <v>Barras de cobre para arrancador 7"</v>
      </c>
      <c r="E445" s="56">
        <v>1</v>
      </c>
    </row>
    <row r="446" spans="2:5" x14ac:dyDescent="0.2">
      <c r="B446" s="6" t="s">
        <v>1956</v>
      </c>
      <c r="C446" s="6" t="s">
        <v>1892</v>
      </c>
      <c r="D446" s="28" t="str">
        <f>IF(INICIAL[[#This Row],[CODIGO]]="", "", VLOOKUP(INICIAL[[#This Row],[CODIGO]], PRODUCTOS[#All], 2, FALSE))</f>
        <v>Barras de cobre para arrancador 6"</v>
      </c>
      <c r="E446" s="56">
        <v>3</v>
      </c>
    </row>
    <row r="447" spans="2:5" x14ac:dyDescent="0.2">
      <c r="B447" s="6" t="s">
        <v>1956</v>
      </c>
      <c r="C447" s="6" t="s">
        <v>1890</v>
      </c>
      <c r="D447" s="28" t="str">
        <f>IF(INICIAL[[#This Row],[CODIGO]]="", "", VLOOKUP(INICIAL[[#This Row],[CODIGO]], PRODUCTOS[#All], 2, FALSE))</f>
        <v>Barras de cobre para arrancador 3"</v>
      </c>
      <c r="E447" s="56">
        <v>5</v>
      </c>
    </row>
    <row r="448" spans="2:5" x14ac:dyDescent="0.2">
      <c r="B448" s="6" t="s">
        <v>1956</v>
      </c>
      <c r="C448" s="6" t="s">
        <v>1786</v>
      </c>
      <c r="D448" s="28" t="str">
        <f>IF(INICIAL[[#This Row],[CODIGO]]="", "", VLOOKUP(INICIAL[[#This Row],[CODIGO]], PRODUCTOS[#All], 2, FALSE))</f>
        <v>Anticongelante autozone 1lt</v>
      </c>
      <c r="E448" s="56">
        <v>1</v>
      </c>
    </row>
    <row r="449" spans="2:5" x14ac:dyDescent="0.2">
      <c r="B449" s="6" t="s">
        <v>1956</v>
      </c>
      <c r="C449" s="6" t="s">
        <v>1784</v>
      </c>
      <c r="D449" s="28" t="str">
        <f>IF(INICIAL[[#This Row],[CODIGO]]="", "", VLOOKUP(INICIAL[[#This Row],[CODIGO]], PRODUCTOS[#All], 2, FALSE))</f>
        <v>Anticongelante akron 1lt</v>
      </c>
      <c r="E449" s="56">
        <v>1</v>
      </c>
    </row>
    <row r="450" spans="2:5" x14ac:dyDescent="0.2">
      <c r="B450" s="6" t="s">
        <v>1956</v>
      </c>
      <c r="C450" s="6" t="s">
        <v>1688</v>
      </c>
      <c r="D450" s="28" t="str">
        <f>IF(INICIAL[[#This Row],[CODIGO]]="", "", VLOOKUP(INICIAL[[#This Row],[CODIGO]], PRODUCTOS[#All], 2, FALSE))</f>
        <v>Anticongelante Quakel statc 2lts</v>
      </c>
      <c r="E450" s="56">
        <v>1</v>
      </c>
    </row>
    <row r="451" spans="2:5" x14ac:dyDescent="0.2">
      <c r="B451" s="6" t="s">
        <v>1956</v>
      </c>
      <c r="C451" s="6" t="s">
        <v>1844</v>
      </c>
      <c r="D451" s="28" t="str">
        <f>IF(INICIAL[[#This Row],[CODIGO]]="", "", VLOOKUP(INICIAL[[#This Row],[CODIGO]], PRODUCTOS[#All], 2, FALSE))</f>
        <v>Aislador de suspensión 23kb</v>
      </c>
      <c r="E451" s="56">
        <v>3</v>
      </c>
    </row>
    <row r="452" spans="2:5" x14ac:dyDescent="0.2">
      <c r="B452" s="6" t="s">
        <v>1956</v>
      </c>
      <c r="C452" s="6" t="s">
        <v>1840</v>
      </c>
      <c r="D452" s="28" t="str">
        <f>IF(INICIAL[[#This Row],[CODIGO]]="", "", VLOOKUP(INICIAL[[#This Row],[CODIGO]], PRODUCTOS[#All], 2, FALSE))</f>
        <v>Aislador de porcelana tipo retenido</v>
      </c>
      <c r="E452" s="56">
        <v>13</v>
      </c>
    </row>
    <row r="453" spans="2:5" x14ac:dyDescent="0.2">
      <c r="B453" s="6" t="s">
        <v>1956</v>
      </c>
      <c r="C453" s="6" t="s">
        <v>1860</v>
      </c>
      <c r="D453" s="28" t="str">
        <f>IF(INICIAL[[#This Row],[CODIGO]]="", "", VLOOKUP(INICIAL[[#This Row],[CODIGO]], PRODUCTOS[#All], 2, FALSE))</f>
        <v xml:space="preserve">Aislador tipo mensula 23kva </v>
      </c>
      <c r="E453" s="56">
        <v>8</v>
      </c>
    </row>
    <row r="454" spans="2:5" x14ac:dyDescent="0.2">
      <c r="B454" s="6" t="s">
        <v>1956</v>
      </c>
      <c r="C454" s="6" t="s">
        <v>1700</v>
      </c>
      <c r="D454" s="28" t="str">
        <f>IF(INICIAL[[#This Row],[CODIGO]]="", "", VLOOKUP(INICIAL[[#This Row],[CODIGO]], PRODUCTOS[#All], 2, FALSE))</f>
        <v xml:space="preserve">Aerosol lata naranja </v>
      </c>
      <c r="E454" s="56">
        <v>1</v>
      </c>
    </row>
    <row r="455" spans="2:5" x14ac:dyDescent="0.2">
      <c r="B455" s="6" t="s">
        <v>1956</v>
      </c>
      <c r="C455" s="6" t="s">
        <v>1698</v>
      </c>
      <c r="D455" s="28" t="str">
        <f>IF(INICIAL[[#This Row],[CODIGO]]="", "", VLOOKUP(INICIAL[[#This Row],[CODIGO]], PRODUCTOS[#All], 2, FALSE))</f>
        <v>Aerosol lata azul</v>
      </c>
      <c r="E455" s="56">
        <v>1</v>
      </c>
    </row>
    <row r="456" spans="2:5" x14ac:dyDescent="0.2">
      <c r="B456" s="6" t="s">
        <v>1956</v>
      </c>
      <c r="C456" s="6" t="s">
        <v>1764</v>
      </c>
      <c r="D456" s="28" t="str">
        <f>IF(INICIAL[[#This Row],[CODIGO]]="", "", VLOOKUP(INICIAL[[#This Row],[CODIGO]], PRODUCTOS[#All], 2, FALSE))</f>
        <v>Aceite para transmisión STD 5L</v>
      </c>
      <c r="E456" s="56">
        <v>1</v>
      </c>
    </row>
    <row r="457" spans="2:5" x14ac:dyDescent="0.2">
      <c r="B457" s="6" t="s">
        <v>1956</v>
      </c>
      <c r="C457" s="6" t="s">
        <v>1780</v>
      </c>
      <c r="D457" s="28" t="str">
        <f>IF(INICIAL[[#This Row],[CODIGO]]="", "", VLOOKUP(INICIAL[[#This Row],[CODIGO]], PRODUCTOS[#All], 2, FALSE))</f>
        <v>Aceite semisintetico para motor gasolina</v>
      </c>
      <c r="E457" s="56">
        <v>1</v>
      </c>
    </row>
    <row r="458" spans="2:5" x14ac:dyDescent="0.2">
      <c r="B458" s="6" t="s">
        <v>1956</v>
      </c>
      <c r="C458" s="6" t="s">
        <v>1766</v>
      </c>
      <c r="D458" s="28" t="str">
        <f>IF(INICIAL[[#This Row],[CODIGO]]="", "", VLOOKUP(INICIAL[[#This Row],[CODIGO]], PRODUCTOS[#All], 2, FALSE))</f>
        <v>Aceite para sistema hidráulico 3L</v>
      </c>
      <c r="E458" s="56">
        <v>1</v>
      </c>
    </row>
    <row r="459" spans="2:5" x14ac:dyDescent="0.2">
      <c r="B459" s="6" t="s">
        <v>1956</v>
      </c>
      <c r="C459" s="6" t="s">
        <v>1774</v>
      </c>
      <c r="D459" s="28" t="str">
        <f>IF(INICIAL[[#This Row],[CODIGO]]="", "", VLOOKUP(INICIAL[[#This Row],[CODIGO]], PRODUCTOS[#All], 2, FALSE))</f>
        <v>Aceite quaker state motor gasolina 1L</v>
      </c>
      <c r="E459" s="56">
        <v>1</v>
      </c>
    </row>
    <row r="460" spans="2:5" x14ac:dyDescent="0.2">
      <c r="B460" s="6" t="s">
        <v>1956</v>
      </c>
      <c r="C460" s="6" t="s">
        <v>1758</v>
      </c>
      <c r="D460" s="28" t="str">
        <f>IF(INICIAL[[#This Row],[CODIGO]]="", "", VLOOKUP(INICIAL[[#This Row],[CODIGO]], PRODUCTOS[#All], 2, FALSE))</f>
        <v>Aceite monogrado para motores y gasolina 100ml</v>
      </c>
      <c r="E460" s="56">
        <v>1</v>
      </c>
    </row>
    <row r="461" spans="2:5" x14ac:dyDescent="0.2">
      <c r="B461" s="6" t="s">
        <v>1956</v>
      </c>
      <c r="C461" s="6" t="s">
        <v>1768</v>
      </c>
      <c r="D461" s="28" t="str">
        <f>IF(INICIAL[[#This Row],[CODIGO]]="", "", VLOOKUP(INICIAL[[#This Row],[CODIGO]], PRODUCTOS[#All], 2, FALSE))</f>
        <v>Aceite para motor gasolina movil</v>
      </c>
      <c r="E461" s="56">
        <v>2</v>
      </c>
    </row>
    <row r="462" spans="2:5" x14ac:dyDescent="0.2">
      <c r="B462" s="6" t="s">
        <v>1956</v>
      </c>
      <c r="C462" s="6" t="s">
        <v>1772</v>
      </c>
      <c r="D462" s="28" t="str">
        <f>IF(INICIAL[[#This Row],[CODIGO]]="", "", VLOOKUP(INICIAL[[#This Row],[CODIGO]], PRODUCTOS[#All], 2, FALSE))</f>
        <v>Aceite mineral compresor 900ml</v>
      </c>
      <c r="E462" s="56">
        <v>1</v>
      </c>
    </row>
    <row r="463" spans="2:5" x14ac:dyDescent="0.2">
      <c r="B463" s="6" t="s">
        <v>1956</v>
      </c>
      <c r="C463" s="6" t="s">
        <v>1760</v>
      </c>
      <c r="D463" s="28" t="str">
        <f>IF(INICIAL[[#This Row],[CODIGO]]="", "", VLOOKUP(INICIAL[[#This Row],[CODIGO]], PRODUCTOS[#All], 2, FALSE))</f>
        <v>Aceite para motor diesel 15w-40 (8L)</v>
      </c>
      <c r="E463" s="56">
        <v>1</v>
      </c>
    </row>
    <row r="464" spans="2:5" x14ac:dyDescent="0.2">
      <c r="B464" s="6" t="s">
        <v>1956</v>
      </c>
      <c r="C464" s="6" t="s">
        <v>1778</v>
      </c>
      <c r="D464" s="28" t="str">
        <f>IF(INICIAL[[#This Row],[CODIGO]]="", "", VLOOKUP(INICIAL[[#This Row],[CODIGO]], PRODUCTOS[#All], 2, FALSE))</f>
        <v>Aceite para motor 4 tiempos lth 900ml</v>
      </c>
      <c r="E464" s="56">
        <v>1</v>
      </c>
    </row>
    <row r="465" spans="2:5" x14ac:dyDescent="0.2">
      <c r="B465" s="6" t="s">
        <v>1956</v>
      </c>
      <c r="C465" s="6" t="s">
        <v>1762</v>
      </c>
      <c r="D465" s="28" t="str">
        <f>IF(INICIAL[[#This Row],[CODIGO]]="", "", VLOOKUP(INICIAL[[#This Row],[CODIGO]], PRODUCTOS[#All], 2, FALSE))</f>
        <v>Aceite hidráulico para grua cubeta 19L</v>
      </c>
      <c r="E465" s="56">
        <v>1</v>
      </c>
    </row>
    <row r="466" spans="2:5" x14ac:dyDescent="0.2">
      <c r="B466" s="6" t="s">
        <v>1956</v>
      </c>
      <c r="C466" s="6" t="s">
        <v>1682</v>
      </c>
      <c r="D466" s="28" t="str">
        <f>IF(INICIAL[[#This Row],[CODIGO]]="", "", VLOOKUP(INICIAL[[#This Row],[CODIGO]], PRODUCTOS[#All], 2, FALSE))</f>
        <v>Aceite grua  17 lts</v>
      </c>
      <c r="E466" s="56">
        <v>1</v>
      </c>
    </row>
    <row r="467" spans="2:5" x14ac:dyDescent="0.2">
      <c r="B467" s="6" t="s">
        <v>1956</v>
      </c>
      <c r="C467" s="6" t="s">
        <v>1770</v>
      </c>
      <c r="D467" s="28" t="str">
        <f>IF(INICIAL[[#This Row],[CODIGO]]="", "", VLOOKUP(INICIAL[[#This Row],[CODIGO]], PRODUCTOS[#All], 2, FALSE))</f>
        <v>Aceite 4 tiempos kawashima 900ml</v>
      </c>
      <c r="E467" s="56">
        <v>0.5</v>
      </c>
    </row>
    <row r="468" spans="2:5" x14ac:dyDescent="0.2">
      <c r="B468" s="6" t="s">
        <v>1956</v>
      </c>
      <c r="C468" s="6" t="s">
        <v>1862</v>
      </c>
      <c r="D468" s="28" t="str">
        <f>IF(INICIAL[[#This Row],[CODIGO]]="", "", VLOOKUP(INICIAL[[#This Row],[CODIGO]], PRODUCTOS[#All], 2, FALSE))</f>
        <v xml:space="preserve">Abrazadera de suspensión con ojo </v>
      </c>
      <c r="E468" s="56">
        <v>8</v>
      </c>
    </row>
    <row r="469" spans="2:5" x14ac:dyDescent="0.2">
      <c r="B469" s="6" t="s">
        <v>1956</v>
      </c>
      <c r="C469" s="6" t="s">
        <v>1848</v>
      </c>
      <c r="D469" s="28" t="str">
        <f>IF(INICIAL[[#This Row],[CODIGO]]="", "", VLOOKUP(INICIAL[[#This Row],[CODIGO]], PRODUCTOS[#All], 2, FALSE))</f>
        <v xml:space="preserve">Abrazaderas 8.5" </v>
      </c>
      <c r="E469" s="56">
        <v>19</v>
      </c>
    </row>
    <row r="470" spans="2:5" x14ac:dyDescent="0.2">
      <c r="B470" s="6" t="s">
        <v>1956</v>
      </c>
      <c r="C470" s="6" t="s">
        <v>1870</v>
      </c>
      <c r="D470" s="28" t="str">
        <f>IF(INICIAL[[#This Row],[CODIGO]]="", "", VLOOKUP(INICIAL[[#This Row],[CODIGO]], PRODUCTOS[#All], 2, FALSE))</f>
        <v>abrazaderas 4"</v>
      </c>
      <c r="E470" s="56">
        <v>4</v>
      </c>
    </row>
    <row r="471" spans="2:5" x14ac:dyDescent="0.2">
      <c r="B471" s="6" t="s">
        <v>1956</v>
      </c>
      <c r="C471" s="6" t="s">
        <v>1678</v>
      </c>
      <c r="D471" s="28" t="str">
        <f>IF(INICIAL[[#This Row],[CODIGO]]="", "", VLOOKUP(INICIAL[[#This Row],[CODIGO]], PRODUCTOS[#All], 2, FALSE))</f>
        <v>Abrazadera 19 - 27mm</v>
      </c>
      <c r="E471" s="56">
        <v>6</v>
      </c>
    </row>
    <row r="472" spans="2:5" x14ac:dyDescent="0.2">
      <c r="B472" s="6" t="s">
        <v>1956</v>
      </c>
      <c r="C472" s="6" t="s">
        <v>1680</v>
      </c>
      <c r="D472" s="28" t="str">
        <f>IF(INICIAL[[#This Row],[CODIGO]]="", "", VLOOKUP(INICIAL[[#This Row],[CODIGO]], PRODUCTOS[#All], 2, FALSE))</f>
        <v>Abrazadera 1/4"</v>
      </c>
      <c r="E472" s="56">
        <v>11</v>
      </c>
    </row>
    <row r="473" spans="2:5" x14ac:dyDescent="0.2">
      <c r="B473" s="6" t="s">
        <v>1956</v>
      </c>
      <c r="C473" s="6" t="s">
        <v>1910</v>
      </c>
      <c r="D473" s="28" t="str">
        <f>IF(INICIAL[[#This Row],[CODIGO]]="", "", VLOOKUP(INICIAL[[#This Row],[CODIGO]], PRODUCTOS[#All], 2, FALSE))</f>
        <v>Abarazadera 1 1/2"</v>
      </c>
      <c r="E473" s="56">
        <v>1</v>
      </c>
    </row>
    <row r="474" spans="2:5" x14ac:dyDescent="0.2">
      <c r="B474" s="6" t="s">
        <v>1956</v>
      </c>
      <c r="C474" s="6" t="s">
        <v>1882</v>
      </c>
      <c r="D474" s="28" t="str">
        <f>IF(INICIAL[[#This Row],[CODIGO]]="", "", VLOOKUP(INICIAL[[#This Row],[CODIGO]], PRODUCTOS[#All], 2, FALSE))</f>
        <v>abrazadera 7 1/2"</v>
      </c>
      <c r="E474" s="56">
        <v>9</v>
      </c>
    </row>
    <row r="475" spans="2:5" x14ac:dyDescent="0.2">
      <c r="B475" s="6" t="s">
        <v>1956</v>
      </c>
      <c r="C475" s="6" t="s">
        <v>1782</v>
      </c>
      <c r="D475" s="28" t="str">
        <f>IF(INICIAL[[#This Row],[CODIGO]]="", "", VLOOKUP(INICIAL[[#This Row],[CODIGO]], PRODUCTOS[#All], 2, FALSE))</f>
        <v>4 Tiempos truper 1lt</v>
      </c>
      <c r="E475" s="56">
        <v>1</v>
      </c>
    </row>
    <row r="476" spans="2:5" x14ac:dyDescent="0.2">
      <c r="B476" s="6" t="s">
        <v>1956</v>
      </c>
      <c r="C476" s="6" t="s">
        <v>1417</v>
      </c>
      <c r="D476" s="28" t="str">
        <f>IF(INICIAL[[#This Row],[CODIGO]]="", "", VLOOKUP(INICIAL[[#This Row],[CODIGO]], PRODUCTOS[#All], 2, FALSE))</f>
        <v xml:space="preserve">Tiner </v>
      </c>
      <c r="E476" s="56">
        <v>0.5</v>
      </c>
    </row>
    <row r="477" spans="2:5" x14ac:dyDescent="0.2">
      <c r="B477" s="6" t="s">
        <v>1956</v>
      </c>
      <c r="C477" s="6" t="s">
        <v>1397</v>
      </c>
      <c r="D477" s="28" t="str">
        <f>IF(INICIAL[[#This Row],[CODIGO]]="", "", VLOOKUP(INICIAL[[#This Row],[CODIGO]], PRODUCTOS[#All], 2, FALSE))</f>
        <v>Químico dispersante (bidones)</v>
      </c>
      <c r="E477" s="56">
        <v>6.5</v>
      </c>
    </row>
    <row r="478" spans="2:5" x14ac:dyDescent="0.2">
      <c r="B478" s="6" t="s">
        <v>1956</v>
      </c>
      <c r="C478" s="6" t="s">
        <v>1401</v>
      </c>
      <c r="D478" s="28" t="str">
        <f>IF(INICIAL[[#This Row],[CODIGO]]="", "", VLOOKUP(INICIAL[[#This Row],[CODIGO]], PRODUCTOS[#All], 2, FALSE))</f>
        <v>Químico aqua clear (bidones)</v>
      </c>
      <c r="E478" s="56">
        <v>4</v>
      </c>
    </row>
    <row r="479" spans="2:5" x14ac:dyDescent="0.2">
      <c r="B479" s="6" t="s">
        <v>1956</v>
      </c>
      <c r="C479" s="6" t="s">
        <v>1399</v>
      </c>
      <c r="D479" s="28" t="str">
        <f>IF(INICIAL[[#This Row],[CODIGO]]="", "", VLOOKUP(INICIAL[[#This Row],[CODIGO]], PRODUCTOS[#All], 2, FALSE))</f>
        <v>Químico liquid acid descaler (bidones)</v>
      </c>
      <c r="E479" s="56">
        <v>5</v>
      </c>
    </row>
    <row r="480" spans="2:5" x14ac:dyDescent="0.2">
      <c r="B480" s="6" t="s">
        <v>1956</v>
      </c>
      <c r="C480" s="6" t="s">
        <v>1403</v>
      </c>
      <c r="D480" s="28" t="str">
        <f>IF(INICIAL[[#This Row],[CODIGO]]="", "", VLOOKUP(INICIAL[[#This Row],[CODIGO]], PRODUCTOS[#All], 2, FALSE))</f>
        <v>Jabon azul (bidones)</v>
      </c>
      <c r="E480" s="56">
        <v>5</v>
      </c>
    </row>
    <row r="481" spans="2:5" x14ac:dyDescent="0.2">
      <c r="B481" s="6" t="s">
        <v>1956</v>
      </c>
      <c r="C481" s="6" t="s">
        <v>1413</v>
      </c>
      <c r="D481" s="28" t="str">
        <f>IF(INICIAL[[#This Row],[CODIGO]]="", "", VLOOKUP(INICIAL[[#This Row],[CODIGO]], PRODUCTOS[#All], 2, FALSE))</f>
        <v>Grasa (kg)</v>
      </c>
      <c r="E481" s="56">
        <v>5</v>
      </c>
    </row>
    <row r="482" spans="2:5" x14ac:dyDescent="0.2">
      <c r="B482" s="6" t="s">
        <v>1956</v>
      </c>
      <c r="C482" s="6" t="s">
        <v>1411</v>
      </c>
      <c r="D482" s="28" t="str">
        <f>IF(INICIAL[[#This Row],[CODIGO]]="", "", VLOOKUP(INICIAL[[#This Row],[CODIGO]], PRODUCTOS[#All], 2, FALSE))</f>
        <v>Gasolina</v>
      </c>
      <c r="E482" s="56">
        <v>0</v>
      </c>
    </row>
    <row r="483" spans="2:5" x14ac:dyDescent="0.2">
      <c r="B483" s="6" t="s">
        <v>1956</v>
      </c>
      <c r="C483" s="6" t="s">
        <v>1415</v>
      </c>
      <c r="D483" s="28" t="str">
        <f>IF(INICIAL[[#This Row],[CODIGO]]="", "", VLOOKUP(INICIAL[[#This Row],[CODIGO]], PRODUCTOS[#All], 2, FALSE))</f>
        <v>Gasolina blanca (l)</v>
      </c>
      <c r="E483" s="56">
        <v>3</v>
      </c>
    </row>
    <row r="484" spans="2:5" x14ac:dyDescent="0.2">
      <c r="B484" s="6" t="s">
        <v>1956</v>
      </c>
      <c r="C484" s="6" t="s">
        <v>1409</v>
      </c>
      <c r="D484" s="28" t="str">
        <f>IF(INICIAL[[#This Row],[CODIGO]]="", "", VLOOKUP(INICIAL[[#This Row],[CODIGO]], PRODUCTOS[#All], 2, FALSE))</f>
        <v>Diesel p/limpieza de pzs. (bidones)</v>
      </c>
      <c r="E484" s="56">
        <v>2</v>
      </c>
    </row>
    <row r="485" spans="2:5" x14ac:dyDescent="0.2">
      <c r="B485" s="6" t="s">
        <v>1956</v>
      </c>
      <c r="C485" s="6" t="s">
        <v>1407</v>
      </c>
      <c r="D485" s="28" t="str">
        <f>IF(INICIAL[[#This Row],[CODIGO]]="", "", VLOOKUP(INICIAL[[#This Row],[CODIGO]], PRODUCTOS[#All], 2, FALSE))</f>
        <v>Diesel (bidones)</v>
      </c>
      <c r="E485" s="56">
        <v>1</v>
      </c>
    </row>
    <row r="486" spans="2:5" x14ac:dyDescent="0.2">
      <c r="B486" s="6" t="s">
        <v>1956</v>
      </c>
      <c r="C486" s="6" t="s">
        <v>1405</v>
      </c>
      <c r="D486" s="28" t="str">
        <f>IF(INICIAL[[#This Row],[CODIGO]]="", "", VLOOKUP(INICIAL[[#This Row],[CODIGO]], PRODUCTOS[#All], 2, FALSE))</f>
        <v>Cloro estabilizado y concentrado para piscinas 21k</v>
      </c>
      <c r="E486" s="56">
        <v>3</v>
      </c>
    </row>
    <row r="487" spans="2:5" x14ac:dyDescent="0.2">
      <c r="B487" s="6" t="s">
        <v>940</v>
      </c>
      <c r="C487" s="6" t="s">
        <v>1979</v>
      </c>
      <c r="D487" s="28" t="str">
        <f>IF(INICIAL[[#This Row],[CODIGO]]="", "", VLOOKUP(INICIAL[[#This Row],[CODIGO]], PRODUCTOS[#All], 2, FALSE))</f>
        <v xml:space="preserve">4" Goulds </v>
      </c>
      <c r="E487" s="56">
        <v>3</v>
      </c>
    </row>
    <row r="488" spans="2:5" x14ac:dyDescent="0.2">
      <c r="B488" s="6" t="s">
        <v>940</v>
      </c>
      <c r="C488" s="6" t="s">
        <v>814</v>
      </c>
      <c r="D488" s="28" t="str">
        <f>IF(INICIAL[[#This Row],[CODIGO]]="", "", VLOOKUP(INICIAL[[#This Row],[CODIGO]], PRODUCTOS[#All], 2, FALSE))</f>
        <v>3" Goulds</v>
      </c>
      <c r="E488" s="56">
        <v>5</v>
      </c>
    </row>
    <row r="489" spans="2:5" x14ac:dyDescent="0.2">
      <c r="B489" s="6" t="s">
        <v>940</v>
      </c>
      <c r="C489" s="6" t="s">
        <v>1981</v>
      </c>
      <c r="D489" s="28" t="str">
        <f>IF(INICIAL[[#This Row],[CODIGO]]="", "", VLOOKUP(INICIAL[[#This Row],[CODIGO]], PRODUCTOS[#All], 2, FALSE))</f>
        <v>6" flomatic</v>
      </c>
      <c r="E489" s="56">
        <v>3</v>
      </c>
    </row>
    <row r="490" spans="2:5" x14ac:dyDescent="0.2">
      <c r="B490" s="6" t="s">
        <v>940</v>
      </c>
      <c r="C490" s="6" t="s">
        <v>812</v>
      </c>
      <c r="D490" s="28" t="str">
        <f>IF(INICIAL[[#This Row],[CODIGO]]="", "", VLOOKUP(INICIAL[[#This Row],[CODIGO]], PRODUCTOS[#All], 2, FALSE))</f>
        <v>4" flomatic</v>
      </c>
      <c r="E490" s="56">
        <v>2</v>
      </c>
    </row>
    <row r="491" spans="2:5" x14ac:dyDescent="0.2">
      <c r="B491" s="6" t="s">
        <v>940</v>
      </c>
      <c r="C491" s="6" t="s">
        <v>810</v>
      </c>
      <c r="D491" s="28" t="str">
        <f>IF(INICIAL[[#This Row],[CODIGO]]="", "", VLOOKUP(INICIAL[[#This Row],[CODIGO]], PRODUCTOS[#All], 2, FALSE))</f>
        <v>3" flomatic</v>
      </c>
      <c r="E491" s="56">
        <v>1</v>
      </c>
    </row>
    <row r="492" spans="2:5" x14ac:dyDescent="0.2">
      <c r="B492" s="6" t="s">
        <v>940</v>
      </c>
      <c r="C492" s="6" t="s">
        <v>806</v>
      </c>
      <c r="D492" s="28" t="str">
        <f>IF(INICIAL[[#This Row],[CODIGO]]="", "", VLOOKUP(INICIAL[[#This Row],[CODIGO]], PRODUCTOS[#All], 2, FALSE))</f>
        <v>8" ced. 40</v>
      </c>
      <c r="E492" s="56">
        <v>2</v>
      </c>
    </row>
    <row r="493" spans="2:5" x14ac:dyDescent="0.2">
      <c r="B493" s="6" t="s">
        <v>940</v>
      </c>
      <c r="C493" s="6" t="s">
        <v>1977</v>
      </c>
      <c r="D493" s="28" t="str">
        <f>IF(INICIAL[[#This Row],[CODIGO]]="", "", VLOOKUP(INICIAL[[#This Row],[CODIGO]], PRODUCTOS[#All], 2, FALSE))</f>
        <v>6" ced. 40</v>
      </c>
      <c r="E493" s="56">
        <v>3</v>
      </c>
    </row>
    <row r="494" spans="2:5" x14ac:dyDescent="0.2">
      <c r="B494" s="6" t="s">
        <v>940</v>
      </c>
      <c r="C494" s="6" t="s">
        <v>808</v>
      </c>
      <c r="D494" s="28" t="str">
        <f>IF(INICIAL[[#This Row],[CODIGO]]="", "", VLOOKUP(INICIAL[[#This Row],[CODIGO]], PRODUCTOS[#All], 2, FALSE))</f>
        <v>4" ced. 40</v>
      </c>
      <c r="E494" s="56">
        <v>5</v>
      </c>
    </row>
    <row r="495" spans="2:5" x14ac:dyDescent="0.2">
      <c r="B495" s="6" t="s">
        <v>940</v>
      </c>
      <c r="C495" s="6" t="s">
        <v>782</v>
      </c>
      <c r="D495" s="28" t="str">
        <f>IF(INICIAL[[#This Row],[CODIGO]]="", "", VLOOKUP(INICIAL[[#This Row],[CODIGO]], PRODUCTOS[#All], 2, FALSE))</f>
        <v xml:space="preserve">Válvula de admisón y expulsión 2"  sigma </v>
      </c>
      <c r="E495" s="56">
        <v>10</v>
      </c>
    </row>
    <row r="496" spans="2:5" x14ac:dyDescent="0.2">
      <c r="B496" s="6" t="s">
        <v>940</v>
      </c>
      <c r="C496" s="6" t="s">
        <v>778</v>
      </c>
      <c r="D496" s="28" t="str">
        <f>IF(INICIAL[[#This Row],[CODIGO]]="", "", VLOOKUP(INICIAL[[#This Row],[CODIGO]], PRODUCTOS[#All], 2, FALSE))</f>
        <v xml:space="preserve">Válvula de admisión y expulsión de aire aluminio </v>
      </c>
      <c r="E496" s="56">
        <v>5</v>
      </c>
    </row>
    <row r="497" spans="2:5" x14ac:dyDescent="0.2">
      <c r="B497" s="6" t="s">
        <v>940</v>
      </c>
      <c r="C497" s="6" t="s">
        <v>866</v>
      </c>
      <c r="D497" s="28" t="str">
        <f>IF(INICIAL[[#This Row],[CODIGO]]="", "", VLOOKUP(INICIAL[[#This Row],[CODIGO]], PRODUCTOS[#All], 2, FALSE))</f>
        <v>Tubo macho hembra 6" long 17"</v>
      </c>
      <c r="E497" s="56">
        <v>1</v>
      </c>
    </row>
    <row r="498" spans="2:5" x14ac:dyDescent="0.2">
      <c r="B498" s="6" t="s">
        <v>940</v>
      </c>
      <c r="C498" s="6" t="s">
        <v>838</v>
      </c>
      <c r="D498" s="28" t="str">
        <f>IF(INICIAL[[#This Row],[CODIGO]]="", "", VLOOKUP(INICIAL[[#This Row],[CODIGO]], PRODUCTOS[#All], 2, FALSE))</f>
        <v>Reducción 6" x 8" long 24"</v>
      </c>
      <c r="E498" s="56">
        <v>1</v>
      </c>
    </row>
    <row r="499" spans="2:5" x14ac:dyDescent="0.2">
      <c r="B499" s="6" t="s">
        <v>940</v>
      </c>
      <c r="C499" s="6" t="s">
        <v>834</v>
      </c>
      <c r="D499" s="28" t="str">
        <f>IF(INICIAL[[#This Row],[CODIGO]]="", "", VLOOKUP(INICIAL[[#This Row],[CODIGO]], PRODUCTOS[#All], 2, FALSE))</f>
        <v>Reducción 6" x 8" long 23"</v>
      </c>
      <c r="E499" s="56">
        <v>1</v>
      </c>
    </row>
    <row r="500" spans="2:5" x14ac:dyDescent="0.2">
      <c r="B500" s="6" t="s">
        <v>940</v>
      </c>
      <c r="C500" s="6" t="s">
        <v>836</v>
      </c>
      <c r="D500" s="28" t="str">
        <f>IF(INICIAL[[#This Row],[CODIGO]]="", "", VLOOKUP(INICIAL[[#This Row],[CODIGO]], PRODUCTOS[#All], 2, FALSE))</f>
        <v>Reducción 6" x 8" long 19"</v>
      </c>
      <c r="E500" s="56">
        <v>1</v>
      </c>
    </row>
    <row r="501" spans="2:5" x14ac:dyDescent="0.2">
      <c r="B501" s="6" t="s">
        <v>940</v>
      </c>
      <c r="C501" s="6" t="s">
        <v>840</v>
      </c>
      <c r="D501" s="28" t="str">
        <f>IF(INICIAL[[#This Row],[CODIGO]]="", "", VLOOKUP(INICIAL[[#This Row],[CODIGO]], PRODUCTOS[#All], 2, FALSE))</f>
        <v>Reducción 5" x 6" long 25 1/4"</v>
      </c>
      <c r="E501" s="56">
        <v>1</v>
      </c>
    </row>
    <row r="502" spans="2:5" x14ac:dyDescent="0.2">
      <c r="B502" s="6" t="s">
        <v>940</v>
      </c>
      <c r="C502" s="6" t="s">
        <v>846</v>
      </c>
      <c r="D502" s="28" t="str">
        <f>IF(INICIAL[[#This Row],[CODIGO]]="", "", VLOOKUP(INICIAL[[#This Row],[CODIGO]], PRODUCTOS[#All], 2, FALSE))</f>
        <v>Reducción 4" x 6" long 27"</v>
      </c>
      <c r="E502" s="56">
        <v>2</v>
      </c>
    </row>
    <row r="503" spans="2:5" x14ac:dyDescent="0.2">
      <c r="B503" s="6" t="s">
        <v>940</v>
      </c>
      <c r="C503" s="6" t="s">
        <v>852</v>
      </c>
      <c r="D503" s="28" t="str">
        <f>IF(INICIAL[[#This Row],[CODIGO]]="", "", VLOOKUP(INICIAL[[#This Row],[CODIGO]], PRODUCTOS[#All], 2, FALSE))</f>
        <v>Reducción 4" x 6" long 20 1/4"</v>
      </c>
      <c r="E503" s="56">
        <v>1</v>
      </c>
    </row>
    <row r="504" spans="2:5" x14ac:dyDescent="0.2">
      <c r="B504" s="6" t="s">
        <v>940</v>
      </c>
      <c r="C504" s="6" t="s">
        <v>848</v>
      </c>
      <c r="D504" s="28" t="str">
        <f>IF(INICIAL[[#This Row],[CODIGO]]="", "", VLOOKUP(INICIAL[[#This Row],[CODIGO]], PRODUCTOS[#All], 2, FALSE))</f>
        <v>Reducción 4" x 5" long 22"</v>
      </c>
      <c r="E504" s="56">
        <v>1</v>
      </c>
    </row>
    <row r="505" spans="2:5" x14ac:dyDescent="0.2">
      <c r="B505" s="6" t="s">
        <v>940</v>
      </c>
      <c r="C505" s="6" t="s">
        <v>850</v>
      </c>
      <c r="D505" s="28" t="str">
        <f>IF(INICIAL[[#This Row],[CODIGO]]="", "", VLOOKUP(INICIAL[[#This Row],[CODIGO]], PRODUCTOS[#All], 2, FALSE))</f>
        <v>Reducción 3" x 6" long 26"</v>
      </c>
      <c r="E505" s="56">
        <v>1</v>
      </c>
    </row>
    <row r="506" spans="2:5" x14ac:dyDescent="0.2">
      <c r="B506" s="6" t="s">
        <v>940</v>
      </c>
      <c r="C506" s="6" t="s">
        <v>842</v>
      </c>
      <c r="D506" s="28" t="str">
        <f>IF(INICIAL[[#This Row],[CODIGO]]="", "", VLOOKUP(INICIAL[[#This Row],[CODIGO]], PRODUCTOS[#All], 2, FALSE))</f>
        <v>Reducción 3" x 4" long 25 1/4"</v>
      </c>
      <c r="E506" s="56">
        <v>1</v>
      </c>
    </row>
    <row r="507" spans="2:5" x14ac:dyDescent="0.2">
      <c r="B507" s="6" t="s">
        <v>940</v>
      </c>
      <c r="C507" s="6" t="s">
        <v>844</v>
      </c>
      <c r="D507" s="28" t="str">
        <f>IF(INICIAL[[#This Row],[CODIGO]]="", "", VLOOKUP(INICIAL[[#This Row],[CODIGO]], PRODUCTOS[#All], 2, FALSE))</f>
        <v>Reducción 3" x 4" long 21 10/16"</v>
      </c>
      <c r="E507" s="56">
        <v>1</v>
      </c>
    </row>
    <row r="508" spans="2:5" x14ac:dyDescent="0.2">
      <c r="B508" s="6" t="s">
        <v>940</v>
      </c>
      <c r="C508" s="6" t="s">
        <v>780</v>
      </c>
      <c r="D508" s="28" t="str">
        <f>IF(INICIAL[[#This Row],[CODIGO]]="", "", VLOOKUP(INICIAL[[#This Row],[CODIGO]], PRODUCTOS[#All], 2, FALSE))</f>
        <v>Reducción para valvula 2 1/2" - 1"</v>
      </c>
      <c r="E508" s="56">
        <v>4</v>
      </c>
    </row>
    <row r="509" spans="2:5" x14ac:dyDescent="0.2">
      <c r="B509" s="6" t="s">
        <v>940</v>
      </c>
      <c r="C509" s="6" t="s">
        <v>829</v>
      </c>
      <c r="D509" s="28" t="str">
        <f>IF(INICIAL[[#This Row],[CODIGO]]="", "", VLOOKUP(INICIAL[[#This Row],[CODIGO]], PRODUCTOS[#All], 2, FALSE))</f>
        <v>Niple 3"</v>
      </c>
      <c r="E509" s="56">
        <v>2</v>
      </c>
    </row>
    <row r="510" spans="2:5" x14ac:dyDescent="0.2">
      <c r="B510" s="6" t="s">
        <v>940</v>
      </c>
      <c r="C510" s="6" t="s">
        <v>828</v>
      </c>
      <c r="D510" s="28" t="str">
        <f>IF(INICIAL[[#This Row],[CODIGO]]="", "", VLOOKUP(INICIAL[[#This Row],[CODIGO]], PRODUCTOS[#All], 2, FALSE))</f>
        <v>Niple 2"</v>
      </c>
      <c r="E510" s="56">
        <v>3</v>
      </c>
    </row>
    <row r="511" spans="2:5" x14ac:dyDescent="0.2">
      <c r="B511" s="6" t="s">
        <v>940</v>
      </c>
      <c r="C511" s="6" t="s">
        <v>830</v>
      </c>
      <c r="D511" s="28" t="str">
        <f>IF(INICIAL[[#This Row],[CODIGO]]="", "", VLOOKUP(INICIAL[[#This Row],[CODIGO]], PRODUCTOS[#All], 2, FALSE))</f>
        <v>Niple 1/2"</v>
      </c>
      <c r="E511" s="56">
        <v>1</v>
      </c>
    </row>
    <row r="512" spans="2:5" x14ac:dyDescent="0.2">
      <c r="B512" s="6" t="s">
        <v>940</v>
      </c>
      <c r="C512" s="6" t="s">
        <v>864</v>
      </c>
      <c r="D512" s="28" t="str">
        <f>IF(INICIAL[[#This Row],[CODIGO]]="", "", VLOOKUP(INICIAL[[#This Row],[CODIGO]], PRODUCTOS[#All], 2, FALSE))</f>
        <v>Niple 4" long 17"</v>
      </c>
      <c r="E512" s="56">
        <v>1</v>
      </c>
    </row>
    <row r="513" spans="2:5" x14ac:dyDescent="0.2">
      <c r="B513" s="6" t="s">
        <v>940</v>
      </c>
      <c r="C513" s="6" t="s">
        <v>862</v>
      </c>
      <c r="D513" s="28" t="str">
        <f>IF(INICIAL[[#This Row],[CODIGO]]="", "", VLOOKUP(INICIAL[[#This Row],[CODIGO]], PRODUCTOS[#All], 2, FALSE))</f>
        <v>Niple 4" long 11"</v>
      </c>
      <c r="E513" s="56">
        <v>1</v>
      </c>
    </row>
    <row r="514" spans="2:5" x14ac:dyDescent="0.2">
      <c r="B514" s="6" t="s">
        <v>940</v>
      </c>
      <c r="C514" s="6" t="s">
        <v>860</v>
      </c>
      <c r="D514" s="28" t="str">
        <f>IF(INICIAL[[#This Row],[CODIGO]]="", "", VLOOKUP(INICIAL[[#This Row],[CODIGO]], PRODUCTOS[#All], 2, FALSE))</f>
        <v>Niple 3" long 14"</v>
      </c>
      <c r="E514" s="56">
        <v>1</v>
      </c>
    </row>
    <row r="515" spans="2:5" x14ac:dyDescent="0.2">
      <c r="B515" s="6" t="s">
        <v>940</v>
      </c>
      <c r="C515" s="6" t="s">
        <v>776</v>
      </c>
      <c r="D515" s="28" t="str">
        <f>IF(INICIAL[[#This Row],[CODIGO]]="", "", VLOOKUP(INICIAL[[#This Row],[CODIGO]], PRODUCTOS[#All], 2, FALSE))</f>
        <v>Manometro 200 psi</v>
      </c>
      <c r="E515" s="56">
        <v>2</v>
      </c>
    </row>
    <row r="516" spans="2:5" x14ac:dyDescent="0.2">
      <c r="B516" s="6" t="s">
        <v>940</v>
      </c>
      <c r="C516" s="6" t="s">
        <v>774</v>
      </c>
      <c r="D516" s="28" t="str">
        <f>IF(INICIAL[[#This Row],[CODIGO]]="", "", VLOOKUP(INICIAL[[#This Row],[CODIGO]], PRODUCTOS[#All], 2, FALSE))</f>
        <v>Manómetro 100 psi</v>
      </c>
      <c r="E516" s="56">
        <v>8</v>
      </c>
    </row>
    <row r="517" spans="2:5" x14ac:dyDescent="0.2">
      <c r="B517" s="6" t="s">
        <v>940</v>
      </c>
      <c r="C517" s="6" t="s">
        <v>794</v>
      </c>
      <c r="D517" s="28" t="str">
        <f>IF(INICIAL[[#This Row],[CODIGO]]="", "", VLOOKUP(INICIAL[[#This Row],[CODIGO]], PRODUCTOS[#All], 2, FALSE))</f>
        <v>Empaque 8"</v>
      </c>
      <c r="E517" s="56">
        <v>2</v>
      </c>
    </row>
    <row r="518" spans="2:5" x14ac:dyDescent="0.2">
      <c r="B518" s="6" t="s">
        <v>940</v>
      </c>
      <c r="C518" s="6" t="s">
        <v>792</v>
      </c>
      <c r="D518" s="28" t="str">
        <f>IF(INICIAL[[#This Row],[CODIGO]]="", "", VLOOKUP(INICIAL[[#This Row],[CODIGO]], PRODUCTOS[#All], 2, FALSE))</f>
        <v>Empaque 6"</v>
      </c>
      <c r="E518" s="56">
        <v>4</v>
      </c>
    </row>
    <row r="519" spans="2:5" x14ac:dyDescent="0.2">
      <c r="B519" s="6" t="s">
        <v>940</v>
      </c>
      <c r="C519" s="6" t="s">
        <v>790</v>
      </c>
      <c r="D519" s="28" t="str">
        <f>IF(INICIAL[[#This Row],[CODIGO]]="", "", VLOOKUP(INICIAL[[#This Row],[CODIGO]], PRODUCTOS[#All], 2, FALSE))</f>
        <v>Empaque 4"</v>
      </c>
      <c r="E519" s="56">
        <v>6</v>
      </c>
    </row>
    <row r="520" spans="2:5" x14ac:dyDescent="0.2">
      <c r="B520" s="6" t="s">
        <v>940</v>
      </c>
      <c r="C520" s="6" t="s">
        <v>786</v>
      </c>
      <c r="D520" s="28" t="str">
        <f>IF(INICIAL[[#This Row],[CODIGO]]="", "", VLOOKUP(INICIAL[[#This Row],[CODIGO]], PRODUCTOS[#All], 2, FALSE))</f>
        <v>Empaque 3"</v>
      </c>
      <c r="E520" s="56">
        <v>23</v>
      </c>
    </row>
    <row r="521" spans="2:5" x14ac:dyDescent="0.2">
      <c r="B521" s="6" t="s">
        <v>940</v>
      </c>
      <c r="C521" s="6" t="s">
        <v>798</v>
      </c>
      <c r="D521" s="28" t="str">
        <f>IF(INICIAL[[#This Row],[CODIGO]]="", "", VLOOKUP(INICIAL[[#This Row],[CODIGO]], PRODUCTOS[#All], 2, FALSE))</f>
        <v>Empaque de 2 1/4"</v>
      </c>
      <c r="E521" s="56">
        <v>2</v>
      </c>
    </row>
    <row r="522" spans="2:5" x14ac:dyDescent="0.2">
      <c r="B522" s="6" t="s">
        <v>940</v>
      </c>
      <c r="C522" s="6" t="s">
        <v>788</v>
      </c>
      <c r="D522" s="28" t="str">
        <f>IF(INICIAL[[#This Row],[CODIGO]]="", "", VLOOKUP(INICIAL[[#This Row],[CODIGO]], PRODUCTOS[#All], 2, FALSE))</f>
        <v>Empaque 2"</v>
      </c>
      <c r="E522" s="56">
        <v>48</v>
      </c>
    </row>
    <row r="523" spans="2:5" x14ac:dyDescent="0.2">
      <c r="B523" s="6" t="s">
        <v>940</v>
      </c>
      <c r="C523" s="6" t="s">
        <v>796</v>
      </c>
      <c r="D523" s="28" t="str">
        <f>IF(INICIAL[[#This Row],[CODIGO]]="", "", VLOOKUP(INICIAL[[#This Row],[CODIGO]], PRODUCTOS[#All], 2, FALSE))</f>
        <v>Empaque 12"</v>
      </c>
      <c r="E523" s="56">
        <v>1</v>
      </c>
    </row>
    <row r="524" spans="2:5" x14ac:dyDescent="0.2">
      <c r="B524" s="6" t="s">
        <v>940</v>
      </c>
      <c r="C524" s="6" t="s">
        <v>826</v>
      </c>
      <c r="D524" s="28" t="str">
        <f>IF(INICIAL[[#This Row],[CODIGO]]="", "", VLOOKUP(INICIAL[[#This Row],[CODIGO]], PRODUCTOS[#All], 2, FALSE))</f>
        <v>Cople 4 1/2"</v>
      </c>
      <c r="E524" s="56">
        <v>5</v>
      </c>
    </row>
    <row r="525" spans="2:5" x14ac:dyDescent="0.2">
      <c r="B525" s="6" t="s">
        <v>940</v>
      </c>
      <c r="C525" s="6" t="s">
        <v>824</v>
      </c>
      <c r="D525" s="28" t="str">
        <f>IF(INICIAL[[#This Row],[CODIGO]]="", "", VLOOKUP(INICIAL[[#This Row],[CODIGO]], PRODUCTOS[#All], 2, FALSE))</f>
        <v>Cople 2 1/2"</v>
      </c>
      <c r="E525" s="56">
        <v>6</v>
      </c>
    </row>
    <row r="526" spans="2:5" x14ac:dyDescent="0.2">
      <c r="B526" s="6" t="s">
        <v>940</v>
      </c>
      <c r="C526" s="6" t="s">
        <v>822</v>
      </c>
      <c r="D526" s="28" t="str">
        <f>IF(INICIAL[[#This Row],[CODIGO]]="", "", VLOOKUP(INICIAL[[#This Row],[CODIGO]], PRODUCTOS[#All], 2, FALSE))</f>
        <v>Cople 2"</v>
      </c>
      <c r="E526" s="56">
        <v>11</v>
      </c>
    </row>
    <row r="527" spans="2:5" x14ac:dyDescent="0.2">
      <c r="B527" s="6" t="s">
        <v>940</v>
      </c>
      <c r="C527" s="6" t="s">
        <v>820</v>
      </c>
      <c r="D527" s="28" t="str">
        <f>IF(INICIAL[[#This Row],[CODIGO]]="", "", VLOOKUP(INICIAL[[#This Row],[CODIGO]], PRODUCTOS[#All], 2, FALSE))</f>
        <v>Cople 1 1/2"</v>
      </c>
      <c r="E527" s="56">
        <v>6</v>
      </c>
    </row>
    <row r="528" spans="2:5" x14ac:dyDescent="0.2">
      <c r="B528" s="6" t="s">
        <v>940</v>
      </c>
      <c r="C528" s="6" t="s">
        <v>772</v>
      </c>
      <c r="D528" s="28" t="str">
        <f>IF(INICIAL[[#This Row],[CODIGO]]="", "", VLOOKUP(INICIAL[[#This Row],[CODIGO]], PRODUCTOS[#All], 2, FALSE))</f>
        <v>cople para bomba 3"</v>
      </c>
      <c r="E528" s="56">
        <v>18</v>
      </c>
    </row>
    <row r="529" spans="2:5" x14ac:dyDescent="0.2">
      <c r="B529" s="6" t="s">
        <v>940</v>
      </c>
      <c r="C529" s="6" t="s">
        <v>816</v>
      </c>
      <c r="D529" s="28" t="str">
        <f>IF(INICIAL[[#This Row],[CODIGO]]="", "", VLOOKUP(INICIAL[[#This Row],[CODIGO]], PRODUCTOS[#All], 2, FALSE))</f>
        <v>Cople para bomba 1 1/2"</v>
      </c>
      <c r="E529" s="56">
        <v>3</v>
      </c>
    </row>
    <row r="530" spans="2:5" x14ac:dyDescent="0.2">
      <c r="B530" s="6" t="s">
        <v>940</v>
      </c>
      <c r="C530" s="6" t="s">
        <v>818</v>
      </c>
      <c r="D530" s="28" t="str">
        <f>IF(INICIAL[[#This Row],[CODIGO]]="", "", VLOOKUP(INICIAL[[#This Row],[CODIGO]], PRODUCTOS[#All], 2, FALSE))</f>
        <v>Cople para bomba 1"</v>
      </c>
      <c r="E530" s="56">
        <v>1</v>
      </c>
    </row>
    <row r="531" spans="2:5" x14ac:dyDescent="0.2">
      <c r="B531" s="6" t="s">
        <v>940</v>
      </c>
      <c r="C531" s="6" t="s">
        <v>856</v>
      </c>
      <c r="D531" s="28" t="str">
        <f>IF(INICIAL[[#This Row],[CODIGO]]="", "", VLOOKUP(INICIAL[[#This Row],[CODIGO]], PRODUCTOS[#All], 2, FALSE))</f>
        <v>Cople 6" long 4"</v>
      </c>
      <c r="E531" s="56">
        <v>3</v>
      </c>
    </row>
    <row r="532" spans="2:5" x14ac:dyDescent="0.2">
      <c r="B532" s="6" t="s">
        <v>940</v>
      </c>
      <c r="C532" s="6" t="s">
        <v>858</v>
      </c>
      <c r="D532" s="28" t="str">
        <f>IF(INICIAL[[#This Row],[CODIGO]]="", "", VLOOKUP(INICIAL[[#This Row],[CODIGO]], PRODUCTOS[#All], 2, FALSE))</f>
        <v>Cople 4" long 5"</v>
      </c>
      <c r="E532" s="56">
        <v>2</v>
      </c>
    </row>
    <row r="533" spans="2:5" x14ac:dyDescent="0.2">
      <c r="B533" s="6" t="s">
        <v>940</v>
      </c>
      <c r="C533" s="6" t="s">
        <v>854</v>
      </c>
      <c r="D533" s="28" t="str">
        <f>IF(INICIAL[[#This Row],[CODIGO]]="", "", VLOOKUP(INICIAL[[#This Row],[CODIGO]], PRODUCTOS[#All], 2, FALSE))</f>
        <v>Cople 4" long 3 1/2"</v>
      </c>
      <c r="E533" s="56">
        <v>1</v>
      </c>
    </row>
    <row r="534" spans="2:5" x14ac:dyDescent="0.2">
      <c r="B534" s="6" t="s">
        <v>940</v>
      </c>
      <c r="C534" s="6" t="s">
        <v>804</v>
      </c>
      <c r="D534" s="28" t="str">
        <f>IF(INICIAL[[#This Row],[CODIGO]]="", "", VLOOKUP(INICIAL[[#This Row],[CODIGO]], PRODUCTOS[#All], 2, FALSE))</f>
        <v>Concentrica 5" - 8"</v>
      </c>
      <c r="E534" s="56">
        <v>1</v>
      </c>
    </row>
    <row r="535" spans="2:5" x14ac:dyDescent="0.2">
      <c r="B535" s="6" t="s">
        <v>940</v>
      </c>
      <c r="C535" s="6" t="s">
        <v>802</v>
      </c>
      <c r="D535" s="28" t="str">
        <f>IF(INICIAL[[#This Row],[CODIGO]]="", "", VLOOKUP(INICIAL[[#This Row],[CODIGO]], PRODUCTOS[#All], 2, FALSE))</f>
        <v>Concentrica 4" - 6"</v>
      </c>
      <c r="E535" s="56">
        <v>2</v>
      </c>
    </row>
    <row r="536" spans="2:5" x14ac:dyDescent="0.2">
      <c r="B536" s="6" t="s">
        <v>940</v>
      </c>
      <c r="C536" s="6" t="s">
        <v>800</v>
      </c>
      <c r="D536" s="28" t="str">
        <f>IF(INICIAL[[#This Row],[CODIGO]]="", "", VLOOKUP(INICIAL[[#This Row],[CODIGO]], PRODUCTOS[#All], 2, FALSE))</f>
        <v>Concentrica 4" - 2 1/2"</v>
      </c>
      <c r="E536" s="56">
        <v>1</v>
      </c>
    </row>
    <row r="537" spans="2:5" x14ac:dyDescent="0.2">
      <c r="B537" s="6" t="s">
        <v>940</v>
      </c>
      <c r="C537" s="6" t="s">
        <v>784</v>
      </c>
      <c r="D537" s="28" t="str">
        <f>IF(INICIAL[[#This Row],[CODIGO]]="", "", VLOOKUP(INICIAL[[#This Row],[CODIGO]], PRODUCTOS[#All], 2, FALSE))</f>
        <v>Tifon cola de cochino 1/4"</v>
      </c>
      <c r="E537" s="56">
        <v>4</v>
      </c>
    </row>
    <row r="538" spans="2:5" x14ac:dyDescent="0.2">
      <c r="B538" s="6" t="s">
        <v>940</v>
      </c>
      <c r="C538" s="6" t="s">
        <v>832</v>
      </c>
      <c r="D538" s="28" t="str">
        <f>IF(INICIAL[[#This Row],[CODIGO]]="", "", VLOOKUP(INICIAL[[#This Row],[CODIGO]], PRODUCTOS[#All], 2, FALSE))</f>
        <v xml:space="preserve">Adaptador para manómetro </v>
      </c>
      <c r="E538" s="56">
        <v>3</v>
      </c>
    </row>
    <row r="539" spans="2:5" x14ac:dyDescent="0.2">
      <c r="B539" s="6" t="s">
        <v>1956</v>
      </c>
      <c r="C539" s="6" t="s">
        <v>1238</v>
      </c>
      <c r="D539" s="28" t="str">
        <f>IF(INICIAL[[#This Row],[CODIGO]]="", "", VLOOKUP(INICIAL[[#This Row],[CODIGO]], PRODUCTOS[#All], 2, FALSE))</f>
        <v xml:space="preserve">Tortuga 6 toneladas vevor </v>
      </c>
      <c r="E539" s="56">
        <v>4</v>
      </c>
    </row>
    <row r="540" spans="2:5" x14ac:dyDescent="0.2">
      <c r="B540" s="6" t="s">
        <v>1956</v>
      </c>
      <c r="C540" s="6" t="s">
        <v>1272</v>
      </c>
      <c r="D540" s="28" t="str">
        <f>IF(INICIAL[[#This Row],[CODIGO]]="", "", VLOOKUP(INICIAL[[#This Row],[CODIGO]], PRODUCTOS[#All], 2, FALSE))</f>
        <v xml:space="preserve">Tornillo de banco 6" pretul </v>
      </c>
      <c r="E540" s="56">
        <v>3</v>
      </c>
    </row>
    <row r="541" spans="2:5" x14ac:dyDescent="0.2">
      <c r="B541" s="6" t="s">
        <v>1956</v>
      </c>
      <c r="C541" s="6" t="s">
        <v>1224</v>
      </c>
      <c r="D541" s="28" t="str">
        <f>IF(INICIAL[[#This Row],[CODIGO]]="", "", VLOOKUP(INICIAL[[#This Row],[CODIGO]], PRODUCTOS[#All], 2, FALSE))</f>
        <v>Ponchadora pinza hidráulica teeno</v>
      </c>
      <c r="E541" s="56">
        <v>1</v>
      </c>
    </row>
    <row r="542" spans="2:5" x14ac:dyDescent="0.2">
      <c r="B542" s="6" t="s">
        <v>1956</v>
      </c>
      <c r="C542" s="6" t="s">
        <v>1256</v>
      </c>
      <c r="D542" s="28" t="str">
        <f>IF(INICIAL[[#This Row],[CODIGO]]="", "", VLOOKUP(INICIAL[[#This Row],[CODIGO]], PRODUCTOS[#All], 2, FALSE))</f>
        <v xml:space="preserve">Pinza soldadura microalambre </v>
      </c>
      <c r="E542" s="56">
        <v>1</v>
      </c>
    </row>
    <row r="543" spans="2:5" x14ac:dyDescent="0.2">
      <c r="B543" s="6" t="s">
        <v>1956</v>
      </c>
      <c r="C543" s="6" t="s">
        <v>1250</v>
      </c>
      <c r="D543" s="28" t="str">
        <f>IF(INICIAL[[#This Row],[CODIGO]]="", "", VLOOKUP(INICIAL[[#This Row],[CODIGO]], PRODUCTOS[#All], 2, FALSE))</f>
        <v>Pinzas de punta pretul</v>
      </c>
      <c r="E543" s="56">
        <v>1</v>
      </c>
    </row>
    <row r="544" spans="2:5" x14ac:dyDescent="0.2">
      <c r="B544" s="6" t="s">
        <v>1956</v>
      </c>
      <c r="C544" s="6" t="s">
        <v>1202</v>
      </c>
      <c r="D544" s="28" t="str">
        <f>IF(INICIAL[[#This Row],[CODIGO]]="", "", VLOOKUP(INICIAL[[#This Row],[CODIGO]], PRODUCTOS[#All], 2, FALSE))</f>
        <v>Pinza de presión wisegrip</v>
      </c>
      <c r="E544" s="56">
        <v>1</v>
      </c>
    </row>
    <row r="545" spans="2:5" x14ac:dyDescent="0.2">
      <c r="B545" s="6" t="s">
        <v>1956</v>
      </c>
      <c r="C545" s="6" t="s">
        <v>1244</v>
      </c>
      <c r="D545" s="28" t="str">
        <f>IF(INICIAL[[#This Row],[CODIGO]]="", "", VLOOKUP(INICIAL[[#This Row],[CODIGO]], PRODUCTOS[#All], 2, FALSE))</f>
        <v xml:space="preserve">Pinza de presión de una pulgada </v>
      </c>
      <c r="E545" s="56">
        <v>1</v>
      </c>
    </row>
    <row r="546" spans="2:5" x14ac:dyDescent="0.2">
      <c r="B546" s="6" t="s">
        <v>1956</v>
      </c>
      <c r="C546" s="6" t="s">
        <v>1242</v>
      </c>
      <c r="D546" s="28" t="str">
        <f>IF(INICIAL[[#This Row],[CODIGO]]="", "", VLOOKUP(INICIAL[[#This Row],[CODIGO]], PRODUCTOS[#All], 2, FALSE))</f>
        <v xml:space="preserve">Pinzas de presión surtek tipo pato </v>
      </c>
      <c r="E546" s="56">
        <v>1</v>
      </c>
    </row>
    <row r="547" spans="2:5" x14ac:dyDescent="0.2">
      <c r="B547" s="6" t="s">
        <v>1956</v>
      </c>
      <c r="C547" s="6" t="s">
        <v>1204</v>
      </c>
      <c r="D547" s="28" t="str">
        <f>IF(INICIAL[[#This Row],[CODIGO]]="", "", VLOOKUP(INICIAL[[#This Row],[CODIGO]], PRODUCTOS[#All], 2, FALSE))</f>
        <v>Pinza de punta</v>
      </c>
      <c r="E547" s="56">
        <v>1</v>
      </c>
    </row>
    <row r="548" spans="2:5" x14ac:dyDescent="0.2">
      <c r="B548" s="6" t="s">
        <v>1956</v>
      </c>
      <c r="C548" s="6" t="s">
        <v>1206</v>
      </c>
      <c r="D548" s="28" t="str">
        <f>IF(INICIAL[[#This Row],[CODIGO]]="", "", VLOOKUP(INICIAL[[#This Row],[CODIGO]], PRODUCTOS[#All], 2, FALSE))</f>
        <v xml:space="preserve">Pinza de electricista pretul </v>
      </c>
      <c r="E548" s="56">
        <v>1</v>
      </c>
    </row>
    <row r="549" spans="2:5" x14ac:dyDescent="0.2">
      <c r="B549" s="6" t="s">
        <v>1956</v>
      </c>
      <c r="C549" s="6" t="s">
        <v>1302</v>
      </c>
      <c r="D549" s="28" t="str">
        <f>IF(INICIAL[[#This Row],[CODIGO]]="", "", VLOOKUP(INICIAL[[#This Row],[CODIGO]], PRODUCTOS[#All], 2, FALSE))</f>
        <v xml:space="preserve">Picos </v>
      </c>
      <c r="E549" s="56">
        <v>3</v>
      </c>
    </row>
    <row r="550" spans="2:5" x14ac:dyDescent="0.2">
      <c r="B550" s="6" t="s">
        <v>1956</v>
      </c>
      <c r="C550" s="6" t="s">
        <v>1246</v>
      </c>
      <c r="D550" s="28" t="str">
        <f>IF(INICIAL[[#This Row],[CODIGO]]="", "", VLOOKUP(INICIAL[[#This Row],[CODIGO]], PRODUCTOS[#All], 2, FALSE))</f>
        <v>Pinza de presión tipo cangrego truper</v>
      </c>
      <c r="E550" s="56">
        <v>1</v>
      </c>
    </row>
    <row r="551" spans="2:5" x14ac:dyDescent="0.2">
      <c r="B551" s="6" t="s">
        <v>1956</v>
      </c>
      <c r="C551" s="6" t="s">
        <v>1260</v>
      </c>
      <c r="D551" s="28" t="str">
        <f>IF(INICIAL[[#This Row],[CODIGO]]="", "", VLOOKUP(INICIAL[[#This Row],[CODIGO]], PRODUCTOS[#All], 2, FALSE))</f>
        <v xml:space="preserve">Pinza para anillo de retención 6 1/2" </v>
      </c>
      <c r="E551" s="56">
        <v>1</v>
      </c>
    </row>
    <row r="552" spans="2:5" x14ac:dyDescent="0.2">
      <c r="B552" s="6" t="s">
        <v>1956</v>
      </c>
      <c r="C552" s="6" t="s">
        <v>1300</v>
      </c>
      <c r="D552" s="28" t="str">
        <f>IF(INICIAL[[#This Row],[CODIGO]]="", "", VLOOKUP(INICIAL[[#This Row],[CODIGO]], PRODUCTOS[#All], 2, FALSE))</f>
        <v>Pala redonda mango largo</v>
      </c>
      <c r="E552" s="56">
        <v>3</v>
      </c>
    </row>
    <row r="553" spans="2:5" x14ac:dyDescent="0.2">
      <c r="B553" s="6" t="s">
        <v>1956</v>
      </c>
      <c r="C553" s="6" t="s">
        <v>1296</v>
      </c>
      <c r="D553" s="28" t="str">
        <f>IF(INICIAL[[#This Row],[CODIGO]]="", "", VLOOKUP(INICIAL[[#This Row],[CODIGO]], PRODUCTOS[#All], 2, FALSE))</f>
        <v>Pala cuadrada pretul</v>
      </c>
      <c r="E553" s="56">
        <v>5</v>
      </c>
    </row>
    <row r="554" spans="2:5" x14ac:dyDescent="0.2">
      <c r="B554" s="6" t="s">
        <v>1956</v>
      </c>
      <c r="C554" s="6" t="s">
        <v>1298</v>
      </c>
      <c r="D554" s="28" t="str">
        <f>IF(INICIAL[[#This Row],[CODIGO]]="", "", VLOOKUP(INICIAL[[#This Row],[CODIGO]], PRODUCTOS[#All], 2, FALSE))</f>
        <v>Pala ancha pretul</v>
      </c>
      <c r="E554" s="56">
        <v>3</v>
      </c>
    </row>
    <row r="555" spans="2:5" x14ac:dyDescent="0.2">
      <c r="B555" s="6" t="s">
        <v>1956</v>
      </c>
      <c r="C555" s="6" t="s">
        <v>1266</v>
      </c>
      <c r="D555" s="28" t="str">
        <f>IF(INICIAL[[#This Row],[CODIGO]]="", "", VLOOKUP(INICIAL[[#This Row],[CODIGO]], PRODUCTOS[#All], 2, FALSE))</f>
        <v xml:space="preserve">Nivel profesional marca truper 24" 3 gotas </v>
      </c>
      <c r="E555" s="56">
        <v>1</v>
      </c>
    </row>
    <row r="556" spans="2:5" x14ac:dyDescent="0.2">
      <c r="B556" s="6" t="s">
        <v>1956</v>
      </c>
      <c r="C556" s="6" t="s">
        <v>1268</v>
      </c>
      <c r="D556" s="28" t="str">
        <f>IF(INICIAL[[#This Row],[CODIGO]]="", "", VLOOKUP(INICIAL[[#This Row],[CODIGO]], PRODUCTOS[#All], 2, FALSE))</f>
        <v>Nivel 3 gotas truper 8"</v>
      </c>
      <c r="E556" s="56">
        <v>1</v>
      </c>
    </row>
    <row r="557" spans="2:5" x14ac:dyDescent="0.2">
      <c r="B557" s="6" t="s">
        <v>1956</v>
      </c>
      <c r="C557" s="6" t="s">
        <v>1214</v>
      </c>
      <c r="D557" s="28" t="str">
        <f>IF(INICIAL[[#This Row],[CODIGO]]="", "", VLOOKUP(INICIAL[[#This Row],[CODIGO]], PRODUCTOS[#All], 2, FALSE))</f>
        <v>Matraca truper 1/2"</v>
      </c>
      <c r="E557" s="56">
        <v>1</v>
      </c>
    </row>
    <row r="558" spans="2:5" x14ac:dyDescent="0.2">
      <c r="B558" s="6" t="s">
        <v>1956</v>
      </c>
      <c r="C558" s="6" t="s">
        <v>1318</v>
      </c>
      <c r="D558" s="28" t="str">
        <f>IF(INICIAL[[#This Row],[CODIGO]]="", "", VLOOKUP(INICIAL[[#This Row],[CODIGO]], PRODUCTOS[#All], 2, FALSE))</f>
        <v xml:space="preserve">Matraca </v>
      </c>
      <c r="E558" s="56">
        <v>5</v>
      </c>
    </row>
    <row r="559" spans="2:5" x14ac:dyDescent="0.2">
      <c r="B559" s="6" t="s">
        <v>1956</v>
      </c>
      <c r="C559" s="6" t="s">
        <v>1182</v>
      </c>
      <c r="D559" s="28" t="str">
        <f>IF(INICIAL[[#This Row],[CODIGO]]="", "", VLOOKUP(INICIAL[[#This Row],[CODIGO]], PRODUCTOS[#All], 2, FALSE))</f>
        <v xml:space="preserve">Matraca 3/8 pretul </v>
      </c>
      <c r="E559" s="56">
        <v>1</v>
      </c>
    </row>
    <row r="560" spans="2:5" x14ac:dyDescent="0.2">
      <c r="B560" s="6" t="s">
        <v>1956</v>
      </c>
      <c r="C560" s="6" t="s">
        <v>1304</v>
      </c>
      <c r="D560" s="28" t="str">
        <f>IF(INICIAL[[#This Row],[CODIGO]]="", "", VLOOKUP(INICIAL[[#This Row],[CODIGO]], PRODUCTOS[#All], 2, FALSE))</f>
        <v>Marro 8lb</v>
      </c>
      <c r="E560" s="56">
        <v>1</v>
      </c>
    </row>
    <row r="561" spans="2:5" x14ac:dyDescent="0.2">
      <c r="B561" s="6" t="s">
        <v>1956</v>
      </c>
      <c r="C561" s="6" t="s">
        <v>1306</v>
      </c>
      <c r="D561" s="28" t="str">
        <f>IF(INICIAL[[#This Row],[CODIGO]]="", "", VLOOKUP(INICIAL[[#This Row],[CODIGO]], PRODUCTOS[#All], 2, FALSE))</f>
        <v>Marro 12Lb</v>
      </c>
      <c r="E561" s="56">
        <v>1</v>
      </c>
    </row>
    <row r="562" spans="2:5" x14ac:dyDescent="0.2">
      <c r="B562" s="6" t="s">
        <v>1956</v>
      </c>
      <c r="C562" s="6" t="s">
        <v>1196</v>
      </c>
      <c r="D562" s="28" t="str">
        <f>IF(INICIAL[[#This Row],[CODIGO]]="", "", VLOOKUP(INICIAL[[#This Row],[CODIGO]], PRODUCTOS[#All], 2, FALSE))</f>
        <v>Maso de goma Total</v>
      </c>
      <c r="E562" s="56">
        <v>1</v>
      </c>
    </row>
    <row r="563" spans="2:5" x14ac:dyDescent="0.2">
      <c r="B563" s="6" t="s">
        <v>1956</v>
      </c>
      <c r="C563" s="6" t="s">
        <v>1258</v>
      </c>
      <c r="D563" s="28" t="str">
        <f>IF(INICIAL[[#This Row],[CODIGO]]="", "", VLOOKUP(INICIAL[[#This Row],[CODIGO]], PRODUCTOS[#All], 2, FALSE))</f>
        <v xml:space="preserve">Lima triangular marca truper </v>
      </c>
      <c r="E563" s="56">
        <v>1</v>
      </c>
    </row>
    <row r="564" spans="2:5" x14ac:dyDescent="0.2">
      <c r="B564" s="6" t="s">
        <v>1956</v>
      </c>
      <c r="C564" s="6" t="s">
        <v>1254</v>
      </c>
      <c r="D564" s="28" t="str">
        <f>IF(INICIAL[[#This Row],[CODIGO]]="", "", VLOOKUP(INICIAL[[#This Row],[CODIGO]], PRODUCTOS[#All], 2, FALSE))</f>
        <v xml:space="preserve">Llave 11/16 </v>
      </c>
      <c r="E564" s="56">
        <v>1</v>
      </c>
    </row>
    <row r="565" spans="2:5" x14ac:dyDescent="0.2">
      <c r="B565" s="6" t="s">
        <v>1956</v>
      </c>
      <c r="C565" s="6" t="s">
        <v>1180</v>
      </c>
      <c r="D565" s="28" t="str">
        <f>IF(INICIAL[[#This Row],[CODIGO]]="", "", VLOOKUP(INICIAL[[#This Row],[CODIGO]], PRODUCTOS[#All], 2, FALSE))</f>
        <v>Llave surtek 1 1/16"</v>
      </c>
      <c r="E565" s="56">
        <v>1</v>
      </c>
    </row>
    <row r="566" spans="2:5" x14ac:dyDescent="0.2">
      <c r="B566" s="6" t="s">
        <v>1956</v>
      </c>
      <c r="C566" s="6" t="s">
        <v>1188</v>
      </c>
      <c r="D566" s="28" t="str">
        <f>IF(INICIAL[[#This Row],[CODIGO]]="", "", VLOOKUP(INICIAL[[#This Row],[CODIGO]], PRODUCTOS[#All], 2, FALSE))</f>
        <v xml:space="preserve">Llave ajustable pretul 10" </v>
      </c>
      <c r="E566" s="56">
        <v>1</v>
      </c>
    </row>
    <row r="567" spans="2:5" x14ac:dyDescent="0.2">
      <c r="B567" s="6" t="s">
        <v>1956</v>
      </c>
      <c r="C567" s="6" t="s">
        <v>1194</v>
      </c>
      <c r="D567" s="28" t="str">
        <f>IF(INICIAL[[#This Row],[CODIGO]]="", "", VLOOKUP(INICIAL[[#This Row],[CODIGO]], PRODUCTOS[#All], 2, FALSE))</f>
        <v>Llave c/corona pretul 1/2"</v>
      </c>
      <c r="E567" s="56">
        <v>1</v>
      </c>
    </row>
    <row r="568" spans="2:5" x14ac:dyDescent="0.2">
      <c r="B568" s="6" t="s">
        <v>1956</v>
      </c>
      <c r="C568" s="6" t="s">
        <v>1184</v>
      </c>
      <c r="D568" s="28" t="str">
        <f>IF(INICIAL[[#This Row],[CODIGO]]="", "", VLOOKUP(INICIAL[[#This Row],[CODIGO]], PRODUCTOS[#All], 2, FALSE))</f>
        <v>Llave c/corona 7/8"</v>
      </c>
      <c r="E568" s="56">
        <v>1</v>
      </c>
    </row>
    <row r="569" spans="2:5" x14ac:dyDescent="0.2">
      <c r="B569" s="6" t="s">
        <v>1956</v>
      </c>
      <c r="C569" s="6" t="s">
        <v>1190</v>
      </c>
      <c r="D569" s="28" t="str">
        <f>IF(INICIAL[[#This Row],[CODIGO]]="", "", VLOOKUP(INICIAL[[#This Row],[CODIGO]], PRODUCTOS[#All], 2, FALSE))</f>
        <v>Llave c/corona China 1 1/8"</v>
      </c>
      <c r="E569" s="56">
        <v>1</v>
      </c>
    </row>
    <row r="570" spans="2:5" x14ac:dyDescent="0.2">
      <c r="B570" s="6" t="s">
        <v>1956</v>
      </c>
      <c r="C570" s="6" t="s">
        <v>1186</v>
      </c>
      <c r="D570" s="28" t="str">
        <f>IF(INICIAL[[#This Row],[CODIGO]]="", "", VLOOKUP(INICIAL[[#This Row],[CODIGO]], PRODUCTOS[#All], 2, FALSE))</f>
        <v>Llave c/corona China 1 1/16"</v>
      </c>
      <c r="E570" s="56">
        <v>1</v>
      </c>
    </row>
    <row r="571" spans="2:5" x14ac:dyDescent="0.2">
      <c r="B571" s="6" t="s">
        <v>1956</v>
      </c>
      <c r="C571" s="6" t="s">
        <v>1312</v>
      </c>
      <c r="D571" s="28" t="str">
        <f>IF(INICIAL[[#This Row],[CODIGO]]="", "", VLOOKUP(INICIAL[[#This Row],[CODIGO]], PRODUCTOS[#All], 2, FALSE))</f>
        <v>Llave con corona 10</v>
      </c>
      <c r="E571" s="56">
        <v>1</v>
      </c>
    </row>
    <row r="572" spans="2:5" x14ac:dyDescent="0.2">
      <c r="B572" s="6" t="s">
        <v>1956</v>
      </c>
      <c r="C572" s="6" t="s">
        <v>1240</v>
      </c>
      <c r="D572" s="28" t="str">
        <f>IF(INICIAL[[#This Row],[CODIGO]]="", "", VLOOKUP(INICIAL[[#This Row],[CODIGO]], PRODUCTOS[#All], 2, FALSE))</f>
        <v>Juego de sacabocados para madera 8pzs</v>
      </c>
      <c r="E572" s="56">
        <v>1</v>
      </c>
    </row>
    <row r="573" spans="2:5" x14ac:dyDescent="0.2">
      <c r="B573" s="6" t="s">
        <v>1956</v>
      </c>
      <c r="C573" s="6" t="s">
        <v>1222</v>
      </c>
      <c r="D573" s="28" t="str">
        <f>IF(INICIAL[[#This Row],[CODIGO]]="", "", VLOOKUP(INICIAL[[#This Row],[CODIGO]], PRODUCTOS[#All], 2, FALSE))</f>
        <v>juego de sacabocados 12 pzs</v>
      </c>
      <c r="E573" s="56">
        <v>1</v>
      </c>
    </row>
    <row r="574" spans="2:5" x14ac:dyDescent="0.2">
      <c r="B574" s="6" t="s">
        <v>1956</v>
      </c>
      <c r="C574" s="6" t="s">
        <v>1228</v>
      </c>
      <c r="D574" s="28" t="str">
        <f>IF(INICIAL[[#This Row],[CODIGO]]="", "", VLOOKUP(INICIAL[[#This Row],[CODIGO]], PRODUCTOS[#All], 2, FALSE))</f>
        <v>Juego de machuelos 16pzs truper</v>
      </c>
      <c r="E574" s="56">
        <v>1</v>
      </c>
    </row>
    <row r="575" spans="2:5" x14ac:dyDescent="0.2">
      <c r="B575" s="6" t="s">
        <v>1956</v>
      </c>
      <c r="C575" s="6" t="s">
        <v>1274</v>
      </c>
      <c r="D575" s="28" t="str">
        <f>IF(INICIAL[[#This Row],[CODIGO]]="", "", VLOOKUP(INICIAL[[#This Row],[CODIGO]], PRODUCTOS[#All], 2, FALSE))</f>
        <v>Juego de llaves tork  9pzs</v>
      </c>
      <c r="E575" s="56">
        <v>1</v>
      </c>
    </row>
    <row r="576" spans="2:5" x14ac:dyDescent="0.2">
      <c r="B576" s="6" t="s">
        <v>1956</v>
      </c>
      <c r="C576" s="6" t="s">
        <v>1280</v>
      </c>
      <c r="D576" s="28" t="str">
        <f>IF(INICIAL[[#This Row],[CODIGO]]="", "", VLOOKUP(INICIAL[[#This Row],[CODIGO]], PRODUCTOS[#All], 2, FALSE))</f>
        <v xml:space="preserve">Juego de llaves españolas para rotular </v>
      </c>
      <c r="E576" s="56">
        <v>2</v>
      </c>
    </row>
    <row r="577" spans="2:5" x14ac:dyDescent="0.2">
      <c r="B577" s="6" t="s">
        <v>1956</v>
      </c>
      <c r="C577" s="6" t="s">
        <v>1178</v>
      </c>
      <c r="D577" s="28" t="str">
        <f>IF(INICIAL[[#This Row],[CODIGO]]="", "", VLOOKUP(INICIAL[[#This Row],[CODIGO]], PRODUCTOS[#All], 2, FALSE))</f>
        <v xml:space="preserve">Juego de dados stanley 37 piezas </v>
      </c>
      <c r="E577" s="56">
        <v>1</v>
      </c>
    </row>
    <row r="578" spans="2:5" x14ac:dyDescent="0.2">
      <c r="B578" s="6" t="s">
        <v>1956</v>
      </c>
      <c r="C578" s="6" t="s">
        <v>1216</v>
      </c>
      <c r="D578" s="28" t="str">
        <f>IF(INICIAL[[#This Row],[CODIGO]]="", "", VLOOKUP(INICIAL[[#This Row],[CODIGO]], PRODUCTOS[#All], 2, FALSE))</f>
        <v xml:space="preserve">Juego de dados con matraca y extensión </v>
      </c>
      <c r="E578" s="56">
        <v>1</v>
      </c>
    </row>
    <row r="579" spans="2:5" x14ac:dyDescent="0.2">
      <c r="B579" s="6" t="s">
        <v>1956</v>
      </c>
      <c r="C579" s="6" t="s">
        <v>1220</v>
      </c>
      <c r="D579" s="28" t="str">
        <f>IF(INICIAL[[#This Row],[CODIGO]]="", "", VLOOKUP(INICIAL[[#This Row],[CODIGO]], PRODUCTOS[#All], 2, FALSE))</f>
        <v>Juego de dados juemel 43 pzs.</v>
      </c>
      <c r="E579" s="56">
        <v>1</v>
      </c>
    </row>
    <row r="580" spans="2:5" x14ac:dyDescent="0.2">
      <c r="B580" s="6" t="s">
        <v>1956</v>
      </c>
      <c r="C580" s="6" t="s">
        <v>1218</v>
      </c>
      <c r="D580" s="28" t="str">
        <f>IF(INICIAL[[#This Row],[CODIGO]]="", "", VLOOKUP(INICIAL[[#This Row],[CODIGO]], PRODUCTOS[#All], 2, FALSE))</f>
        <v>Juego de dados Total 45 pzs.</v>
      </c>
      <c r="E580" s="56">
        <v>1</v>
      </c>
    </row>
    <row r="581" spans="2:5" x14ac:dyDescent="0.2">
      <c r="B581" s="6" t="s">
        <v>1956</v>
      </c>
      <c r="C581" s="6" t="s">
        <v>1294</v>
      </c>
      <c r="D581" s="28" t="str">
        <f>IF(INICIAL[[#This Row],[CODIGO]]="", "", VLOOKUP(INICIAL[[#This Row],[CODIGO]], PRODUCTOS[#All], 2, FALSE))</f>
        <v xml:space="preserve">Guillotina </v>
      </c>
      <c r="E581" s="56">
        <v>1</v>
      </c>
    </row>
    <row r="582" spans="2:5" x14ac:dyDescent="0.2">
      <c r="B582" s="6" t="s">
        <v>1956</v>
      </c>
      <c r="C582" s="6" t="s">
        <v>1200</v>
      </c>
      <c r="D582" s="28" t="str">
        <f>IF(INICIAL[[#This Row],[CODIGO]]="", "", VLOOKUP(INICIAL[[#This Row],[CODIGO]], PRODUCTOS[#All], 2, FALSE))</f>
        <v xml:space="preserve">Furmon truper 1" </v>
      </c>
      <c r="E582" s="56">
        <v>1</v>
      </c>
    </row>
    <row r="583" spans="2:5" x14ac:dyDescent="0.2">
      <c r="B583" s="6" t="s">
        <v>1956</v>
      </c>
      <c r="C583" s="6" t="s">
        <v>1234</v>
      </c>
      <c r="D583" s="28" t="str">
        <f>IF(INICIAL[[#This Row],[CODIGO]]="", "", VLOOKUP(INICIAL[[#This Row],[CODIGO]], PRODUCTOS[#All], 2, FALSE))</f>
        <v>Flejadora manual azul 10" marca seafon</v>
      </c>
      <c r="E583" s="56">
        <v>1</v>
      </c>
    </row>
    <row r="584" spans="2:5" x14ac:dyDescent="0.2">
      <c r="B584" s="6" t="s">
        <v>1956</v>
      </c>
      <c r="C584" s="6" t="s">
        <v>1262</v>
      </c>
      <c r="D584" s="28" t="str">
        <f>IF(INICIAL[[#This Row],[CODIGO]]="", "", VLOOKUP(INICIAL[[#This Row],[CODIGO]], PRODUCTOS[#All], 2, FALSE))</f>
        <v xml:space="preserve">Escuadra surtek 9" </v>
      </c>
      <c r="E584" s="56">
        <v>4</v>
      </c>
    </row>
    <row r="585" spans="2:5" x14ac:dyDescent="0.2">
      <c r="B585" s="6" t="s">
        <v>1956</v>
      </c>
      <c r="C585" s="6" t="s">
        <v>1286</v>
      </c>
      <c r="D585" s="28" t="str">
        <f>IF(INICIAL[[#This Row],[CODIGO]]="", "", VLOOKUP(INICIAL[[#This Row],[CODIGO]], PRODUCTOS[#All], 2, FALSE))</f>
        <v>Elevadores par 8"</v>
      </c>
      <c r="E585" s="56">
        <v>1</v>
      </c>
    </row>
    <row r="586" spans="2:5" x14ac:dyDescent="0.2">
      <c r="B586" s="6" t="s">
        <v>1956</v>
      </c>
      <c r="C586" s="6" t="s">
        <v>1288</v>
      </c>
      <c r="D586" s="28" t="str">
        <f>IF(INICIAL[[#This Row],[CODIGO]]="", "", VLOOKUP(INICIAL[[#This Row],[CODIGO]], PRODUCTOS[#All], 2, FALSE))</f>
        <v>Elevadores par 6"</v>
      </c>
      <c r="E586" s="56">
        <v>2</v>
      </c>
    </row>
    <row r="587" spans="2:5" x14ac:dyDescent="0.2">
      <c r="B587" s="6" t="s">
        <v>1956</v>
      </c>
      <c r="C587" s="6" t="s">
        <v>1290</v>
      </c>
      <c r="D587" s="28" t="str">
        <f>IF(INICIAL[[#This Row],[CODIGO]]="", "", VLOOKUP(INICIAL[[#This Row],[CODIGO]], PRODUCTOS[#All], 2, FALSE))</f>
        <v>Elevadores par 4"</v>
      </c>
      <c r="E587" s="56">
        <v>2</v>
      </c>
    </row>
    <row r="588" spans="2:5" x14ac:dyDescent="0.2">
      <c r="B588" s="6" t="s">
        <v>1956</v>
      </c>
      <c r="C588" s="6" t="s">
        <v>1292</v>
      </c>
      <c r="D588" s="28" t="str">
        <f>IF(INICIAL[[#This Row],[CODIGO]]="", "", VLOOKUP(INICIAL[[#This Row],[CODIGO]], PRODUCTOS[#All], 2, FALSE))</f>
        <v>Elevadores par 3"</v>
      </c>
      <c r="E588" s="56">
        <v>2</v>
      </c>
    </row>
    <row r="589" spans="2:5" x14ac:dyDescent="0.2">
      <c r="B589" s="6" t="s">
        <v>1956</v>
      </c>
      <c r="C589" s="6" t="s">
        <v>1208</v>
      </c>
      <c r="D589" s="28" t="str">
        <f>IF(INICIAL[[#This Row],[CODIGO]]="", "", VLOOKUP(INICIAL[[#This Row],[CODIGO]], PRODUCTOS[#All], 2, FALSE))</f>
        <v>Desarmador plano pretul</v>
      </c>
      <c r="E589" s="56">
        <v>1</v>
      </c>
    </row>
    <row r="590" spans="2:5" x14ac:dyDescent="0.2">
      <c r="B590" s="6" t="s">
        <v>1956</v>
      </c>
      <c r="C590" s="6" t="s">
        <v>1192</v>
      </c>
      <c r="D590" s="28" t="str">
        <f>IF(INICIAL[[#This Row],[CODIGO]]="", "", VLOOKUP(INICIAL[[#This Row],[CODIGO]], PRODUCTOS[#All], 2, FALSE))</f>
        <v xml:space="preserve">Desarmador verde </v>
      </c>
      <c r="E590" s="56">
        <v>1</v>
      </c>
    </row>
    <row r="591" spans="2:5" x14ac:dyDescent="0.2">
      <c r="B591" s="6" t="s">
        <v>1956</v>
      </c>
      <c r="C591" s="6" t="s">
        <v>1248</v>
      </c>
      <c r="D591" s="28" t="str">
        <f>IF(INICIAL[[#This Row],[CODIGO]]="", "", VLOOKUP(INICIAL[[#This Row],[CODIGO]], PRODUCTOS[#All], 2, FALSE))</f>
        <v>desarmador plano truper dg 3/16 x 4"</v>
      </c>
      <c r="E591" s="56">
        <v>1</v>
      </c>
    </row>
    <row r="592" spans="2:5" x14ac:dyDescent="0.2">
      <c r="B592" s="6" t="s">
        <v>1956</v>
      </c>
      <c r="C592" s="6" t="s">
        <v>1276</v>
      </c>
      <c r="D592" s="28" t="str">
        <f>IF(INICIAL[[#This Row],[CODIGO]]="", "", VLOOKUP(INICIAL[[#This Row],[CODIGO]], PRODUCTOS[#All], 2, FALSE))</f>
        <v xml:space="preserve">Desarmador plano Total </v>
      </c>
      <c r="E592" s="56">
        <v>1</v>
      </c>
    </row>
    <row r="593" spans="2:5" x14ac:dyDescent="0.2">
      <c r="B593" s="6" t="s">
        <v>1956</v>
      </c>
      <c r="C593" s="6" t="s">
        <v>1252</v>
      </c>
      <c r="D593" s="28" t="str">
        <f>IF(INICIAL[[#This Row],[CODIGO]]="", "", VLOOKUP(INICIAL[[#This Row],[CODIGO]], PRODUCTOS[#All], 2, FALSE))</f>
        <v>Desarmador dielectrico 0.8x4x100</v>
      </c>
      <c r="E593" s="56">
        <v>1</v>
      </c>
    </row>
    <row r="594" spans="2:5" x14ac:dyDescent="0.2">
      <c r="B594" s="6" t="s">
        <v>1956</v>
      </c>
      <c r="C594" s="6" t="s">
        <v>1308</v>
      </c>
      <c r="D594" s="28" t="str">
        <f>IF(INICIAL[[#This Row],[CODIGO]]="", "", VLOOKUP(INICIAL[[#This Row],[CODIGO]], PRODUCTOS[#All], 2, FALSE))</f>
        <v>Desarmador cruz dp 3/16 x 3</v>
      </c>
      <c r="E594" s="56">
        <v>1</v>
      </c>
    </row>
    <row r="595" spans="2:5" x14ac:dyDescent="0.2">
      <c r="B595" s="6" t="s">
        <v>1956</v>
      </c>
      <c r="C595" s="6" t="s">
        <v>1212</v>
      </c>
      <c r="D595" s="28" t="str">
        <f>IF(INICIAL[[#This Row],[CODIGO]]="", "", VLOOKUP(INICIAL[[#This Row],[CODIGO]], PRODUCTOS[#All], 2, FALSE))</f>
        <v>desarmador cruz pretul dp-316 x 4tp</v>
      </c>
      <c r="E595" s="56">
        <v>1</v>
      </c>
    </row>
    <row r="596" spans="2:5" x14ac:dyDescent="0.2">
      <c r="B596" s="6" t="s">
        <v>1956</v>
      </c>
      <c r="C596" s="6" t="s">
        <v>1236</v>
      </c>
      <c r="D596" s="28" t="str">
        <f>IF(INICIAL[[#This Row],[CODIGO]]="", "", VLOOKUP(INICIAL[[#This Row],[CODIGO]], PRODUCTOS[#All], 2, FALSE))</f>
        <v>Dado urrea 1 13/16"</v>
      </c>
      <c r="E596" s="56">
        <v>1</v>
      </c>
    </row>
    <row r="597" spans="2:5" x14ac:dyDescent="0.2">
      <c r="B597" s="6" t="s">
        <v>1956</v>
      </c>
      <c r="C597" s="6" t="s">
        <v>1210</v>
      </c>
      <c r="D597" s="28" t="str">
        <f>IF(INICIAL[[#This Row],[CODIGO]]="", "", VLOOKUP(INICIAL[[#This Row],[CODIGO]], PRODUCTOS[#All], 2, FALSE))</f>
        <v xml:space="preserve">Cuter </v>
      </c>
      <c r="E597" s="56">
        <v>1</v>
      </c>
    </row>
    <row r="598" spans="2:5" x14ac:dyDescent="0.2">
      <c r="B598" s="6" t="s">
        <v>1956</v>
      </c>
      <c r="C598" s="6" t="s">
        <v>1314</v>
      </c>
      <c r="D598" s="28" t="str">
        <f>IF(INICIAL[[#This Row],[CODIGO]]="", "", VLOOKUP(INICIAL[[#This Row],[CODIGO]], PRODUCTOS[#All], 2, FALSE))</f>
        <v>Clavos (g)</v>
      </c>
      <c r="E598" s="56">
        <v>20</v>
      </c>
    </row>
    <row r="599" spans="2:5" x14ac:dyDescent="0.2">
      <c r="B599" s="6" t="s">
        <v>1956</v>
      </c>
      <c r="C599" s="6" t="s">
        <v>1230</v>
      </c>
      <c r="D599" s="28" t="str">
        <f>IF(INICIAL[[#This Row],[CODIGO]]="", "", VLOOKUP(INICIAL[[#This Row],[CODIGO]], PRODUCTOS[#All], 2, FALSE))</f>
        <v>Cizalla corta pernos</v>
      </c>
      <c r="E599" s="56">
        <v>1</v>
      </c>
    </row>
    <row r="600" spans="2:5" x14ac:dyDescent="0.2">
      <c r="B600" s="6" t="s">
        <v>1956</v>
      </c>
      <c r="C600" s="6" t="s">
        <v>1316</v>
      </c>
      <c r="D600" s="28" t="str">
        <f>IF(INICIAL[[#This Row],[CODIGO]]="", "", VLOOKUP(INICIAL[[#This Row],[CODIGO]], PRODUCTOS[#All], 2, FALSE))</f>
        <v>Cincho de 5.8 cm x 8.23 m capacidad 1500k</v>
      </c>
      <c r="E600" s="56">
        <v>5</v>
      </c>
    </row>
    <row r="601" spans="2:5" x14ac:dyDescent="0.2">
      <c r="B601" s="6" t="s">
        <v>1956</v>
      </c>
      <c r="C601" s="6" t="s">
        <v>1226</v>
      </c>
      <c r="D601" s="28" t="str">
        <f>IF(INICIAL[[#This Row],[CODIGO]]="", "", VLOOKUP(INICIAL[[#This Row],[CODIGO]], PRODUCTOS[#All], 2, FALSE))</f>
        <v xml:space="preserve">Cinta métrica 30m </v>
      </c>
      <c r="E601" s="56">
        <v>1</v>
      </c>
    </row>
    <row r="602" spans="2:5" x14ac:dyDescent="0.2">
      <c r="B602" s="6" t="s">
        <v>1956</v>
      </c>
      <c r="C602" s="6" t="s">
        <v>1232</v>
      </c>
      <c r="D602" s="28" t="str">
        <f>IF(INICIAL[[#This Row],[CODIGO]]="", "", VLOOKUP(INICIAL[[#This Row],[CODIGO]], PRODUCTOS[#All], 2, FALSE))</f>
        <v xml:space="preserve">Cerrucho Total 50" </v>
      </c>
      <c r="E602" s="56">
        <v>1</v>
      </c>
    </row>
    <row r="603" spans="2:5" x14ac:dyDescent="0.2">
      <c r="B603" s="6" t="s">
        <v>1956</v>
      </c>
      <c r="C603" s="6" t="s">
        <v>1270</v>
      </c>
      <c r="D603" s="28" t="str">
        <f>IF(INICIAL[[#This Row],[CODIGO]]="", "", VLOOKUP(INICIAL[[#This Row],[CODIGO]], PRODUCTOS[#All], 2, FALSE))</f>
        <v xml:space="preserve">Cepillo de alambre metálico marca truper </v>
      </c>
      <c r="E603" s="56">
        <v>1</v>
      </c>
    </row>
    <row r="604" spans="2:5" x14ac:dyDescent="0.2">
      <c r="B604" s="6" t="s">
        <v>1956</v>
      </c>
      <c r="C604" s="6" t="s">
        <v>1198</v>
      </c>
      <c r="D604" s="28" t="str">
        <f>IF(INICIAL[[#This Row],[CODIGO]]="", "", VLOOKUP(INICIAL[[#This Row],[CODIGO]], PRODUCTOS[#All], 2, FALSE))</f>
        <v xml:space="preserve">Cepillo de alambre mango de plástico Truper </v>
      </c>
      <c r="E604" s="56">
        <v>2</v>
      </c>
    </row>
    <row r="605" spans="2:5" x14ac:dyDescent="0.2">
      <c r="B605" s="6" t="s">
        <v>1956</v>
      </c>
      <c r="C605" s="6" t="s">
        <v>1282</v>
      </c>
      <c r="D605" s="28" t="str">
        <f>IF(INICIAL[[#This Row],[CODIGO]]="", "", VLOOKUP(INICIAL[[#This Row],[CODIGO]], PRODUCTOS[#All], 2, FALSE))</f>
        <v>Caimanes 6"</v>
      </c>
      <c r="E605" s="56">
        <v>2</v>
      </c>
    </row>
    <row r="606" spans="2:5" x14ac:dyDescent="0.2">
      <c r="B606" s="6" t="s">
        <v>1956</v>
      </c>
      <c r="C606" s="6" t="s">
        <v>1284</v>
      </c>
      <c r="D606" s="28" t="str">
        <f>IF(INICIAL[[#This Row],[CODIGO]]="", "", VLOOKUP(INICIAL[[#This Row],[CODIGO]], PRODUCTOS[#All], 2, FALSE))</f>
        <v>Caimanes 12"</v>
      </c>
      <c r="E606" s="56">
        <v>1</v>
      </c>
    </row>
    <row r="607" spans="2:5" x14ac:dyDescent="0.2">
      <c r="B607" s="6" t="s">
        <v>1956</v>
      </c>
      <c r="C607" s="6" t="s">
        <v>1264</v>
      </c>
      <c r="D607" s="28" t="str">
        <f>IF(INICIAL[[#This Row],[CODIGO]]="", "", VLOOKUP(INICIAL[[#This Row],[CODIGO]], PRODUCTOS[#All], 2, FALSE))</f>
        <v>Berbiqui pretul con broquero de 1/2"</v>
      </c>
      <c r="E607" s="56">
        <v>1</v>
      </c>
    </row>
    <row r="608" spans="2:5" x14ac:dyDescent="0.2">
      <c r="B608" s="6" t="s">
        <v>1956</v>
      </c>
      <c r="C608" s="6" t="s">
        <v>1278</v>
      </c>
      <c r="D608" s="28" t="str">
        <f>IF(INICIAL[[#This Row],[CODIGO]]="", "", VLOOKUP(INICIAL[[#This Row],[CODIGO]], PRODUCTOS[#All], 2, FALSE))</f>
        <v xml:space="preserve">Arco de cegueta Total </v>
      </c>
      <c r="E608" s="56">
        <v>1</v>
      </c>
    </row>
    <row r="609" spans="2:5" x14ac:dyDescent="0.2">
      <c r="B609" s="6" t="s">
        <v>1956</v>
      </c>
      <c r="C609" s="6" t="s">
        <v>1310</v>
      </c>
      <c r="D609" s="28" t="str">
        <f>IF(INICIAL[[#This Row],[CODIGO]]="", "", VLOOKUP(INICIAL[[#This Row],[CODIGO]], PRODUCTOS[#All], 2, FALSE))</f>
        <v>alen truper 5/16</v>
      </c>
      <c r="E609" s="56">
        <v>1</v>
      </c>
    </row>
    <row r="610" spans="2:5" x14ac:dyDescent="0.2">
      <c r="B610" s="6" t="s">
        <v>940</v>
      </c>
      <c r="C610" s="6" t="s">
        <v>265</v>
      </c>
      <c r="D610" s="28" t="str">
        <f>IF(INICIAL[[#This Row],[CODIGO]]="", "", VLOOKUP(INICIAL[[#This Row],[CODIGO]], PRODUCTOS[#All], 2, FALSE))</f>
        <v>Zapapico 7lb</v>
      </c>
      <c r="E610" s="56">
        <v>1</v>
      </c>
    </row>
    <row r="611" spans="2:5" x14ac:dyDescent="0.2">
      <c r="B611" s="6" t="s">
        <v>940</v>
      </c>
      <c r="C611" s="6" t="s">
        <v>311</v>
      </c>
      <c r="D611" s="28" t="str">
        <f>IF(INICIAL[[#This Row],[CODIGO]]="", "", VLOOKUP(INICIAL[[#This Row],[CODIGO]], PRODUCTOS[#All], 2, FALSE))</f>
        <v xml:space="preserve">Unión de manguera 1/4 * 1/4 </v>
      </c>
      <c r="E611" s="56">
        <v>32</v>
      </c>
    </row>
    <row r="612" spans="2:5" x14ac:dyDescent="0.2">
      <c r="B612" s="6" t="s">
        <v>940</v>
      </c>
      <c r="C612" s="6" t="s">
        <v>45</v>
      </c>
      <c r="D612" s="28" t="str">
        <f>IF(INICIAL[[#This Row],[CODIGO]]="", "", VLOOKUP(INICIAL[[#This Row],[CODIGO]], PRODUCTOS[#All], 2, FALSE))</f>
        <v>Tuerca hexagonal pavonada 7/16"</v>
      </c>
      <c r="E612" s="56">
        <v>170</v>
      </c>
    </row>
    <row r="613" spans="2:5" x14ac:dyDescent="0.2">
      <c r="B613" s="6" t="s">
        <v>940</v>
      </c>
      <c r="C613" s="6" t="s">
        <v>368</v>
      </c>
      <c r="D613" s="28" t="str">
        <f>IF(INICIAL[[#This Row],[CODIGO]]="", "", VLOOKUP(INICIAL[[#This Row],[CODIGO]], PRODUCTOS[#All], 2, FALSE))</f>
        <v>Tuerca hex. Pavonada 3/8"</v>
      </c>
      <c r="E613" s="56">
        <v>30</v>
      </c>
    </row>
    <row r="614" spans="2:5" x14ac:dyDescent="0.2">
      <c r="B614" s="6" t="s">
        <v>940</v>
      </c>
      <c r="C614" s="6" t="s">
        <v>370</v>
      </c>
      <c r="D614" s="28" t="str">
        <f>IF(INICIAL[[#This Row],[CODIGO]]="", "", VLOOKUP(INICIAL[[#This Row],[CODIGO]], PRODUCTOS[#All], 2, FALSE))</f>
        <v>Tuerca pavonada 1/4"</v>
      </c>
      <c r="E614" s="56">
        <v>14</v>
      </c>
    </row>
    <row r="615" spans="2:5" x14ac:dyDescent="0.2">
      <c r="B615" s="6" t="s">
        <v>940</v>
      </c>
      <c r="C615" s="6" t="s">
        <v>366</v>
      </c>
      <c r="D615" s="28" t="str">
        <f>IF(INICIAL[[#This Row],[CODIGO]]="", "", VLOOKUP(INICIAL[[#This Row],[CODIGO]], PRODUCTOS[#All], 2, FALSE))</f>
        <v>Tuerca hex. Pavonada 1/2"</v>
      </c>
      <c r="E615" s="56">
        <v>56</v>
      </c>
    </row>
    <row r="616" spans="2:5" x14ac:dyDescent="0.2">
      <c r="B616" s="6" t="s">
        <v>940</v>
      </c>
      <c r="C616" s="6" t="s">
        <v>364</v>
      </c>
      <c r="D616" s="28" t="str">
        <f>IF(INICIAL[[#This Row],[CODIGO]]="", "", VLOOKUP(INICIAL[[#This Row],[CODIGO]], PRODUCTOS[#All], 2, FALSE))</f>
        <v>Tuerca acero inoxidable 7/16"</v>
      </c>
      <c r="E616" s="56">
        <v>50</v>
      </c>
    </row>
    <row r="617" spans="2:5" x14ac:dyDescent="0.2">
      <c r="B617" s="6" t="s">
        <v>940</v>
      </c>
      <c r="C617" s="6" t="s">
        <v>372</v>
      </c>
      <c r="D617" s="28" t="str">
        <f>IF(INICIAL[[#This Row],[CODIGO]]="", "", VLOOKUP(INICIAL[[#This Row],[CODIGO]], PRODUCTOS[#All], 2, FALSE))</f>
        <v>Tuerca acero inoxidable 5/16"</v>
      </c>
      <c r="E617" s="56">
        <v>50</v>
      </c>
    </row>
    <row r="618" spans="2:5" x14ac:dyDescent="0.2">
      <c r="B618" s="6" t="s">
        <v>940</v>
      </c>
      <c r="C618" s="6" t="s">
        <v>61</v>
      </c>
      <c r="D618" s="28" t="str">
        <f>IF(INICIAL[[#This Row],[CODIGO]]="", "", VLOOKUP(INICIAL[[#This Row],[CODIGO]], PRODUCTOS[#All], 2, FALSE))</f>
        <v xml:space="preserve">Tuerca hexagonal galvanizada 5/8" </v>
      </c>
      <c r="E618" s="56">
        <v>153</v>
      </c>
    </row>
    <row r="619" spans="2:5" x14ac:dyDescent="0.2">
      <c r="B619" s="6" t="s">
        <v>940</v>
      </c>
      <c r="C619" s="6" t="s">
        <v>73</v>
      </c>
      <c r="D619" s="28" t="str">
        <f>IF(INICIAL[[#This Row],[CODIGO]]="", "", VLOOKUP(INICIAL[[#This Row],[CODIGO]], PRODUCTOS[#All], 2, FALSE))</f>
        <v xml:space="preserve">Tuerca hexagonal galnaizada 5/16" </v>
      </c>
      <c r="E619" s="56">
        <v>78</v>
      </c>
    </row>
    <row r="620" spans="2:5" x14ac:dyDescent="0.2">
      <c r="B620" s="6" t="s">
        <v>940</v>
      </c>
      <c r="C620" s="6" t="s">
        <v>374</v>
      </c>
      <c r="D620" s="28" t="str">
        <f>IF(INICIAL[[#This Row],[CODIGO]]="", "", VLOOKUP(INICIAL[[#This Row],[CODIGO]], PRODUCTOS[#All], 2, FALSE))</f>
        <v xml:space="preserve">Tuerca hexagonal galvanizada 3/8" </v>
      </c>
      <c r="E620" s="56">
        <v>190</v>
      </c>
    </row>
    <row r="621" spans="2:5" x14ac:dyDescent="0.2">
      <c r="B621" s="6" t="s">
        <v>940</v>
      </c>
      <c r="C621" s="6" t="s">
        <v>109</v>
      </c>
      <c r="D621" s="28" t="str">
        <f>IF(INICIAL[[#This Row],[CODIGO]]="", "", VLOOKUP(INICIAL[[#This Row],[CODIGO]], PRODUCTOS[#All], 2, FALSE))</f>
        <v>Tuerca hexagonal galvanizada 3/4"</v>
      </c>
      <c r="E621" s="56">
        <v>150</v>
      </c>
    </row>
    <row r="622" spans="2:5" x14ac:dyDescent="0.2">
      <c r="B622" s="6" t="s">
        <v>940</v>
      </c>
      <c r="C622" s="6" t="s">
        <v>323</v>
      </c>
      <c r="D622" s="28" t="str">
        <f>IF(INICIAL[[#This Row],[CODIGO]]="", "", VLOOKUP(INICIAL[[#This Row],[CODIGO]], PRODUCTOS[#All], 2, FALSE))</f>
        <v>T Roscada</v>
      </c>
      <c r="E622" s="56">
        <v>17</v>
      </c>
    </row>
    <row r="623" spans="2:5" x14ac:dyDescent="0.2">
      <c r="B623" s="6" t="s">
        <v>940</v>
      </c>
      <c r="C623" s="6" t="s">
        <v>51</v>
      </c>
      <c r="D623" s="28" t="str">
        <f>IF(INICIAL[[#This Row],[CODIGO]]="", "", VLOOKUP(INICIAL[[#This Row],[CODIGO]], PRODUCTOS[#All], 2, FALSE))</f>
        <v>Tornillo hexagonal pavonado 7/16" 3 1/2"</v>
      </c>
      <c r="E623" s="56">
        <v>77</v>
      </c>
    </row>
    <row r="624" spans="2:5" x14ac:dyDescent="0.2">
      <c r="B624" s="6" t="s">
        <v>940</v>
      </c>
      <c r="C624" s="6" t="s">
        <v>347</v>
      </c>
      <c r="D624" s="28" t="str">
        <f>IF(INICIAL[[#This Row],[CODIGO]]="", "", VLOOKUP(INICIAL[[#This Row],[CODIGO]], PRODUCTOS[#All], 2, FALSE))</f>
        <v>Tornillo hex. Pavonado 3/8" x 2"</v>
      </c>
      <c r="E624" s="56">
        <v>30</v>
      </c>
    </row>
    <row r="625" spans="2:5" x14ac:dyDescent="0.2">
      <c r="B625" s="6" t="s">
        <v>940</v>
      </c>
      <c r="C625" s="6" t="s">
        <v>353</v>
      </c>
      <c r="D625" s="28" t="str">
        <f>IF(INICIAL[[#This Row],[CODIGO]]="", "", VLOOKUP(INICIAL[[#This Row],[CODIGO]], PRODUCTOS[#All], 2, FALSE))</f>
        <v>Tornillo hex. Pavonado 1/4" x 1 1/2"</v>
      </c>
      <c r="E625" s="56">
        <v>14</v>
      </c>
    </row>
    <row r="626" spans="2:5" x14ac:dyDescent="0.2">
      <c r="B626" s="6" t="s">
        <v>940</v>
      </c>
      <c r="C626" s="6" t="s">
        <v>351</v>
      </c>
      <c r="D626" s="28" t="str">
        <f>IF(INICIAL[[#This Row],[CODIGO]]="", "", VLOOKUP(INICIAL[[#This Row],[CODIGO]], PRODUCTOS[#All], 2, FALSE))</f>
        <v>Tornillo hex. Pavonado 1/2" x 3"</v>
      </c>
      <c r="E626" s="56">
        <v>24</v>
      </c>
    </row>
    <row r="627" spans="2:5" x14ac:dyDescent="0.2">
      <c r="B627" s="6" t="s">
        <v>940</v>
      </c>
      <c r="C627" s="6" t="s">
        <v>349</v>
      </c>
      <c r="D627" s="28" t="str">
        <f>IF(INICIAL[[#This Row],[CODIGO]]="", "", VLOOKUP(INICIAL[[#This Row],[CODIGO]], PRODUCTOS[#All], 2, FALSE))</f>
        <v>Tornillo hex. Pavonado 1/2" x 2"</v>
      </c>
      <c r="E627" s="56">
        <v>26</v>
      </c>
    </row>
    <row r="628" spans="2:5" x14ac:dyDescent="0.2">
      <c r="B628" s="6" t="s">
        <v>940</v>
      </c>
      <c r="C628" s="6" t="s">
        <v>345</v>
      </c>
      <c r="D628" s="28" t="str">
        <f>IF(INICIAL[[#This Row],[CODIGO]]="", "", VLOOKUP(INICIAL[[#This Row],[CODIGO]], PRODUCTOS[#All], 2, FALSE))</f>
        <v>Tornillo acero inoxidable 7/16" x 1 1/2"</v>
      </c>
      <c r="E628" s="56">
        <v>50</v>
      </c>
    </row>
    <row r="629" spans="2:5" x14ac:dyDescent="0.2">
      <c r="B629" s="6" t="s">
        <v>940</v>
      </c>
      <c r="C629" s="6" t="s">
        <v>360</v>
      </c>
      <c r="D629" s="28" t="str">
        <f>IF(INICIAL[[#This Row],[CODIGO]]="", "", VLOOKUP(INICIAL[[#This Row],[CODIGO]], PRODUCTOS[#All], 2, FALSE))</f>
        <v>Tornillo acero inoxidable 5/16" x 1 1/2"</v>
      </c>
      <c r="E629" s="56">
        <v>47</v>
      </c>
    </row>
    <row r="630" spans="2:5" x14ac:dyDescent="0.2">
      <c r="B630" s="6" t="s">
        <v>940</v>
      </c>
      <c r="C630" s="6" t="s">
        <v>59</v>
      </c>
      <c r="D630" s="28" t="str">
        <f>IF(INICIAL[[#This Row],[CODIGO]]="", "", VLOOKUP(INICIAL[[#This Row],[CODIGO]], PRODUCTOS[#All], 2, FALSE))</f>
        <v>Tornillo hexagonal galvanizado 5/8" x 2 1/2"</v>
      </c>
      <c r="E630" s="56">
        <v>149</v>
      </c>
    </row>
    <row r="631" spans="2:5" x14ac:dyDescent="0.2">
      <c r="B631" s="6" t="s">
        <v>940</v>
      </c>
      <c r="C631" s="6" t="s">
        <v>71</v>
      </c>
      <c r="D631" s="28" t="str">
        <f>IF(INICIAL[[#This Row],[CODIGO]]="", "", VLOOKUP(INICIAL[[#This Row],[CODIGO]], PRODUCTOS[#All], 2, FALSE))</f>
        <v>Tornillo hexagonal galvanizado 5/16 " x 1 3/4"</v>
      </c>
      <c r="E631" s="56">
        <v>68</v>
      </c>
    </row>
    <row r="632" spans="2:5" x14ac:dyDescent="0.2">
      <c r="B632" s="6" t="s">
        <v>940</v>
      </c>
      <c r="C632" s="6" t="s">
        <v>107</v>
      </c>
      <c r="D632" s="28" t="str">
        <f>IF(INICIAL[[#This Row],[CODIGO]]="", "", VLOOKUP(INICIAL[[#This Row],[CODIGO]], PRODUCTOS[#All], 2, FALSE))</f>
        <v>Tornillo hexagonal galvanizado 3/8" - 10</v>
      </c>
      <c r="E632" s="56">
        <v>86</v>
      </c>
    </row>
    <row r="633" spans="2:5" x14ac:dyDescent="0.2">
      <c r="B633" s="6" t="s">
        <v>940</v>
      </c>
      <c r="C633" s="6" t="s">
        <v>107</v>
      </c>
      <c r="D633" s="28" t="str">
        <f>IF(INICIAL[[#This Row],[CODIGO]]="", "", VLOOKUP(INICIAL[[#This Row],[CODIGO]], PRODUCTOS[#All], 2, FALSE))</f>
        <v>Tornillo hexagonal galvanizado 3/8" - 10</v>
      </c>
      <c r="E633" s="56">
        <v>20</v>
      </c>
    </row>
    <row r="634" spans="2:5" x14ac:dyDescent="0.2">
      <c r="B634" s="6" t="s">
        <v>940</v>
      </c>
      <c r="C634" s="6" t="s">
        <v>362</v>
      </c>
      <c r="D634" s="28" t="str">
        <f>IF(INICIAL[[#This Row],[CODIGO]]="", "", VLOOKUP(INICIAL[[#This Row],[CODIGO]], PRODUCTOS[#All], 2, FALSE))</f>
        <v>Tornillo hexagonal galvanizado 3/4" x 3 1/2"</v>
      </c>
      <c r="E634" s="56">
        <v>136</v>
      </c>
    </row>
    <row r="635" spans="2:5" x14ac:dyDescent="0.2">
      <c r="B635" s="6" t="s">
        <v>940</v>
      </c>
      <c r="C635" s="6" t="s">
        <v>355</v>
      </c>
      <c r="D635" s="28" t="str">
        <f>IF(INICIAL[[#This Row],[CODIGO]]="", "", VLOOKUP(INICIAL[[#This Row],[CODIGO]], PRODUCTOS[#All], 2, FALSE))</f>
        <v>Tornillo galvanizado 1/4" x 2"</v>
      </c>
      <c r="E635" s="56">
        <v>20</v>
      </c>
    </row>
    <row r="636" spans="2:5" x14ac:dyDescent="0.2">
      <c r="B636" s="6" t="s">
        <v>940</v>
      </c>
      <c r="C636" s="6" t="s">
        <v>358</v>
      </c>
      <c r="D636" s="28" t="str">
        <f>IF(INICIAL[[#This Row],[CODIGO]]="", "", VLOOKUP(INICIAL[[#This Row],[CODIGO]], PRODUCTOS[#All], 2, FALSE))</f>
        <v xml:space="preserve">Tornillo galvanizado 1/2" x 2 1/2" </v>
      </c>
      <c r="E636" s="56">
        <v>20</v>
      </c>
    </row>
    <row r="637" spans="2:5" x14ac:dyDescent="0.2">
      <c r="B637" s="6" t="s">
        <v>940</v>
      </c>
      <c r="C637" s="6" t="s">
        <v>203</v>
      </c>
      <c r="D637" s="28" t="str">
        <f>IF(INICIAL[[#This Row],[CODIGO]]="", "", VLOOKUP(INICIAL[[#This Row],[CODIGO]], PRODUCTOS[#All], 2, FALSE))</f>
        <v>Tope magnetico</v>
      </c>
      <c r="E637" s="56">
        <v>1</v>
      </c>
    </row>
    <row r="638" spans="2:5" x14ac:dyDescent="0.2">
      <c r="B638" s="6" t="s">
        <v>940</v>
      </c>
      <c r="C638" s="6" t="s">
        <v>449</v>
      </c>
      <c r="D638" s="28" t="str">
        <f>IF(INICIAL[[#This Row],[CODIGO]]="", "", VLOOKUP(INICIAL[[#This Row],[CODIGO]], PRODUCTOS[#All], 2, FALSE))</f>
        <v>Tiralineas c/nivel de hilo 30 m Truper</v>
      </c>
      <c r="E638" s="56">
        <v>1</v>
      </c>
    </row>
    <row r="639" spans="2:5" x14ac:dyDescent="0.2">
      <c r="B639" s="6" t="s">
        <v>940</v>
      </c>
      <c r="C639" s="6" t="s">
        <v>225</v>
      </c>
      <c r="D639" s="28" t="str">
        <f>IF(INICIAL[[#This Row],[CODIGO]]="", "", VLOOKUP(INICIAL[[#This Row],[CODIGO]], PRODUCTOS[#All], 2, FALSE))</f>
        <v>Terminales de plomo para bateria pretul</v>
      </c>
      <c r="E639" s="56">
        <v>2</v>
      </c>
    </row>
    <row r="640" spans="2:5" x14ac:dyDescent="0.2">
      <c r="B640" s="6" t="s">
        <v>940</v>
      </c>
      <c r="C640" s="6" t="s">
        <v>341</v>
      </c>
      <c r="D640" s="28" t="str">
        <f>IF(INICIAL[[#This Row],[CODIGO]]="", "", VLOOKUP(INICIAL[[#This Row],[CODIGO]], PRODUCTOS[#All], 2, FALSE))</f>
        <v>Taquete expansivo tropicalizado 1/2" x 3" (5/8)</v>
      </c>
      <c r="E640" s="56">
        <v>20</v>
      </c>
    </row>
    <row r="641" spans="2:5" x14ac:dyDescent="0.2">
      <c r="B641" s="6" t="s">
        <v>940</v>
      </c>
      <c r="C641" s="6" t="s">
        <v>337</v>
      </c>
      <c r="D641" s="28" t="str">
        <f>IF(INICIAL[[#This Row],[CODIGO]]="", "", VLOOKUP(INICIAL[[#This Row],[CODIGO]], PRODUCTOS[#All], 2, FALSE))</f>
        <v>Taquete expansivo tropicalizado 1/4" x 2 1/2" (3/8)</v>
      </c>
      <c r="E641" s="56">
        <v>50</v>
      </c>
    </row>
    <row r="642" spans="2:5" x14ac:dyDescent="0.2">
      <c r="B642" s="6" t="s">
        <v>940</v>
      </c>
      <c r="C642" s="6" t="s">
        <v>339</v>
      </c>
      <c r="D642" s="28" t="str">
        <f>IF(INICIAL[[#This Row],[CODIGO]]="", "", VLOOKUP(INICIAL[[#This Row],[CODIGO]], PRODUCTOS[#All], 2, FALSE))</f>
        <v>Taquete expansivo tropicalizado 3/8" x 3" (1/2)</v>
      </c>
      <c r="E642" s="56">
        <v>50</v>
      </c>
    </row>
    <row r="643" spans="2:5" x14ac:dyDescent="0.2">
      <c r="B643" s="6" t="s">
        <v>940</v>
      </c>
      <c r="C643" s="6" t="s">
        <v>331</v>
      </c>
      <c r="D643" s="28" t="str">
        <f>IF(INICIAL[[#This Row],[CODIGO]]="", "", VLOOKUP(INICIAL[[#This Row],[CODIGO]], PRODUCTOS[#All], 2, FALSE))</f>
        <v>Taquete expansor 3/8 (z 3/8)</v>
      </c>
      <c r="E643" s="56">
        <v>20</v>
      </c>
    </row>
    <row r="644" spans="2:5" x14ac:dyDescent="0.2">
      <c r="B644" s="6" t="s">
        <v>940</v>
      </c>
      <c r="C644" s="6" t="s">
        <v>335</v>
      </c>
      <c r="D644" s="28" t="str">
        <f>IF(INICIAL[[#This Row],[CODIGO]]="", "", VLOOKUP(INICIAL[[#This Row],[CODIGO]], PRODUCTOS[#All], 2, FALSE))</f>
        <v>Taquete expansor 1/4" (z 1/4)</v>
      </c>
      <c r="E644" s="56">
        <v>20</v>
      </c>
    </row>
    <row r="645" spans="2:5" x14ac:dyDescent="0.2">
      <c r="B645" s="6" t="s">
        <v>940</v>
      </c>
      <c r="C645" s="6" t="s">
        <v>333</v>
      </c>
      <c r="D645" s="28" t="str">
        <f>IF(INICIAL[[#This Row],[CODIGO]]="", "", VLOOKUP(INICIAL[[#This Row],[CODIGO]], PRODUCTOS[#All], 2, FALSE))</f>
        <v>Taquete expansor 1/2" (z 1/2)</v>
      </c>
      <c r="E645" s="56">
        <v>20</v>
      </c>
    </row>
    <row r="646" spans="2:5" x14ac:dyDescent="0.2">
      <c r="B646" s="6" t="s">
        <v>940</v>
      </c>
      <c r="C646" s="6" t="s">
        <v>111</v>
      </c>
      <c r="D646" s="28" t="str">
        <f>IF(INICIAL[[#This Row],[CODIGO]]="", "", VLOOKUP(INICIAL[[#This Row],[CODIGO]], PRODUCTOS[#All], 2, FALSE))</f>
        <v>Sujetardor con matraca 8.23m</v>
      </c>
      <c r="E646" s="56">
        <v>6</v>
      </c>
    </row>
    <row r="647" spans="2:5" x14ac:dyDescent="0.2">
      <c r="B647" s="6" t="s">
        <v>940</v>
      </c>
      <c r="C647" s="6" t="s">
        <v>293</v>
      </c>
      <c r="D647" s="28" t="str">
        <f>IF(INICIAL[[#This Row],[CODIGO]]="", "", VLOOKUP(INICIAL[[#This Row],[CODIGO]], PRODUCTOS[#All], 2, FALSE))</f>
        <v>soldadura exotermica</v>
      </c>
      <c r="E647" s="56">
        <v>7</v>
      </c>
    </row>
    <row r="648" spans="2:5" x14ac:dyDescent="0.2">
      <c r="B648" s="6" t="s">
        <v>940</v>
      </c>
      <c r="C648" s="6" t="s">
        <v>137</v>
      </c>
      <c r="D648" s="28" t="str">
        <f>IF(INICIAL[[#This Row],[CODIGO]]="", "", VLOOKUP(INICIAL[[#This Row],[CODIGO]], PRODUCTOS[#All], 2, FALSE))</f>
        <v>Sierra electrica reciproca 5 seguetas (caladora)</v>
      </c>
      <c r="E648" s="56">
        <v>1</v>
      </c>
    </row>
    <row r="649" spans="2:5" x14ac:dyDescent="0.2">
      <c r="B649" s="6" t="s">
        <v>940</v>
      </c>
      <c r="C649" s="6" t="s">
        <v>441</v>
      </c>
      <c r="D649" s="28" t="str">
        <f>IF(INICIAL[[#This Row],[CODIGO]]="", "", VLOOKUP(INICIAL[[#This Row],[CODIGO]], PRODUCTOS[#All], 2, FALSE))</f>
        <v>Ruedas de 7"</v>
      </c>
      <c r="E649" s="56">
        <v>4</v>
      </c>
    </row>
    <row r="650" spans="2:5" x14ac:dyDescent="0.2">
      <c r="B650" s="6" t="s">
        <v>940</v>
      </c>
      <c r="C650" s="6" t="s">
        <v>439</v>
      </c>
      <c r="D650" s="28" t="str">
        <f>IF(INICIAL[[#This Row],[CODIGO]]="", "", VLOOKUP(INICIAL[[#This Row],[CODIGO]], PRODUCTOS[#All], 2, FALSE))</f>
        <v>Ruedas de 6"</v>
      </c>
      <c r="E650" s="56">
        <v>4</v>
      </c>
    </row>
    <row r="651" spans="2:5" x14ac:dyDescent="0.2">
      <c r="B651" s="6" t="s">
        <v>940</v>
      </c>
      <c r="C651" s="6" t="s">
        <v>443</v>
      </c>
      <c r="D651" s="28" t="str">
        <f>IF(INICIAL[[#This Row],[CODIGO]]="", "", VLOOKUP(INICIAL[[#This Row],[CODIGO]], PRODUCTOS[#All], 2, FALSE))</f>
        <v xml:space="preserve">Ruedas de 4 1/2" </v>
      </c>
      <c r="E651" s="56">
        <v>4</v>
      </c>
    </row>
    <row r="652" spans="2:5" x14ac:dyDescent="0.2">
      <c r="B652" s="6" t="s">
        <v>940</v>
      </c>
      <c r="C652" s="6" t="s">
        <v>376</v>
      </c>
      <c r="D652" s="28" t="str">
        <f>IF(INICIAL[[#This Row],[CODIGO]]="", "", VLOOKUP(INICIAL[[#This Row],[CODIGO]], PRODUCTOS[#All], 2, FALSE))</f>
        <v>Rondana presión galvanizada 5/16"</v>
      </c>
      <c r="E652" s="56">
        <v>81</v>
      </c>
    </row>
    <row r="653" spans="2:5" x14ac:dyDescent="0.2">
      <c r="B653" s="6" t="s">
        <v>940</v>
      </c>
      <c r="C653" s="6" t="s">
        <v>81</v>
      </c>
      <c r="D653" s="28" t="str">
        <f>IF(INICIAL[[#This Row],[CODIGO]]="", "", VLOOKUP(INICIAL[[#This Row],[CODIGO]], PRODUCTOS[#All], 2, FALSE))</f>
        <v>Rondana presión pavonada 7/16"</v>
      </c>
      <c r="E653" s="56">
        <v>95</v>
      </c>
    </row>
    <row r="654" spans="2:5" x14ac:dyDescent="0.2">
      <c r="B654" s="6" t="s">
        <v>940</v>
      </c>
      <c r="C654" s="6" t="s">
        <v>380</v>
      </c>
      <c r="D654" s="28" t="str">
        <f>IF(INICIAL[[#This Row],[CODIGO]]="", "", VLOOKUP(INICIAL[[#This Row],[CODIGO]], PRODUCTOS[#All], 2, FALSE))</f>
        <v>Rondana de presión  acero inox. 7/16</v>
      </c>
      <c r="E654" s="56">
        <v>50</v>
      </c>
    </row>
    <row r="655" spans="2:5" x14ac:dyDescent="0.2">
      <c r="B655" s="6" t="s">
        <v>940</v>
      </c>
      <c r="C655" s="6" t="s">
        <v>382</v>
      </c>
      <c r="D655" s="28" t="str">
        <f>IF(INICIAL[[#This Row],[CODIGO]]="", "", VLOOKUP(INICIAL[[#This Row],[CODIGO]], PRODUCTOS[#All], 2, FALSE))</f>
        <v>Rondana de presión acero inox. 5/16</v>
      </c>
      <c r="E655" s="56">
        <v>51</v>
      </c>
    </row>
    <row r="656" spans="2:5" x14ac:dyDescent="0.2">
      <c r="B656" s="6" t="s">
        <v>940</v>
      </c>
      <c r="C656" s="6" t="s">
        <v>386</v>
      </c>
      <c r="D656" s="28" t="str">
        <f>IF(INICIAL[[#This Row],[CODIGO]]="", "", VLOOKUP(INICIAL[[#This Row],[CODIGO]], PRODUCTOS[#All], 2, FALSE))</f>
        <v>Rondana plana 3/8"</v>
      </c>
      <c r="E656" s="56">
        <v>75</v>
      </c>
    </row>
    <row r="657" spans="2:5" x14ac:dyDescent="0.2">
      <c r="B657" s="6" t="s">
        <v>940</v>
      </c>
      <c r="C657" s="6" t="s">
        <v>378</v>
      </c>
      <c r="D657" s="28" t="str">
        <f>IF(INICIAL[[#This Row],[CODIGO]]="", "", VLOOKUP(INICIAL[[#This Row],[CODIGO]], PRODUCTOS[#All], 2, FALSE))</f>
        <v>Rondana plana acero inox. 7/16"</v>
      </c>
      <c r="E657" s="56">
        <v>99</v>
      </c>
    </row>
    <row r="658" spans="2:5" x14ac:dyDescent="0.2">
      <c r="B658" s="6" t="s">
        <v>940</v>
      </c>
      <c r="C658" s="6" t="s">
        <v>384</v>
      </c>
      <c r="D658" s="28" t="str">
        <f>IF(INICIAL[[#This Row],[CODIGO]]="", "", VLOOKUP(INICIAL[[#This Row],[CODIGO]], PRODUCTOS[#All], 2, FALSE))</f>
        <v>Rondana plana acero inox. 5/16</v>
      </c>
      <c r="E658" s="56">
        <v>100</v>
      </c>
    </row>
    <row r="659" spans="2:5" x14ac:dyDescent="0.2">
      <c r="B659" s="6" t="s">
        <v>940</v>
      </c>
      <c r="C659" s="6" t="s">
        <v>83</v>
      </c>
      <c r="D659" s="28" t="str">
        <f>IF(INICIAL[[#This Row],[CODIGO]]="", "", VLOOKUP(INICIAL[[#This Row],[CODIGO]], PRODUCTOS[#All], 2, FALSE))</f>
        <v>Rondana estructural negra 7/16</v>
      </c>
      <c r="E659" s="56">
        <v>196</v>
      </c>
    </row>
    <row r="660" spans="2:5" x14ac:dyDescent="0.2">
      <c r="B660" s="6" t="s">
        <v>940</v>
      </c>
      <c r="C660" s="6" t="s">
        <v>85</v>
      </c>
      <c r="D660" s="28" t="str">
        <f>IF(INICIAL[[#This Row],[CODIGO]]="", "", VLOOKUP(INICIAL[[#This Row],[CODIGO]], PRODUCTOS[#All], 2, FALSE))</f>
        <v>Resina c/endurecedor</v>
      </c>
      <c r="E660" s="56">
        <v>0</v>
      </c>
    </row>
    <row r="661" spans="2:5" x14ac:dyDescent="0.2">
      <c r="B661" s="6" t="s">
        <v>940</v>
      </c>
      <c r="C661" s="6" t="s">
        <v>155</v>
      </c>
      <c r="D661" s="28" t="str">
        <f>IF(INICIAL[[#This Row],[CODIGO]]="", "", VLOOKUP(INICIAL[[#This Row],[CODIGO]], PRODUCTOS[#All], 2, FALSE))</f>
        <v>Removedor de polvo alto poder 660 ml</v>
      </c>
      <c r="E661" s="56">
        <v>2</v>
      </c>
    </row>
    <row r="662" spans="2:5" x14ac:dyDescent="0.2">
      <c r="B662" s="6" t="s">
        <v>940</v>
      </c>
      <c r="C662" s="6" t="s">
        <v>307</v>
      </c>
      <c r="D662" s="28" t="str">
        <f>IF(INICIAL[[#This Row],[CODIGO]]="", "", VLOOKUP(INICIAL[[#This Row],[CODIGO]], PRODUCTOS[#All], 2, FALSE))</f>
        <v xml:space="preserve">Regleta Calibradora </v>
      </c>
      <c r="E662" s="56">
        <v>3</v>
      </c>
    </row>
    <row r="663" spans="2:5" x14ac:dyDescent="0.2">
      <c r="B663" s="6" t="s">
        <v>940</v>
      </c>
      <c r="C663" s="6" t="s">
        <v>321</v>
      </c>
      <c r="D663" s="28" t="str">
        <f>IF(INICIAL[[#This Row],[CODIGO]]="", "", VLOOKUP(INICIAL[[#This Row],[CODIGO]], PRODUCTOS[#All], 2, FALSE))</f>
        <v>Reducción bushing 1/4 - 1/8</v>
      </c>
      <c r="E663" s="56">
        <v>14</v>
      </c>
    </row>
    <row r="664" spans="2:5" x14ac:dyDescent="0.2">
      <c r="B664" s="6" t="s">
        <v>940</v>
      </c>
      <c r="C664" s="6" t="s">
        <v>457</v>
      </c>
      <c r="D664" s="28" t="str">
        <f>IF(INICIAL[[#This Row],[CODIGO]]="", "", VLOOKUP(INICIAL[[#This Row],[CODIGO]], PRODUCTOS[#All], 2, FALSE))</f>
        <v>Prensas sargento para tubo 3/4</v>
      </c>
      <c r="E664" s="56">
        <v>4</v>
      </c>
    </row>
    <row r="665" spans="2:5" x14ac:dyDescent="0.2">
      <c r="B665" s="6" t="s">
        <v>940</v>
      </c>
      <c r="C665" s="6" t="s">
        <v>455</v>
      </c>
      <c r="D665" s="28" t="str">
        <f>IF(INICIAL[[#This Row],[CODIGO]]="", "", VLOOKUP(INICIAL[[#This Row],[CODIGO]], PRODUCTOS[#All], 2, FALSE))</f>
        <v>Prensas sargento tipo F 12"</v>
      </c>
      <c r="E665" s="56">
        <v>4</v>
      </c>
    </row>
    <row r="666" spans="2:5" x14ac:dyDescent="0.2">
      <c r="B666" s="6" t="s">
        <v>940</v>
      </c>
      <c r="C666" s="6" t="s">
        <v>145</v>
      </c>
      <c r="D666" s="28" t="str">
        <f>IF(INICIAL[[#This Row],[CODIGO]]="", "", VLOOKUP(INICIAL[[#This Row],[CODIGO]], PRODUCTOS[#All], 2, FALSE))</f>
        <v xml:space="preserve">Protectores de plástico </v>
      </c>
      <c r="E666" s="56">
        <v>7</v>
      </c>
    </row>
    <row r="667" spans="2:5" x14ac:dyDescent="0.2">
      <c r="B667" s="6" t="s">
        <v>940</v>
      </c>
      <c r="C667" s="6" t="s">
        <v>53</v>
      </c>
      <c r="D667" s="28" t="str">
        <f>IF(INICIAL[[#This Row],[CODIGO]]="", "", VLOOKUP(INICIAL[[#This Row],[CODIGO]], PRODUCTOS[#All], 2, FALSE))</f>
        <v>Perro reforzado 5/8"</v>
      </c>
      <c r="E667" s="56">
        <v>22</v>
      </c>
    </row>
    <row r="668" spans="2:5" x14ac:dyDescent="0.2">
      <c r="B668" s="6" t="s">
        <v>940</v>
      </c>
      <c r="C668" s="6" t="s">
        <v>77</v>
      </c>
      <c r="D668" s="28" t="str">
        <f>IF(INICIAL[[#This Row],[CODIGO]]="", "", VLOOKUP(INICIAL[[#This Row],[CODIGO]], PRODUCTOS[#All], 2, FALSE))</f>
        <v>Perro reforzado 3/4"</v>
      </c>
      <c r="E668" s="56">
        <v>28</v>
      </c>
    </row>
    <row r="669" spans="2:5" x14ac:dyDescent="0.2">
      <c r="B669" s="6" t="s">
        <v>940</v>
      </c>
      <c r="C669" s="6" t="s">
        <v>67</v>
      </c>
      <c r="D669" s="28" t="str">
        <f>IF(INICIAL[[#This Row],[CODIGO]]="", "", VLOOKUP(INICIAL[[#This Row],[CODIGO]], PRODUCTOS[#All], 2, FALSE))</f>
        <v>Perro reforzado 1/2"</v>
      </c>
      <c r="E669" s="56">
        <v>26</v>
      </c>
    </row>
    <row r="670" spans="2:5" x14ac:dyDescent="0.2">
      <c r="B670" s="6" t="s">
        <v>940</v>
      </c>
      <c r="C670" s="6" t="s">
        <v>431</v>
      </c>
      <c r="D670" s="28" t="str">
        <f>IF(INICIAL[[#This Row],[CODIGO]]="", "", VLOOKUP(INICIAL[[#This Row],[CODIGO]], PRODUCTOS[#All], 2, FALSE))</f>
        <v>Plastiacero</v>
      </c>
      <c r="E670" s="56">
        <v>3</v>
      </c>
    </row>
    <row r="671" spans="2:5" x14ac:dyDescent="0.2">
      <c r="B671" s="6" t="s">
        <v>940</v>
      </c>
      <c r="C671" s="6" t="s">
        <v>1986</v>
      </c>
      <c r="D671" s="28" t="str">
        <f>IF(INICIAL[[#This Row],[CODIGO]]="", "", VLOOKUP(INICIAL[[#This Row],[CODIGO]], PRODUCTOS[#All], 2, FALSE))</f>
        <v>Pistola para sopletear 1/4 ntp aluminio turper</v>
      </c>
      <c r="E671" s="56">
        <v>1</v>
      </c>
    </row>
    <row r="672" spans="2:5" x14ac:dyDescent="0.2">
      <c r="B672" s="6" t="s">
        <v>940</v>
      </c>
      <c r="C672" s="6" t="s">
        <v>117</v>
      </c>
      <c r="D672" s="28" t="str">
        <f>IF(INICIAL[[#This Row],[CODIGO]]="", "", VLOOKUP(INICIAL[[#This Row],[CODIGO]], PRODUCTOS[#All], 2, FALSE))</f>
        <v xml:space="preserve">Pinza de trinquete </v>
      </c>
      <c r="E672" s="56">
        <v>1</v>
      </c>
    </row>
    <row r="673" spans="2:5" x14ac:dyDescent="0.2">
      <c r="B673" s="6" t="s">
        <v>940</v>
      </c>
      <c r="C673" s="6" t="s">
        <v>227</v>
      </c>
      <c r="D673" s="28" t="str">
        <f>IF(INICIAL[[#This Row],[CODIGO]]="", "", VLOOKUP(INICIAL[[#This Row],[CODIGO]], PRODUCTOS[#All], 2, FALSE))</f>
        <v>Pinza de presión chica</v>
      </c>
      <c r="E673" s="56">
        <v>3</v>
      </c>
    </row>
    <row r="674" spans="2:5" x14ac:dyDescent="0.2">
      <c r="B674" s="6" t="s">
        <v>940</v>
      </c>
      <c r="C674" s="6" t="s">
        <v>211</v>
      </c>
      <c r="D674" s="28" t="str">
        <f>IF(INICIAL[[#This Row],[CODIGO]]="", "", VLOOKUP(INICIAL[[#This Row],[CODIGO]], PRODUCTOS[#All], 2, FALSE))</f>
        <v xml:space="preserve">Pinza de presión </v>
      </c>
      <c r="E674" s="56">
        <v>1</v>
      </c>
    </row>
    <row r="675" spans="2:5" x14ac:dyDescent="0.2">
      <c r="B675" s="6" t="s">
        <v>940</v>
      </c>
      <c r="C675" s="6" t="s">
        <v>479</v>
      </c>
      <c r="D675" s="28" t="str">
        <f>IF(INICIAL[[#This Row],[CODIGO]]="", "", VLOOKUP(INICIAL[[#This Row],[CODIGO]], PRODUCTOS[#All], 2, FALSE))</f>
        <v>Pinza de presión tipo C 9"</v>
      </c>
      <c r="E675" s="56">
        <v>1</v>
      </c>
    </row>
    <row r="676" spans="2:5" x14ac:dyDescent="0.2">
      <c r="B676" s="6" t="s">
        <v>940</v>
      </c>
      <c r="C676" s="6" t="s">
        <v>477</v>
      </c>
      <c r="D676" s="28" t="str">
        <f>IF(INICIAL[[#This Row],[CODIGO]]="", "", VLOOKUP(INICIAL[[#This Row],[CODIGO]], PRODUCTOS[#All], 2, FALSE))</f>
        <v>Pinza de presión tipo C 6"</v>
      </c>
      <c r="E676" s="56">
        <v>1</v>
      </c>
    </row>
    <row r="677" spans="2:5" x14ac:dyDescent="0.2">
      <c r="B677" s="6" t="s">
        <v>940</v>
      </c>
      <c r="C677" s="6" t="s">
        <v>1983</v>
      </c>
      <c r="D677" s="28" t="str">
        <f>IF(INICIAL[[#This Row],[CODIGO]]="", "", VLOOKUP(INICIAL[[#This Row],[CODIGO]], PRODUCTOS[#All], 2, FALSE))</f>
        <v>Pinza de presión tipo C 11"</v>
      </c>
      <c r="E677" s="56">
        <v>1</v>
      </c>
    </row>
    <row r="678" spans="2:5" x14ac:dyDescent="0.2">
      <c r="B678" s="6" t="s">
        <v>940</v>
      </c>
      <c r="C678" s="6" t="s">
        <v>343</v>
      </c>
      <c r="D678" s="28" t="str">
        <f>IF(INICIAL[[#This Row],[CODIGO]]="", "", VLOOKUP(INICIAL[[#This Row],[CODIGO]], PRODUCTOS[#All], 2, FALSE))</f>
        <v>Perro reforzado 3/8"</v>
      </c>
      <c r="E678" s="56">
        <v>40</v>
      </c>
    </row>
    <row r="679" spans="2:5" x14ac:dyDescent="0.2">
      <c r="B679" s="6" t="s">
        <v>940</v>
      </c>
      <c r="C679" s="6" t="s">
        <v>309</v>
      </c>
      <c r="D679" s="28" t="str">
        <f>IF(INICIAL[[#This Row],[CODIGO]]="", "", VLOOKUP(INICIAL[[#This Row],[CODIGO]], PRODUCTOS[#All], 2, FALSE))</f>
        <v xml:space="preserve">Organizador reforzado 17 compartimentos </v>
      </c>
      <c r="E679" s="56">
        <v>1</v>
      </c>
    </row>
    <row r="680" spans="2:5" x14ac:dyDescent="0.2">
      <c r="B680" s="6" t="s">
        <v>940</v>
      </c>
      <c r="C680" s="6" t="s">
        <v>305</v>
      </c>
      <c r="D680" s="28" t="str">
        <f>IF(INICIAL[[#This Row],[CODIGO]]="", "", VLOOKUP(INICIAL[[#This Row],[CODIGO]], PRODUCTOS[#All], 2, FALSE))</f>
        <v>Nivel torpedo 9"</v>
      </c>
      <c r="E680" s="56">
        <v>2</v>
      </c>
    </row>
    <row r="681" spans="2:5" x14ac:dyDescent="0.2">
      <c r="B681" s="6" t="s">
        <v>940</v>
      </c>
      <c r="C681" s="6" t="s">
        <v>303</v>
      </c>
      <c r="D681" s="28" t="str">
        <f>IF(INICIAL[[#This Row],[CODIGO]]="", "", VLOOKUP(INICIAL[[#This Row],[CODIGO]], PRODUCTOS[#All], 2, FALSE))</f>
        <v xml:space="preserve">Nivel de hilo 3" </v>
      </c>
      <c r="E681" s="56">
        <v>4</v>
      </c>
    </row>
    <row r="682" spans="2:5" x14ac:dyDescent="0.2">
      <c r="B682" s="6" t="s">
        <v>940</v>
      </c>
      <c r="C682" s="6" t="s">
        <v>127</v>
      </c>
      <c r="D682" s="28" t="str">
        <f>IF(INICIAL[[#This Row],[CODIGO]]="", "", VLOOKUP(INICIAL[[#This Row],[CODIGO]], PRODUCTOS[#All], 2, FALSE))</f>
        <v>Microalambre (SYNERGY) ((E71T-G5) Polaridad CC- 0,8mm*5KG</v>
      </c>
      <c r="E682" s="56">
        <v>1</v>
      </c>
    </row>
    <row r="683" spans="2:5" x14ac:dyDescent="0.2">
      <c r="B683" s="6" t="s">
        <v>940</v>
      </c>
      <c r="C683" s="6" t="s">
        <v>187</v>
      </c>
      <c r="D683" s="28" t="str">
        <f>IF(INICIAL[[#This Row],[CODIGO]]="", "", VLOOKUP(INICIAL[[#This Row],[CODIGO]], PRODUCTOS[#All], 2, FALSE))</f>
        <v>Juego de minicepillos de alambre 7" 3pzs.</v>
      </c>
      <c r="E683" s="56">
        <v>2</v>
      </c>
    </row>
    <row r="684" spans="2:5" x14ac:dyDescent="0.2">
      <c r="B684" s="6" t="s">
        <v>940</v>
      </c>
      <c r="C684" s="6" t="s">
        <v>115</v>
      </c>
      <c r="D684" s="28" t="str">
        <f>IF(INICIAL[[#This Row],[CODIGO]]="", "", VLOOKUP(INICIAL[[#This Row],[CODIGO]], PRODUCTOS[#All], 2, FALSE))</f>
        <v>Martillo antivibración  27mm</v>
      </c>
      <c r="E684" s="56">
        <v>1</v>
      </c>
    </row>
    <row r="685" spans="2:5" x14ac:dyDescent="0.2">
      <c r="B685" s="6" t="s">
        <v>940</v>
      </c>
      <c r="C685" s="6" t="s">
        <v>269</v>
      </c>
      <c r="D685" s="28" t="str">
        <f>IF(INICIAL[[#This Row],[CODIGO]]="", "", VLOOKUP(INICIAL[[#This Row],[CODIGO]], PRODUCTOS[#All], 2, FALSE))</f>
        <v>Marro 6lb</v>
      </c>
      <c r="E685" s="56">
        <v>1</v>
      </c>
    </row>
    <row r="686" spans="2:5" x14ac:dyDescent="0.2">
      <c r="B686" s="6" t="s">
        <v>940</v>
      </c>
      <c r="C686" s="6" t="s">
        <v>267</v>
      </c>
      <c r="D686" s="28" t="str">
        <f>IF(INICIAL[[#This Row],[CODIGO]]="", "", VLOOKUP(INICIAL[[#This Row],[CODIGO]], PRODUCTOS[#All], 2, FALSE))</f>
        <v>Martillo 20oz</v>
      </c>
      <c r="E686" s="56">
        <v>2</v>
      </c>
    </row>
    <row r="687" spans="2:5" x14ac:dyDescent="0.2">
      <c r="B687" s="6" t="s">
        <v>940</v>
      </c>
      <c r="C687" s="6" t="s">
        <v>271</v>
      </c>
      <c r="D687" s="28" t="str">
        <f>IF(INICIAL[[#This Row],[CODIGO]]="", "", VLOOKUP(INICIAL[[#This Row],[CODIGO]], PRODUCTOS[#All], 2, FALSE))</f>
        <v>Marro 12lb</v>
      </c>
      <c r="E687" s="56">
        <v>1</v>
      </c>
    </row>
    <row r="688" spans="2:5" x14ac:dyDescent="0.2">
      <c r="B688" s="6" t="s">
        <v>940</v>
      </c>
      <c r="C688" s="6" t="s">
        <v>279</v>
      </c>
      <c r="D688" s="28" t="str">
        <f>IF(INICIAL[[#This Row],[CODIGO]]="", "", VLOOKUP(INICIAL[[#This Row],[CODIGO]], PRODUCTOS[#All], 2, FALSE))</f>
        <v>Manguera A. Com. 300PSI (1/4"*100M)</v>
      </c>
      <c r="E688" s="56">
        <v>7</v>
      </c>
    </row>
    <row r="689" spans="2:5" x14ac:dyDescent="0.2">
      <c r="B689" s="6" t="s">
        <v>940</v>
      </c>
      <c r="C689" s="6" t="s">
        <v>281</v>
      </c>
      <c r="D689" s="28" t="str">
        <f>IF(INICIAL[[#This Row],[CODIGO]]="", "", VLOOKUP(INICIAL[[#This Row],[CODIGO]], PRODUCTOS[#All], 2, FALSE))</f>
        <v xml:space="preserve"> Carrete de Manguera A. Com. 250PSI (1/4"*750M)</v>
      </c>
      <c r="E689" s="56">
        <v>2</v>
      </c>
    </row>
    <row r="690" spans="2:5" x14ac:dyDescent="0.2">
      <c r="B690" s="6" t="s">
        <v>940</v>
      </c>
      <c r="C690" s="6" t="s">
        <v>263</v>
      </c>
      <c r="D690" s="28" t="str">
        <f>IF(INICIAL[[#This Row],[CODIGO]]="", "", VLOOKUP(INICIAL[[#This Row],[CODIGO]], PRODUCTOS[#All], 2, FALSE))</f>
        <v>Machete de tiro rambo 12"</v>
      </c>
      <c r="E690" s="56">
        <v>1</v>
      </c>
    </row>
    <row r="691" spans="2:5" x14ac:dyDescent="0.2">
      <c r="B691" s="6" t="s">
        <v>940</v>
      </c>
      <c r="C691" s="6" t="s">
        <v>407</v>
      </c>
      <c r="D691" s="28" t="str">
        <f>IF(INICIAL[[#This Row],[CODIGO]]="", "", VLOOKUP(INICIAL[[#This Row],[CODIGO]], PRODUCTOS[#All], 2, FALSE))</f>
        <v>Juego de llaves de tubo (15 pzs.)</v>
      </c>
      <c r="E691" s="56">
        <v>2</v>
      </c>
    </row>
    <row r="692" spans="2:5" x14ac:dyDescent="0.2">
      <c r="B692" s="6" t="s">
        <v>940</v>
      </c>
      <c r="C692" s="6" t="s">
        <v>396</v>
      </c>
      <c r="D692" s="28" t="str">
        <f>IF(INICIAL[[#This Row],[CODIGO]]="", "", VLOOKUP(INICIAL[[#This Row],[CODIGO]], PRODUCTOS[#All], 2, FALSE))</f>
        <v>Juego de llaves milimétricas s/marca 9 - 19 mm española/corona flexible con racher</v>
      </c>
      <c r="E692" s="56">
        <v>1</v>
      </c>
    </row>
    <row r="693" spans="2:5" x14ac:dyDescent="0.2">
      <c r="B693" s="6" t="s">
        <v>940</v>
      </c>
      <c r="C693" s="6" t="s">
        <v>143</v>
      </c>
      <c r="D693" s="28" t="str">
        <f>IF(INICIAL[[#This Row],[CODIGO]]="", "", VLOOKUP(INICIAL[[#This Row],[CODIGO]], PRODUCTOS[#All], 2, FALSE))</f>
        <v>Llave hexágonal (juego 9pzs)</v>
      </c>
      <c r="E693" s="56">
        <v>5</v>
      </c>
    </row>
    <row r="694" spans="2:5" x14ac:dyDescent="0.2">
      <c r="B694" s="6" t="s">
        <v>940</v>
      </c>
      <c r="C694" s="6" t="s">
        <v>113</v>
      </c>
      <c r="D694" s="28" t="str">
        <f>IF(INICIAL[[#This Row],[CODIGO]]="", "", VLOOKUP(INICIAL[[#This Row],[CODIGO]], PRODUCTOS[#All], 2, FALSE))</f>
        <v>Juego de llaves de colores 9pzs.</v>
      </c>
      <c r="E694" s="56">
        <v>3</v>
      </c>
    </row>
    <row r="695" spans="2:5" x14ac:dyDescent="0.2">
      <c r="B695" s="6" t="s">
        <v>940</v>
      </c>
      <c r="C695" s="6" t="s">
        <v>419</v>
      </c>
      <c r="D695" s="28" t="str">
        <f>IF(INICIAL[[#This Row],[CODIGO]]="", "", VLOOKUP(INICIAL[[#This Row],[CODIGO]], PRODUCTOS[#All], 2, FALSE))</f>
        <v>Llave de artillería 1 1/4" - 1 1/16"</v>
      </c>
      <c r="E695" s="56">
        <v>1</v>
      </c>
    </row>
    <row r="696" spans="2:5" x14ac:dyDescent="0.2">
      <c r="B696" s="6" t="s">
        <v>940</v>
      </c>
      <c r="C696" s="6" t="s">
        <v>417</v>
      </c>
      <c r="D696" s="28" t="str">
        <f>IF(INICIAL[[#This Row],[CODIGO]]="", "", VLOOKUP(INICIAL[[#This Row],[CODIGO]], PRODUCTOS[#All], 2, FALSE))</f>
        <v>Llave de artillería 1" - 1 1/8"</v>
      </c>
      <c r="E696" s="56">
        <v>1</v>
      </c>
    </row>
    <row r="697" spans="2:5" x14ac:dyDescent="0.2">
      <c r="B697" s="6" t="s">
        <v>940</v>
      </c>
      <c r="C697" s="6" t="s">
        <v>209</v>
      </c>
      <c r="D697" s="28" t="str">
        <f>IF(INICIAL[[#This Row],[CODIGO]]="", "", VLOOKUP(INICIAL[[#This Row],[CODIGO]], PRODUCTOS[#All], 2, FALSE))</f>
        <v>Lima triangulo 4"</v>
      </c>
      <c r="E697" s="56">
        <v>1</v>
      </c>
    </row>
    <row r="698" spans="2:5" x14ac:dyDescent="0.2">
      <c r="B698" s="6" t="s">
        <v>940</v>
      </c>
      <c r="C698" s="6" t="s">
        <v>221</v>
      </c>
      <c r="D698" s="28" t="str">
        <f>IF(INICIAL[[#This Row],[CODIGO]]="", "", VLOOKUP(INICIAL[[#This Row],[CODIGO]], PRODUCTOS[#All], 2, FALSE))</f>
        <v>Lima redonda 6" truper</v>
      </c>
      <c r="E698" s="56">
        <v>1</v>
      </c>
    </row>
    <row r="699" spans="2:5" x14ac:dyDescent="0.2">
      <c r="B699" s="6" t="s">
        <v>940</v>
      </c>
      <c r="C699" s="6" t="s">
        <v>217</v>
      </c>
      <c r="D699" s="28" t="str">
        <f>IF(INICIAL[[#This Row],[CODIGO]]="", "", VLOOKUP(INICIAL[[#This Row],[CODIGO]], PRODUCTOS[#All], 2, FALSE))</f>
        <v>Lima plana muza 8" truper</v>
      </c>
      <c r="E699" s="56">
        <v>1</v>
      </c>
    </row>
    <row r="700" spans="2:5" x14ac:dyDescent="0.2">
      <c r="B700" s="6" t="s">
        <v>940</v>
      </c>
      <c r="C700" s="6" t="s">
        <v>213</v>
      </c>
      <c r="D700" s="28" t="str">
        <f>IF(INICIAL[[#This Row],[CODIGO]]="", "", VLOOKUP(INICIAL[[#This Row],[CODIGO]], PRODUCTOS[#All], 2, FALSE))</f>
        <v>Lima plana bastarda 6"</v>
      </c>
      <c r="E700" s="56">
        <v>2</v>
      </c>
    </row>
    <row r="701" spans="2:5" x14ac:dyDescent="0.2">
      <c r="B701" s="6" t="s">
        <v>940</v>
      </c>
      <c r="C701" s="6" t="s">
        <v>219</v>
      </c>
      <c r="D701" s="28" t="str">
        <f>IF(INICIAL[[#This Row],[CODIGO]]="", "", VLOOKUP(INICIAL[[#This Row],[CODIGO]], PRODUCTOS[#All], 2, FALSE))</f>
        <v>Lima triangular p/machete 8" truper</v>
      </c>
      <c r="E701" s="56">
        <v>2</v>
      </c>
    </row>
    <row r="702" spans="2:5" x14ac:dyDescent="0.2">
      <c r="B702" s="6" t="s">
        <v>940</v>
      </c>
      <c r="C702" s="6" t="s">
        <v>215</v>
      </c>
      <c r="D702" s="28" t="str">
        <f>IF(INICIAL[[#This Row],[CODIGO]]="", "", VLOOKUP(INICIAL[[#This Row],[CODIGO]], PRODUCTOS[#All], 2, FALSE))</f>
        <v>Lima escofina media caña 8" truper</v>
      </c>
      <c r="E702" s="56">
        <v>1</v>
      </c>
    </row>
    <row r="703" spans="2:5" x14ac:dyDescent="0.2">
      <c r="B703" s="6" t="s">
        <v>940</v>
      </c>
      <c r="C703" s="6" t="s">
        <v>153</v>
      </c>
      <c r="D703" s="28" t="str">
        <f>IF(INICIAL[[#This Row],[CODIGO]]="", "", VLOOKUP(INICIAL[[#This Row],[CODIGO]], PRODUCTOS[#All], 2, FALSE))</f>
        <v>Limpiador y desengrasante alto poder 454ml</v>
      </c>
      <c r="E703" s="56">
        <v>1</v>
      </c>
    </row>
    <row r="704" spans="2:5" x14ac:dyDescent="0.2">
      <c r="B704" s="6" t="s">
        <v>940</v>
      </c>
      <c r="C704" s="6" t="s">
        <v>471</v>
      </c>
      <c r="D704" s="28" t="str">
        <f>IF(INICIAL[[#This Row],[CODIGO]]="", "", VLOOKUP(INICIAL[[#This Row],[CODIGO]], PRODUCTOS[#All], 2, FALSE))</f>
        <v>Kit de desarmadores 18pzs (estuche negro)</v>
      </c>
      <c r="E704" s="56">
        <v>2</v>
      </c>
    </row>
    <row r="705" spans="2:5" x14ac:dyDescent="0.2">
      <c r="B705" s="6" t="s">
        <v>940</v>
      </c>
      <c r="C705" s="6" t="s">
        <v>179</v>
      </c>
      <c r="D705" s="28" t="str">
        <f>IF(INICIAL[[#This Row],[CODIGO]]="", "", VLOOKUP(INICIAL[[#This Row],[CODIGO]], PRODUCTOS[#All], 2, FALSE))</f>
        <v xml:space="preserve">Juego de puntas de 20pzs. </v>
      </c>
      <c r="E705" s="56">
        <v>1</v>
      </c>
    </row>
    <row r="706" spans="2:5" x14ac:dyDescent="0.2">
      <c r="B706" s="6" t="s">
        <v>940</v>
      </c>
      <c r="C706" s="6" t="s">
        <v>177</v>
      </c>
      <c r="D706" s="28" t="str">
        <f>IF(INICIAL[[#This Row],[CODIGO]]="", "", VLOOKUP(INICIAL[[#This Row],[CODIGO]], PRODUCTOS[#All], 2, FALSE))</f>
        <v>Juego de puntas de 10pzs.</v>
      </c>
      <c r="E706" s="56">
        <v>1</v>
      </c>
    </row>
    <row r="707" spans="2:5" x14ac:dyDescent="0.2">
      <c r="B707" s="6" t="s">
        <v>940</v>
      </c>
      <c r="C707" s="6" t="s">
        <v>484</v>
      </c>
      <c r="D707" s="28" t="str">
        <f>IF(INICIAL[[#This Row],[CODIGO]]="", "", VLOOKUP(INICIAL[[#This Row],[CODIGO]], PRODUCTOS[#All], 2, FALSE))</f>
        <v>Juego de dados stanley 3/8- 1/4, 4mm - 19mm, 3/16 - 11/16</v>
      </c>
      <c r="E707" s="56">
        <v>1</v>
      </c>
    </row>
    <row r="708" spans="2:5" x14ac:dyDescent="0.2">
      <c r="B708" s="6" t="s">
        <v>940</v>
      </c>
      <c r="C708" s="6" t="s">
        <v>398</v>
      </c>
      <c r="D708" s="28" t="str">
        <f>IF(INICIAL[[#This Row],[CODIGO]]="", "", VLOOKUP(INICIAL[[#This Row],[CODIGO]], PRODUCTOS[#All], 2, FALSE))</f>
        <v>Juego de taladros impacto/atornillador IRONHOOF  21V</v>
      </c>
      <c r="E708" s="56">
        <v>1</v>
      </c>
    </row>
    <row r="709" spans="2:5" x14ac:dyDescent="0.2">
      <c r="B709" s="6" t="s">
        <v>940</v>
      </c>
      <c r="C709" s="6" t="s">
        <v>255</v>
      </c>
      <c r="D709" s="28" t="str">
        <f>IF(INICIAL[[#This Row],[CODIGO]]="", "", VLOOKUP(INICIAL[[#This Row],[CODIGO]], PRODUCTOS[#All], 2, FALSE))</f>
        <v>Juego de desarmadores 8pzs (5 planos, 3 cruz)</v>
      </c>
      <c r="E709" s="56">
        <v>1</v>
      </c>
    </row>
    <row r="710" spans="2:5" x14ac:dyDescent="0.2">
      <c r="B710" s="6" t="s">
        <v>940</v>
      </c>
      <c r="C710" s="6" t="s">
        <v>427</v>
      </c>
      <c r="D710" s="28" t="str">
        <f>IF(INICIAL[[#This Row],[CODIGO]]="", "", VLOOKUP(INICIAL[[#This Row],[CODIGO]], PRODUCTOS[#All], 2, FALSE))</f>
        <v xml:space="preserve">Juego de brocas 13 piezas truper c/estuche </v>
      </c>
      <c r="E710" s="56">
        <v>1</v>
      </c>
    </row>
    <row r="711" spans="2:5" x14ac:dyDescent="0.2">
      <c r="B711" s="6" t="s">
        <v>940</v>
      </c>
      <c r="C711" s="6" t="s">
        <v>429</v>
      </c>
      <c r="D711" s="28" t="str">
        <f>IF(INICIAL[[#This Row],[CODIGO]]="", "", VLOOKUP(INICIAL[[#This Row],[CODIGO]], PRODUCTOS[#All], 2, FALSE))</f>
        <v>Juego de brocas 10 piezas truper c/estuche</v>
      </c>
      <c r="E711" s="56">
        <v>1</v>
      </c>
    </row>
    <row r="712" spans="2:5" x14ac:dyDescent="0.2">
      <c r="B712" s="6" t="s">
        <v>940</v>
      </c>
      <c r="C712" s="6" t="s">
        <v>421</v>
      </c>
      <c r="D712" s="28" t="str">
        <f>IF(INICIAL[[#This Row],[CODIGO]]="", "", VLOOKUP(INICIAL[[#This Row],[CODIGO]], PRODUCTOS[#All], 2, FALSE))</f>
        <v xml:space="preserve">Juego de 75 accesorios Makita (brocas) </v>
      </c>
      <c r="E712" s="56">
        <v>1</v>
      </c>
    </row>
    <row r="713" spans="2:5" x14ac:dyDescent="0.2">
      <c r="B713" s="6" t="s">
        <v>940</v>
      </c>
      <c r="C713" s="6" t="s">
        <v>423</v>
      </c>
      <c r="D713" s="28" t="str">
        <f>IF(INICIAL[[#This Row],[CODIGO]]="", "", VLOOKUP(INICIAL[[#This Row],[CODIGO]], PRODUCTOS[#All], 2, FALSE))</f>
        <v>Juego de brocas y cinceles truper (15 piezas)</v>
      </c>
      <c r="E713" s="56">
        <v>1</v>
      </c>
    </row>
    <row r="714" spans="2:5" x14ac:dyDescent="0.2">
      <c r="B714" s="6" t="s">
        <v>940</v>
      </c>
      <c r="C714" s="6" t="s">
        <v>425</v>
      </c>
      <c r="D714" s="28" t="str">
        <f>IF(INICIAL[[#This Row],[CODIGO]]="", "", VLOOKUP(INICIAL[[#This Row],[CODIGO]], PRODUCTOS[#All], 2, FALSE))</f>
        <v>Juego de brocas 13  piezas truper</v>
      </c>
      <c r="E714" s="56">
        <v>1</v>
      </c>
    </row>
    <row r="715" spans="2:5" x14ac:dyDescent="0.2">
      <c r="B715" s="6" t="s">
        <v>940</v>
      </c>
      <c r="C715" s="6" t="s">
        <v>253</v>
      </c>
      <c r="D715" s="28" t="str">
        <f>IF(INICIAL[[#This Row],[CODIGO]]="", "", VLOOKUP(INICIAL[[#This Row],[CODIGO]], PRODUCTOS[#All], 2, FALSE))</f>
        <v xml:space="preserve">Juego de desarmadores electrico </v>
      </c>
      <c r="E715" s="56">
        <v>1</v>
      </c>
    </row>
    <row r="716" spans="2:5" x14ac:dyDescent="0.2">
      <c r="B716" s="6" t="s">
        <v>940</v>
      </c>
      <c r="C716" s="6" t="s">
        <v>283</v>
      </c>
      <c r="D716" s="28" t="str">
        <f>IF(INICIAL[[#This Row],[CODIGO]]="", "", VLOOKUP(INICIAL[[#This Row],[CODIGO]], PRODUCTOS[#All], 2, FALSE))</f>
        <v>Gab. De Interruptores (SYEMENS)</v>
      </c>
      <c r="E716" s="56">
        <v>4</v>
      </c>
    </row>
    <row r="717" spans="2:5" x14ac:dyDescent="0.2">
      <c r="B717" s="6" t="s">
        <v>940</v>
      </c>
      <c r="C717" s="6" t="s">
        <v>1984</v>
      </c>
      <c r="D717" s="28" t="str">
        <f>IF(INICIAL[[#This Row],[CODIGO]]="", "", VLOOKUP(INICIAL[[#This Row],[CODIGO]], PRODUCTOS[#All], 2, FALSE))</f>
        <v>Imán flexible con Led truper</v>
      </c>
      <c r="E717" s="56">
        <v>1</v>
      </c>
    </row>
    <row r="718" spans="2:5" x14ac:dyDescent="0.2">
      <c r="B718" s="6" t="s">
        <v>940</v>
      </c>
      <c r="C718" s="6" t="s">
        <v>197</v>
      </c>
      <c r="D718" s="28" t="str">
        <f>IF(INICIAL[[#This Row],[CODIGO]]="", "", VLOOKUP(INICIAL[[#This Row],[CODIGO]], PRODUCTOS[#All], 2, FALSE))</f>
        <v>Hilo redondo para desobrosadora 2.7mm</v>
      </c>
      <c r="E718" s="56">
        <v>1</v>
      </c>
    </row>
    <row r="719" spans="2:5" x14ac:dyDescent="0.2">
      <c r="B719" s="6" t="s">
        <v>940</v>
      </c>
      <c r="C719" s="6" t="s">
        <v>195</v>
      </c>
      <c r="D719" s="28" t="str">
        <f>IF(INICIAL[[#This Row],[CODIGO]]="", "", VLOOKUP(INICIAL[[#This Row],[CODIGO]], PRODUCTOS[#All], 2, FALSE))</f>
        <v>Hilo redondo para desbrosadora 2.4mm</v>
      </c>
      <c r="E719" s="56">
        <v>1</v>
      </c>
    </row>
    <row r="720" spans="2:5" x14ac:dyDescent="0.2">
      <c r="B720" s="6" t="s">
        <v>940</v>
      </c>
      <c r="C720" s="6" t="s">
        <v>275</v>
      </c>
      <c r="D720" s="28" t="str">
        <f>IF(INICIAL[[#This Row],[CODIGO]]="", "", VLOOKUP(INICIAL[[#This Row],[CODIGO]], PRODUCTOS[#All], 2, FALSE))</f>
        <v>Hebilla de leva 8.23m</v>
      </c>
      <c r="E720" s="56">
        <v>1</v>
      </c>
    </row>
    <row r="721" spans="2:5" x14ac:dyDescent="0.2">
      <c r="B721" s="6" t="s">
        <v>940</v>
      </c>
      <c r="C721" s="6" t="s">
        <v>273</v>
      </c>
      <c r="D721" s="28" t="str">
        <f>IF(INICIAL[[#This Row],[CODIGO]]="", "", VLOOKUP(INICIAL[[#This Row],[CODIGO]], PRODUCTOS[#All], 2, FALSE))</f>
        <v>Hebilla de leva 3.66m</v>
      </c>
      <c r="E721" s="56">
        <v>1</v>
      </c>
    </row>
    <row r="722" spans="2:5" x14ac:dyDescent="0.2">
      <c r="B722" s="6" t="s">
        <v>940</v>
      </c>
      <c r="C722" s="6" t="s">
        <v>261</v>
      </c>
      <c r="D722" s="28" t="str">
        <f>IF(INICIAL[[#This Row],[CODIGO]]="", "", VLOOKUP(INICIAL[[#This Row],[CODIGO]], PRODUCTOS[#All], 2, FALSE))</f>
        <v xml:space="preserve">Hacha cazadora </v>
      </c>
      <c r="E722" s="56">
        <v>1</v>
      </c>
    </row>
    <row r="723" spans="2:5" x14ac:dyDescent="0.2">
      <c r="B723" s="6" t="s">
        <v>940</v>
      </c>
      <c r="C723" s="6" t="s">
        <v>392</v>
      </c>
      <c r="D723" s="28" t="str">
        <f>IF(INICIAL[[#This Row],[CODIGO]]="", "", VLOOKUP(INICIAL[[#This Row],[CODIGO]], PRODUCTOS[#All], 2, FALSE))</f>
        <v xml:space="preserve">Guardacabo ref. 5/8" </v>
      </c>
      <c r="E723" s="56">
        <v>5</v>
      </c>
    </row>
    <row r="724" spans="2:5" x14ac:dyDescent="0.2">
      <c r="B724" s="6" t="s">
        <v>940</v>
      </c>
      <c r="C724" s="6" t="s">
        <v>388</v>
      </c>
      <c r="D724" s="28" t="str">
        <f>IF(INICIAL[[#This Row],[CODIGO]]="", "", VLOOKUP(INICIAL[[#This Row],[CODIGO]], PRODUCTOS[#All], 2, FALSE))</f>
        <v>Guardacabo ref. 3/8"</v>
      </c>
      <c r="E724" s="56">
        <v>5</v>
      </c>
    </row>
    <row r="725" spans="2:5" x14ac:dyDescent="0.2">
      <c r="B725" s="6" t="s">
        <v>940</v>
      </c>
      <c r="C725" s="6" t="s">
        <v>394</v>
      </c>
      <c r="D725" s="28" t="str">
        <f>IF(INICIAL[[#This Row],[CODIGO]]="", "", VLOOKUP(INICIAL[[#This Row],[CODIGO]], PRODUCTOS[#All], 2, FALSE))</f>
        <v>Guardacabo ref. 3/4"</v>
      </c>
      <c r="E725" s="56">
        <v>3</v>
      </c>
    </row>
    <row r="726" spans="2:5" x14ac:dyDescent="0.2">
      <c r="B726" s="6" t="s">
        <v>940</v>
      </c>
      <c r="C726" s="6" t="s">
        <v>390</v>
      </c>
      <c r="D726" s="28" t="str">
        <f>IF(INICIAL[[#This Row],[CODIGO]]="", "", VLOOKUP(INICIAL[[#This Row],[CODIGO]], PRODUCTOS[#All], 2, FALSE))</f>
        <v>Guardacabo ref. 1/2"</v>
      </c>
      <c r="E726" s="56">
        <v>5</v>
      </c>
    </row>
    <row r="727" spans="2:5" x14ac:dyDescent="0.2">
      <c r="B727" s="6" t="s">
        <v>940</v>
      </c>
      <c r="C727" s="6" t="s">
        <v>55</v>
      </c>
      <c r="D727" s="28" t="str">
        <f>IF(INICIAL[[#This Row],[CODIGO]]="", "", VLOOKUP(INICIAL[[#This Row],[CODIGO]], PRODUCTOS[#All], 2, FALSE))</f>
        <v>Gis para placa de soldadura</v>
      </c>
      <c r="E727" s="56">
        <v>107</v>
      </c>
    </row>
    <row r="728" spans="2:5" x14ac:dyDescent="0.2">
      <c r="B728" s="6" t="s">
        <v>940</v>
      </c>
      <c r="C728" s="6" t="s">
        <v>165</v>
      </c>
      <c r="D728" s="28" t="str">
        <f>IF(INICIAL[[#This Row],[CODIGO]]="", "", VLOOKUP(INICIAL[[#This Row],[CODIGO]], PRODUCTOS[#All], 2, FALSE))</f>
        <v>Gis de repuesto azul 226gr</v>
      </c>
      <c r="E728" s="56">
        <v>1</v>
      </c>
    </row>
    <row r="729" spans="2:5" x14ac:dyDescent="0.2">
      <c r="B729" s="6" t="s">
        <v>940</v>
      </c>
      <c r="C729" s="6" t="s">
        <v>482</v>
      </c>
      <c r="D729" s="28" t="str">
        <f>IF(INICIAL[[#This Row],[CODIGO]]="", "", VLOOKUP(INICIAL[[#This Row],[CODIGO]], PRODUCTOS[#All], 2, FALSE))</f>
        <v>Kit fresas grabado y desvaste 10pzs</v>
      </c>
      <c r="E729" s="56">
        <v>2</v>
      </c>
    </row>
    <row r="730" spans="2:5" x14ac:dyDescent="0.2">
      <c r="B730" s="6" t="s">
        <v>940</v>
      </c>
      <c r="C730" s="6" t="s">
        <v>183</v>
      </c>
      <c r="D730" s="28" t="str">
        <f>IF(INICIAL[[#This Row],[CODIGO]]="", "", VLOOKUP(INICIAL[[#This Row],[CODIGO]], PRODUCTOS[#All], 2, FALSE))</f>
        <v xml:space="preserve">Flexómetro 3m freno automático </v>
      </c>
      <c r="E730" s="56">
        <v>2</v>
      </c>
    </row>
    <row r="731" spans="2:5" x14ac:dyDescent="0.2">
      <c r="B731" s="6" t="s">
        <v>940</v>
      </c>
      <c r="C731" s="6" t="s">
        <v>181</v>
      </c>
      <c r="D731" s="28" t="str">
        <f>IF(INICIAL[[#This Row],[CODIGO]]="", "", VLOOKUP(INICIAL[[#This Row],[CODIGO]], PRODUCTOS[#All], 2, FALSE))</f>
        <v>Flexómetro 5m</v>
      </c>
      <c r="E731" s="56">
        <v>2</v>
      </c>
    </row>
    <row r="732" spans="2:5" x14ac:dyDescent="0.2">
      <c r="B732" s="6" t="s">
        <v>940</v>
      </c>
      <c r="C732" s="6" t="s">
        <v>185</v>
      </c>
      <c r="D732" s="28" t="str">
        <f>IF(INICIAL[[#This Row],[CODIGO]]="", "", VLOOKUP(INICIAL[[#This Row],[CODIGO]], PRODUCTOS[#All], 2, FALSE))</f>
        <v>Flexómetro 3m</v>
      </c>
      <c r="E732" s="56">
        <v>3</v>
      </c>
    </row>
    <row r="733" spans="2:5" x14ac:dyDescent="0.2">
      <c r="B733" s="6" t="s">
        <v>940</v>
      </c>
      <c r="C733" s="6" t="s">
        <v>277</v>
      </c>
      <c r="D733" s="28" t="str">
        <f>IF(INICIAL[[#This Row],[CODIGO]]="", "", VLOOKUP(INICIAL[[#This Row],[CODIGO]], PRODUCTOS[#All], 2, FALSE))</f>
        <v xml:space="preserve">Fleje 5/8 de acero </v>
      </c>
      <c r="E733" s="56">
        <v>3</v>
      </c>
    </row>
    <row r="734" spans="2:5" x14ac:dyDescent="0.2">
      <c r="B734" s="6" t="s">
        <v>940</v>
      </c>
      <c r="C734" s="6" t="s">
        <v>437</v>
      </c>
      <c r="D734" s="28" t="str">
        <f>IF(INICIAL[[#This Row],[CODIGO]]="", "", VLOOKUP(INICIAL[[#This Row],[CODIGO]], PRODUCTOS[#All], 2, FALSE))</f>
        <v>Extansión reforzada 15m.</v>
      </c>
      <c r="E734" s="56">
        <v>1</v>
      </c>
    </row>
    <row r="735" spans="2:5" x14ac:dyDescent="0.2">
      <c r="B735" s="6" t="s">
        <v>940</v>
      </c>
      <c r="C735" s="6" t="s">
        <v>435</v>
      </c>
      <c r="D735" s="28" t="str">
        <f>IF(INICIAL[[#This Row],[CODIGO]]="", "", VLOOKUP(INICIAL[[#This Row],[CODIGO]], PRODUCTOS[#All], 2, FALSE))</f>
        <v>Extensión elect. Uso rudo 10m</v>
      </c>
      <c r="E735" s="56">
        <v>1</v>
      </c>
    </row>
    <row r="736" spans="2:5" x14ac:dyDescent="0.2">
      <c r="B736" s="6" t="s">
        <v>940</v>
      </c>
      <c r="C736" s="6" t="s">
        <v>229</v>
      </c>
      <c r="D736" s="28" t="str">
        <f>IF(INICIAL[[#This Row],[CODIGO]]="", "", VLOOKUP(INICIAL[[#This Row],[CODIGO]], PRODUCTOS[#All], 2, FALSE))</f>
        <v xml:space="preserve">Estuche de brocas </v>
      </c>
      <c r="E736" s="56">
        <v>1</v>
      </c>
    </row>
    <row r="737" spans="2:5" x14ac:dyDescent="0.2">
      <c r="B737" s="6" t="s">
        <v>940</v>
      </c>
      <c r="C737" s="6" t="s">
        <v>327</v>
      </c>
      <c r="D737" s="28" t="str">
        <f>IF(INICIAL[[#This Row],[CODIGO]]="", "", VLOOKUP(INICIAL[[#This Row],[CODIGO]], PRODUCTOS[#All], 2, FALSE))</f>
        <v>Espiga macho 1/4 * 1/4 espiga manguera</v>
      </c>
      <c r="E737" s="56">
        <v>47</v>
      </c>
    </row>
    <row r="738" spans="2:5" x14ac:dyDescent="0.2">
      <c r="B738" s="6" t="s">
        <v>940</v>
      </c>
      <c r="C738" s="6" t="s">
        <v>161</v>
      </c>
      <c r="D738" s="28" t="str">
        <f>IF(INICIAL[[#This Row],[CODIGO]]="", "", VLOOKUP(INICIAL[[#This Row],[CODIGO]], PRODUCTOS[#All], 2, FALSE))</f>
        <v>Esmalte Verde 400ml</v>
      </c>
      <c r="E738" s="56">
        <v>1</v>
      </c>
    </row>
    <row r="739" spans="2:5" x14ac:dyDescent="0.2">
      <c r="B739" s="6" t="s">
        <v>940</v>
      </c>
      <c r="C739" s="6" t="s">
        <v>157</v>
      </c>
      <c r="D739" s="28" t="str">
        <f>IF(INICIAL[[#This Row],[CODIGO]]="", "", VLOOKUP(INICIAL[[#This Row],[CODIGO]], PRODUCTOS[#All], 2, FALSE))</f>
        <v>Esmalte gris (pintura spray) 400ml</v>
      </c>
      <c r="E739" s="56">
        <v>2</v>
      </c>
    </row>
    <row r="740" spans="2:5" x14ac:dyDescent="0.2">
      <c r="B740" s="6" t="s">
        <v>940</v>
      </c>
      <c r="C740" s="6" t="s">
        <v>159</v>
      </c>
      <c r="D740" s="28" t="str">
        <f>IF(INICIAL[[#This Row],[CODIGO]]="", "", VLOOKUP(INICIAL[[#This Row],[CODIGO]], PRODUCTOS[#All], 2, FALSE))</f>
        <v>Esmalte Azul 400ml</v>
      </c>
      <c r="E740" s="56">
        <v>2</v>
      </c>
    </row>
    <row r="741" spans="2:5" x14ac:dyDescent="0.2">
      <c r="B741" s="6" t="s">
        <v>940</v>
      </c>
      <c r="C741" s="6" t="s">
        <v>404</v>
      </c>
      <c r="D741" s="28" t="str">
        <f>IF(INICIAL[[#This Row],[CODIGO]]="", "", VLOOKUP(INICIAL[[#This Row],[CODIGO]], PRODUCTOS[#All], 2, FALSE))</f>
        <v>Esmeriladora angular</v>
      </c>
      <c r="E741" s="56">
        <v>1</v>
      </c>
    </row>
    <row r="742" spans="2:5" x14ac:dyDescent="0.2">
      <c r="B742" s="6" t="s">
        <v>940</v>
      </c>
      <c r="C742" s="6" t="s">
        <v>87</v>
      </c>
      <c r="D742" s="28" t="str">
        <f>IF(INICIAL[[#This Row],[CODIGO]]="", "", VLOOKUP(INICIAL[[#This Row],[CODIGO]], PRODUCTOS[#All], 2, FALSE))</f>
        <v>Eslabón fusible 27/15 KV 3amp</v>
      </c>
      <c r="E742" s="56">
        <v>5</v>
      </c>
    </row>
    <row r="743" spans="2:5" x14ac:dyDescent="0.2">
      <c r="B743" s="6" t="s">
        <v>940</v>
      </c>
      <c r="C743" s="6" t="s">
        <v>93</v>
      </c>
      <c r="D743" s="28" t="str">
        <f>IF(INICIAL[[#This Row],[CODIGO]]="", "", VLOOKUP(INICIAL[[#This Row],[CODIGO]], PRODUCTOS[#All], 2, FALSE))</f>
        <v>Eslabón fusible 27/15 KV 7amp</v>
      </c>
      <c r="E743" s="56">
        <v>5</v>
      </c>
    </row>
    <row r="744" spans="2:5" x14ac:dyDescent="0.2">
      <c r="B744" s="6" t="s">
        <v>940</v>
      </c>
      <c r="C744" s="6" t="s">
        <v>97</v>
      </c>
      <c r="D744" s="28" t="str">
        <f>IF(INICIAL[[#This Row],[CODIGO]]="", "", VLOOKUP(INICIAL[[#This Row],[CODIGO]], PRODUCTOS[#All], 2, FALSE))</f>
        <v>Eslabón fusible 27/15 KV 5amp</v>
      </c>
      <c r="E744" s="56">
        <v>1</v>
      </c>
    </row>
    <row r="745" spans="2:5" x14ac:dyDescent="0.2">
      <c r="B745" s="6" t="s">
        <v>940</v>
      </c>
      <c r="C745" s="6" t="s">
        <v>95</v>
      </c>
      <c r="D745" s="28" t="str">
        <f>IF(INICIAL[[#This Row],[CODIGO]]="", "", VLOOKUP(INICIAL[[#This Row],[CODIGO]], PRODUCTOS[#All], 2, FALSE))</f>
        <v>Eslabón fusible 27/15 KV 20amp</v>
      </c>
      <c r="E745" s="56">
        <v>5</v>
      </c>
    </row>
    <row r="746" spans="2:5" x14ac:dyDescent="0.2">
      <c r="B746" s="6" t="s">
        <v>940</v>
      </c>
      <c r="C746" s="6" t="s">
        <v>89</v>
      </c>
      <c r="D746" s="28" t="str">
        <f>IF(INICIAL[[#This Row],[CODIGO]]="", "", VLOOKUP(INICIAL[[#This Row],[CODIGO]], PRODUCTOS[#All], 2, FALSE))</f>
        <v>Eslabón fusible 27/15 KV 15amp</v>
      </c>
      <c r="E746" s="56">
        <v>5</v>
      </c>
    </row>
    <row r="747" spans="2:5" x14ac:dyDescent="0.2">
      <c r="B747" s="6" t="s">
        <v>940</v>
      </c>
      <c r="C747" s="6" t="s">
        <v>89</v>
      </c>
      <c r="D747" s="28" t="str">
        <f>IF(INICIAL[[#This Row],[CODIGO]]="", "", VLOOKUP(INICIAL[[#This Row],[CODIGO]], PRODUCTOS[#All], 2, FALSE))</f>
        <v>Eslabón fusible 27/15 KV 15amp</v>
      </c>
      <c r="E747" s="56">
        <v>3</v>
      </c>
    </row>
    <row r="748" spans="2:5" x14ac:dyDescent="0.2">
      <c r="B748" s="6" t="s">
        <v>940</v>
      </c>
      <c r="C748" s="6" t="s">
        <v>91</v>
      </c>
      <c r="D748" s="28" t="str">
        <f>IF(INICIAL[[#This Row],[CODIGO]]="", "", VLOOKUP(INICIAL[[#This Row],[CODIGO]], PRODUCTOS[#All], 2, FALSE))</f>
        <v>Eslabón fusible 27/15 KV 10amp</v>
      </c>
      <c r="E748" s="56">
        <v>5</v>
      </c>
    </row>
    <row r="749" spans="2:5" x14ac:dyDescent="0.2">
      <c r="B749" s="6" t="s">
        <v>940</v>
      </c>
      <c r="C749" s="6" t="s">
        <v>257</v>
      </c>
      <c r="D749" s="28" t="str">
        <f>IF(INICIAL[[#This Row],[CODIGO]]="", "", VLOOKUP(INICIAL[[#This Row],[CODIGO]], PRODUCTOS[#All], 2, FALSE))</f>
        <v>Embudo grande</v>
      </c>
      <c r="E749" s="56">
        <v>2</v>
      </c>
    </row>
    <row r="750" spans="2:5" x14ac:dyDescent="0.2">
      <c r="B750" s="6" t="s">
        <v>940</v>
      </c>
      <c r="C750" s="6" t="s">
        <v>49</v>
      </c>
      <c r="D750" s="28" t="str">
        <f>IF(INICIAL[[#This Row],[CODIGO]]="", "", VLOOKUP(INICIAL[[#This Row],[CODIGO]], PRODUCTOS[#All], 2, FALSE))</f>
        <v>Electrodo Reves, (LE7018-5/32"*18")</v>
      </c>
      <c r="E750" s="56">
        <v>218</v>
      </c>
    </row>
    <row r="751" spans="2:5" x14ac:dyDescent="0.2">
      <c r="B751" s="6" t="s">
        <v>940</v>
      </c>
      <c r="C751" s="6" t="s">
        <v>41</v>
      </c>
      <c r="D751" s="28" t="str">
        <f>IF(INICIAL[[#This Row],[CODIGO]]="", "", VLOOKUP(INICIAL[[#This Row],[CODIGO]], PRODUCTOS[#All], 2, FALSE))</f>
        <v>Electrodo Reves, (E7018-1/8"*18")</v>
      </c>
      <c r="E751" s="56">
        <v>284</v>
      </c>
    </row>
    <row r="752" spans="2:5" x14ac:dyDescent="0.2">
      <c r="B752" s="11" t="s">
        <v>940</v>
      </c>
      <c r="C752" s="6" t="s">
        <v>35</v>
      </c>
      <c r="D752" s="28" t="str">
        <f>IF(INICIAL[[#This Row],[CODIGO]]="", "", VLOOKUP(INICIAL[[#This Row],[CODIGO]], PRODUCTOS[#All], 2, FALSE))</f>
        <v>Electrodo (MW-E6013-3/32)</v>
      </c>
      <c r="E752" s="56">
        <v>3323</v>
      </c>
    </row>
    <row r="753" spans="2:5" x14ac:dyDescent="0.2">
      <c r="B753" s="6" t="s">
        <v>940</v>
      </c>
      <c r="C753" s="6" t="s">
        <v>63</v>
      </c>
      <c r="D753" s="28" t="str">
        <f>IF(INICIAL[[#This Row],[CODIGO]]="", "", VLOOKUP(INICIAL[[#This Row],[CODIGO]], PRODUCTOS[#All], 2, FALSE))</f>
        <v>Electrodo Reves, (E6013-1/8"*14")</v>
      </c>
      <c r="E753" s="56">
        <v>164</v>
      </c>
    </row>
    <row r="754" spans="2:5" x14ac:dyDescent="0.2">
      <c r="B754" s="11" t="s">
        <v>940</v>
      </c>
      <c r="C754" s="6" t="s">
        <v>37</v>
      </c>
      <c r="D754" s="28" t="str">
        <f>IF(INICIAL[[#This Row],[CODIGO]]="", "", VLOOKUP(INICIAL[[#This Row],[CODIGO]], PRODUCTOS[#All], 2, FALSE))</f>
        <v>Electrodo (MW-E6013-1/8)</v>
      </c>
      <c r="E754" s="56">
        <v>582</v>
      </c>
    </row>
    <row r="755" spans="2:5" x14ac:dyDescent="0.2">
      <c r="B755" s="6" t="s">
        <v>940</v>
      </c>
      <c r="C755" s="6" t="s">
        <v>133</v>
      </c>
      <c r="D755" s="28" t="str">
        <f>IF(INICIAL[[#This Row],[CODIGO]]="", "", VLOOKUP(INICIAL[[#This Row],[CODIGO]], PRODUCTOS[#All], 2, FALSE))</f>
        <v xml:space="preserve">Disco de diamante azul </v>
      </c>
      <c r="E755" s="56">
        <v>11</v>
      </c>
    </row>
    <row r="756" spans="2:5" x14ac:dyDescent="0.2">
      <c r="B756" s="6" t="s">
        <v>940</v>
      </c>
      <c r="C756" s="6" t="s">
        <v>135</v>
      </c>
      <c r="D756" s="28" t="str">
        <f>IF(INICIAL[[#This Row],[CODIGO]]="", "", VLOOKUP(INICIAL[[#This Row],[CODIGO]], PRODUCTOS[#All], 2, FALSE))</f>
        <v xml:space="preserve">Disco de diamante amarillo </v>
      </c>
      <c r="E756" s="56">
        <v>11</v>
      </c>
    </row>
    <row r="757" spans="2:5" x14ac:dyDescent="0.2">
      <c r="B757" s="6" t="s">
        <v>940</v>
      </c>
      <c r="C757" s="6" t="s">
        <v>297</v>
      </c>
      <c r="D757" s="28" t="str">
        <f>IF(INICIAL[[#This Row],[CODIGO]]="", "", VLOOKUP(INICIAL[[#This Row],[CODIGO]], PRODUCTOS[#All], 2, FALSE))</f>
        <v>Disc. De desvaste Makita 7" *1/4"*7/8"</v>
      </c>
      <c r="E757" s="56">
        <v>2</v>
      </c>
    </row>
    <row r="758" spans="2:5" x14ac:dyDescent="0.2">
      <c r="B758" s="6" t="s">
        <v>940</v>
      </c>
      <c r="C758" s="6" t="s">
        <v>75</v>
      </c>
      <c r="D758" s="28" t="str">
        <f>IF(INICIAL[[#This Row],[CODIGO]]="", "", VLOOKUP(INICIAL[[#This Row],[CODIGO]], PRODUCTOS[#All], 2, FALSE))</f>
        <v>Disc. De desbaste Makita 4 1/2" *1/4"*7/8"</v>
      </c>
      <c r="E758" s="56">
        <v>25</v>
      </c>
    </row>
    <row r="759" spans="2:5" x14ac:dyDescent="0.2">
      <c r="B759" s="6" t="s">
        <v>940</v>
      </c>
      <c r="C759" s="6" t="s">
        <v>39</v>
      </c>
      <c r="D759" s="28" t="str">
        <f>IF(INICIAL[[#This Row],[CODIGO]]="", "", VLOOKUP(INICIAL[[#This Row],[CODIGO]], PRODUCTOS[#All], 2, FALSE))</f>
        <v>Disc. De corte  4-1/2"</v>
      </c>
      <c r="E759" s="56">
        <v>302</v>
      </c>
    </row>
    <row r="760" spans="2:5" x14ac:dyDescent="0.2">
      <c r="B760" s="6" t="s">
        <v>940</v>
      </c>
      <c r="C760" s="6" t="s">
        <v>301</v>
      </c>
      <c r="D760" s="28" t="str">
        <f>IF(INICIAL[[#This Row],[CODIGO]]="", "", VLOOKUP(INICIAL[[#This Row],[CODIGO]], PRODUCTOS[#All], 2, FALSE))</f>
        <v>Disco de corte diamante 4 1/2" hoteche</v>
      </c>
      <c r="E760" s="56">
        <v>6</v>
      </c>
    </row>
    <row r="761" spans="2:5" x14ac:dyDescent="0.2">
      <c r="B761" s="6" t="s">
        <v>940</v>
      </c>
      <c r="C761" s="6" t="s">
        <v>299</v>
      </c>
      <c r="D761" s="28" t="str">
        <f>IF(INICIAL[[#This Row],[CODIGO]]="", "", VLOOKUP(INICIAL[[#This Row],[CODIGO]], PRODUCTOS[#All], 2, FALSE))</f>
        <v>Disc. Para acero makita 14" * 1/8" *1"</v>
      </c>
      <c r="E761" s="56">
        <v>17</v>
      </c>
    </row>
    <row r="762" spans="2:5" x14ac:dyDescent="0.2">
      <c r="B762" s="6" t="s">
        <v>940</v>
      </c>
      <c r="C762" s="6" t="s">
        <v>467</v>
      </c>
      <c r="D762" s="28" t="str">
        <f>IF(INICIAL[[#This Row],[CODIGO]]="", "", VLOOKUP(INICIAL[[#This Row],[CODIGO]], PRODUCTOS[#All], 2, FALSE))</f>
        <v>Desarmador de golpe verde</v>
      </c>
      <c r="E762" s="56">
        <v>3</v>
      </c>
    </row>
    <row r="763" spans="2:5" x14ac:dyDescent="0.2">
      <c r="B763" s="6" t="s">
        <v>940</v>
      </c>
      <c r="C763" s="6" t="s">
        <v>123</v>
      </c>
      <c r="D763" s="28" t="str">
        <f>IF(INICIAL[[#This Row],[CODIGO]]="", "", VLOOKUP(INICIAL[[#This Row],[CODIGO]], PRODUCTOS[#All], 2, FALSE))</f>
        <v xml:space="preserve">Juego de  6 desarmadores de golpe (amarillos) </v>
      </c>
      <c r="E763" s="56">
        <v>5</v>
      </c>
    </row>
    <row r="764" spans="2:5" x14ac:dyDescent="0.2">
      <c r="B764" s="6" t="s">
        <v>940</v>
      </c>
      <c r="C764" s="6" t="s">
        <v>469</v>
      </c>
      <c r="D764" s="28" t="str">
        <f>IF(INICIAL[[#This Row],[CODIGO]]="", "", VLOOKUP(INICIAL[[#This Row],[CODIGO]], PRODUCTOS[#All], 2, FALSE))</f>
        <v>Cutter de pato</v>
      </c>
      <c r="E764" s="56">
        <v>5</v>
      </c>
    </row>
    <row r="765" spans="2:5" x14ac:dyDescent="0.2">
      <c r="B765" s="6" t="s">
        <v>940</v>
      </c>
      <c r="C765" s="6" t="s">
        <v>173</v>
      </c>
      <c r="D765" s="28" t="str">
        <f>IF(INICIAL[[#This Row],[CODIGO]]="", "", VLOOKUP(INICIAL[[#This Row],[CODIGO]], PRODUCTOS[#All], 2, FALSE))</f>
        <v>Cuchillo para linoleo 7 1/2"</v>
      </c>
      <c r="E765" s="56">
        <v>2</v>
      </c>
    </row>
    <row r="766" spans="2:5" x14ac:dyDescent="0.2">
      <c r="B766" s="6" t="s">
        <v>940</v>
      </c>
      <c r="C766" s="6" t="s">
        <v>175</v>
      </c>
      <c r="D766" s="28" t="str">
        <f>IF(INICIAL[[#This Row],[CODIGO]]="", "", VLOOKUP(INICIAL[[#This Row],[CODIGO]], PRODUCTOS[#All], 2, FALSE))</f>
        <v>Cuchillo para linoleo 7"</v>
      </c>
      <c r="E766" s="56">
        <v>2</v>
      </c>
    </row>
    <row r="767" spans="2:5" x14ac:dyDescent="0.2">
      <c r="B767" s="6" t="s">
        <v>940</v>
      </c>
      <c r="C767" s="6" t="s">
        <v>57</v>
      </c>
      <c r="D767" s="28" t="str">
        <f>IF(INICIAL[[#This Row],[CODIGO]]="", "", VLOOKUP(INICIAL[[#This Row],[CODIGO]], PRODUCTOS[#All], 2, FALSE))</f>
        <v>Cinta aislante Super 33</v>
      </c>
      <c r="E767" s="56">
        <v>97</v>
      </c>
    </row>
    <row r="768" spans="2:5" x14ac:dyDescent="0.2">
      <c r="B768" s="6" t="s">
        <v>940</v>
      </c>
      <c r="C768" s="6" t="s">
        <v>313</v>
      </c>
      <c r="D768" s="28" t="str">
        <f>IF(INICIAL[[#This Row],[CODIGO]]="", "", VLOOKUP(INICIAL[[#This Row],[CODIGO]], PRODUCTOS[#All], 2, FALSE))</f>
        <v>Cruz 1/4</v>
      </c>
      <c r="E768" s="56">
        <v>2</v>
      </c>
    </row>
    <row r="769" spans="2:5" x14ac:dyDescent="0.2">
      <c r="B769" s="6" t="s">
        <v>940</v>
      </c>
      <c r="C769" s="6" t="s">
        <v>415</v>
      </c>
      <c r="D769" s="28" t="str">
        <f>IF(INICIAL[[#This Row],[CODIGO]]="", "", VLOOKUP(INICIAL[[#This Row],[CODIGO]], PRODUCTOS[#All], 2, FALSE))</f>
        <v>Cristal sombra #2 (para soldar)</v>
      </c>
      <c r="E769" s="56">
        <v>20</v>
      </c>
    </row>
    <row r="770" spans="2:5" x14ac:dyDescent="0.2">
      <c r="B770" s="6" t="s">
        <v>940</v>
      </c>
      <c r="C770" s="6" t="s">
        <v>329</v>
      </c>
      <c r="D770" s="28" t="str">
        <f>IF(INICIAL[[#This Row],[CODIGO]]="", "", VLOOKUP(INICIAL[[#This Row],[CODIGO]], PRODUCTOS[#All], 2, FALSE))</f>
        <v>Conector rápido c/rosca 1/4</v>
      </c>
      <c r="E770" s="56">
        <v>1</v>
      </c>
    </row>
    <row r="771" spans="2:5" x14ac:dyDescent="0.2">
      <c r="B771" s="6" t="s">
        <v>940</v>
      </c>
      <c r="C771" s="6" t="s">
        <v>201</v>
      </c>
      <c r="D771" s="28" t="str">
        <f>IF(INICIAL[[#This Row],[CODIGO]]="", "", VLOOKUP(INICIAL[[#This Row],[CODIGO]], PRODUCTOS[#All], 2, FALSE))</f>
        <v>Conector de latón para manguera 1/2"</v>
      </c>
      <c r="E771" s="56">
        <v>1</v>
      </c>
    </row>
    <row r="772" spans="2:5" x14ac:dyDescent="0.2">
      <c r="B772" s="6" t="s">
        <v>940</v>
      </c>
      <c r="C772" s="6" t="s">
        <v>147</v>
      </c>
      <c r="D772" s="28" t="str">
        <f>IF(INICIAL[[#This Row],[CODIGO]]="", "", VLOOKUP(INICIAL[[#This Row],[CODIGO]], PRODUCTOS[#All], 2, FALSE))</f>
        <v>Contacto C duplex</v>
      </c>
      <c r="E772" s="56">
        <v>1</v>
      </c>
    </row>
    <row r="773" spans="2:5" x14ac:dyDescent="0.2">
      <c r="B773" s="6" t="s">
        <v>940</v>
      </c>
      <c r="C773" s="6" t="s">
        <v>317</v>
      </c>
      <c r="D773" s="28" t="str">
        <f>IF(INICIAL[[#This Row],[CODIGO]]="", "", VLOOKUP(INICIAL[[#This Row],[CODIGO]], PRODUCTOS[#All], 2, FALSE))</f>
        <v xml:space="preserve">Conexión de aire </v>
      </c>
      <c r="E773" s="56">
        <v>2</v>
      </c>
    </row>
    <row r="774" spans="2:5" x14ac:dyDescent="0.2">
      <c r="B774" s="6" t="s">
        <v>940</v>
      </c>
      <c r="C774" s="6" t="s">
        <v>325</v>
      </c>
      <c r="D774" s="28" t="str">
        <f>IF(INICIAL[[#This Row],[CODIGO]]="", "", VLOOKUP(INICIAL[[#This Row],[CODIGO]], PRODUCTOS[#All], 2, FALSE))</f>
        <v>Conexión p/tanque comp 1/8 npt * 7/16 nip</v>
      </c>
      <c r="E774" s="56">
        <v>24</v>
      </c>
    </row>
    <row r="775" spans="2:5" x14ac:dyDescent="0.2">
      <c r="B775" s="6" t="s">
        <v>940</v>
      </c>
      <c r="C775" s="6" t="s">
        <v>65</v>
      </c>
      <c r="D775" s="28" t="str">
        <f>IF(INICIAL[[#This Row],[CODIGO]]="", "", VLOOKUP(INICIAL[[#This Row],[CODIGO]], PRODUCTOS[#All], 2, FALSE))</f>
        <v>Cinta masilla (3M)</v>
      </c>
      <c r="E775" s="56">
        <v>66</v>
      </c>
    </row>
    <row r="776" spans="2:5" x14ac:dyDescent="0.2">
      <c r="B776" s="6" t="s">
        <v>940</v>
      </c>
      <c r="C776" s="6" t="s">
        <v>461</v>
      </c>
      <c r="D776" s="28" t="str">
        <f>IF(INICIAL[[#This Row],[CODIGO]]="", "", VLOOKUP(INICIAL[[#This Row],[CODIGO]], PRODUCTOS[#All], 2, FALSE))</f>
        <v>Clip resorte 4"</v>
      </c>
      <c r="E776" s="56">
        <v>20</v>
      </c>
    </row>
    <row r="777" spans="2:5" x14ac:dyDescent="0.2">
      <c r="B777" s="6" t="s">
        <v>940</v>
      </c>
      <c r="C777" s="6" t="s">
        <v>131</v>
      </c>
      <c r="D777" s="28" t="str">
        <f>IF(INICIAL[[#This Row],[CODIGO]]="", "", VLOOKUP(INICIAL[[#This Row],[CODIGO]], PRODUCTOS[#All], 2, FALSE))</f>
        <v>Cinta de fragil</v>
      </c>
      <c r="E777" s="56">
        <v>1</v>
      </c>
    </row>
    <row r="778" spans="2:5" x14ac:dyDescent="0.2">
      <c r="B778" s="6" t="s">
        <v>940</v>
      </c>
      <c r="C778" s="6" t="s">
        <v>451</v>
      </c>
      <c r="D778" s="28" t="str">
        <f>IF(INICIAL[[#This Row],[CODIGO]]="", "", VLOOKUP(INICIAL[[#This Row],[CODIGO]], PRODUCTOS[#All], 2, FALSE))</f>
        <v>Cinta larga de fibra de vidrio 50m</v>
      </c>
      <c r="E778" s="56">
        <v>1</v>
      </c>
    </row>
    <row r="779" spans="2:5" x14ac:dyDescent="0.2">
      <c r="B779" s="6" t="s">
        <v>940</v>
      </c>
      <c r="C779" s="6" t="s">
        <v>141</v>
      </c>
      <c r="D779" s="28" t="str">
        <f>IF(INICIAL[[#This Row],[CODIGO]]="", "", VLOOKUP(INICIAL[[#This Row],[CODIGO]], PRODUCTOS[#All], 2, FALSE))</f>
        <v>Cepillo de acero 5"</v>
      </c>
      <c r="E779" s="56">
        <v>2</v>
      </c>
    </row>
    <row r="780" spans="2:5" x14ac:dyDescent="0.2">
      <c r="B780" s="6" t="s">
        <v>940</v>
      </c>
      <c r="C780" s="6" t="s">
        <v>139</v>
      </c>
      <c r="D780" s="28" t="str">
        <f>IF(INICIAL[[#This Row],[CODIGO]]="", "", VLOOKUP(INICIAL[[#This Row],[CODIGO]], PRODUCTOS[#All], 2, FALSE))</f>
        <v>Cepillo de acero 4"</v>
      </c>
      <c r="E780" s="56">
        <v>3</v>
      </c>
    </row>
    <row r="781" spans="2:5" x14ac:dyDescent="0.2">
      <c r="B781" s="6" t="s">
        <v>940</v>
      </c>
      <c r="C781" s="6" t="s">
        <v>103</v>
      </c>
      <c r="D781" s="28" t="str">
        <f>IF(INICIAL[[#This Row],[CODIGO]]="", "", VLOOKUP(INICIAL[[#This Row],[CODIGO]], PRODUCTOS[#All], 2, FALSE))</f>
        <v>Cepillo de alambre 4 x 16 hileras</v>
      </c>
      <c r="E781" s="56">
        <v>2</v>
      </c>
    </row>
    <row r="782" spans="2:5" x14ac:dyDescent="0.2">
      <c r="B782" s="6" t="s">
        <v>940</v>
      </c>
      <c r="C782" s="6" t="s">
        <v>105</v>
      </c>
      <c r="D782" s="28" t="str">
        <f>IF(INICIAL[[#This Row],[CODIGO]]="", "", VLOOKUP(INICIAL[[#This Row],[CODIGO]], PRODUCTOS[#All], 2, FALSE))</f>
        <v>Cinta para ducto</v>
      </c>
      <c r="E782" s="56">
        <v>3</v>
      </c>
    </row>
    <row r="783" spans="2:5" x14ac:dyDescent="0.2">
      <c r="B783" s="6" t="s">
        <v>940</v>
      </c>
      <c r="C783" s="6" t="s">
        <v>409</v>
      </c>
      <c r="D783" s="28" t="str">
        <f>IF(INICIAL[[#This Row],[CODIGO]]="", "", VLOOKUP(INICIAL[[#This Row],[CODIGO]], PRODUCTOS[#All], 2, FALSE))</f>
        <v>Caja de dados (roja)</v>
      </c>
      <c r="E783" s="56">
        <v>2</v>
      </c>
    </row>
    <row r="784" spans="2:5" x14ac:dyDescent="0.2">
      <c r="B784" s="6" t="s">
        <v>940</v>
      </c>
      <c r="C784" s="6" t="s">
        <v>171</v>
      </c>
      <c r="D784" s="28" t="str">
        <f>IF(INICIAL[[#This Row],[CODIGO]]="", "", VLOOKUP(INICIAL[[#This Row],[CODIGO]], PRODUCTOS[#All], 2, FALSE))</f>
        <v>Cartucho de gas 27gr</v>
      </c>
      <c r="E784" s="56">
        <v>1</v>
      </c>
    </row>
    <row r="785" spans="2:5" x14ac:dyDescent="0.2">
      <c r="B785" s="6" t="s">
        <v>940</v>
      </c>
      <c r="C785" s="6" t="s">
        <v>207</v>
      </c>
      <c r="D785" s="28" t="str">
        <f>IF(INICIAL[[#This Row],[CODIGO]]="", "", VLOOKUP(INICIAL[[#This Row],[CODIGO]], PRODUCTOS[#All], 2, FALSE))</f>
        <v xml:space="preserve">Carda de copa 2 3/4" </v>
      </c>
      <c r="E785" s="56">
        <v>1</v>
      </c>
    </row>
    <row r="786" spans="2:5" x14ac:dyDescent="0.2">
      <c r="B786" s="6" t="s">
        <v>940</v>
      </c>
      <c r="C786" s="6" t="s">
        <v>205</v>
      </c>
      <c r="D786" s="28" t="str">
        <f>IF(INICIAL[[#This Row],[CODIGO]]="", "", VLOOKUP(INICIAL[[#This Row],[CODIGO]], PRODUCTOS[#All], 2, FALSE))</f>
        <v>Carda tipo conico almabre trenzado 5/8"</v>
      </c>
      <c r="E786" s="56">
        <v>1</v>
      </c>
    </row>
    <row r="787" spans="2:5" x14ac:dyDescent="0.2">
      <c r="B787" s="6" t="s">
        <v>940</v>
      </c>
      <c r="C787" s="6" t="s">
        <v>199</v>
      </c>
      <c r="D787" s="28" t="str">
        <f>IF(INICIAL[[#This Row],[CODIGO]]="", "", VLOOKUP(INICIAL[[#This Row],[CODIGO]], PRODUCTOS[#All], 2, FALSE))</f>
        <v>Carda circular 1/4"</v>
      </c>
      <c r="E787" s="56">
        <v>1</v>
      </c>
    </row>
    <row r="788" spans="2:5" x14ac:dyDescent="0.2">
      <c r="B788" s="6" t="s">
        <v>940</v>
      </c>
      <c r="C788" s="6" t="s">
        <v>400</v>
      </c>
      <c r="D788" s="28" t="str">
        <f>IF(INICIAL[[#This Row],[CODIGO]]="", "", VLOOKUP(INICIAL[[#This Row],[CODIGO]], PRODUCTOS[#All], 2, FALSE))</f>
        <v xml:space="preserve">Candado laminado </v>
      </c>
      <c r="E788" s="56">
        <v>2</v>
      </c>
    </row>
    <row r="789" spans="2:5" x14ac:dyDescent="0.2">
      <c r="B789" s="6" t="s">
        <v>940</v>
      </c>
      <c r="C789" s="6" t="s">
        <v>193</v>
      </c>
      <c r="D789" s="28" t="str">
        <f>IF(INICIAL[[#This Row],[CODIGO]]="", "", VLOOKUP(INICIAL[[#This Row],[CODIGO]], PRODUCTOS[#All], 2, FALSE))</f>
        <v>Candado de hierro 60mm</v>
      </c>
      <c r="E789" s="56">
        <v>2</v>
      </c>
    </row>
    <row r="790" spans="2:5" x14ac:dyDescent="0.2">
      <c r="B790" s="6" t="s">
        <v>940</v>
      </c>
      <c r="C790" s="6" t="s">
        <v>191</v>
      </c>
      <c r="D790" s="28" t="str">
        <f>IF(INICIAL[[#This Row],[CODIGO]]="", "", VLOOKUP(INICIAL[[#This Row],[CODIGO]], PRODUCTOS[#All], 2, FALSE))</f>
        <v>Candado de hierro 40mm</v>
      </c>
      <c r="E790" s="56">
        <v>2</v>
      </c>
    </row>
    <row r="791" spans="2:5" x14ac:dyDescent="0.2">
      <c r="B791" s="6" t="s">
        <v>940</v>
      </c>
      <c r="C791" s="6" t="s">
        <v>189</v>
      </c>
      <c r="D791" s="28" t="str">
        <f>IF(INICIAL[[#This Row],[CODIGO]]="", "", VLOOKUP(INICIAL[[#This Row],[CODIGO]], PRODUCTOS[#All], 2, FALSE))</f>
        <v>Candado 80mm</v>
      </c>
      <c r="E791" s="56">
        <v>2</v>
      </c>
    </row>
    <row r="792" spans="2:5" x14ac:dyDescent="0.2">
      <c r="B792" s="6" t="s">
        <v>940</v>
      </c>
      <c r="C792" s="6" t="s">
        <v>402</v>
      </c>
      <c r="D792" s="28" t="str">
        <f>IF(INICIAL[[#This Row],[CODIGO]]="", "", VLOOKUP(INICIAL[[#This Row],[CODIGO]], PRODUCTOS[#All], 2, FALSE))</f>
        <v>Candado 70mm</v>
      </c>
      <c r="E792" s="56">
        <v>2</v>
      </c>
    </row>
    <row r="793" spans="2:5" x14ac:dyDescent="0.2">
      <c r="B793" s="6" t="s">
        <v>940</v>
      </c>
      <c r="C793" s="6" t="s">
        <v>287</v>
      </c>
      <c r="D793" s="28" t="str">
        <f>IF(INICIAL[[#This Row],[CODIGO]]="", "", VLOOKUP(INICIAL[[#This Row],[CODIGO]], PRODUCTOS[#All], 2, FALSE))</f>
        <v>Cinta aislante verde</v>
      </c>
      <c r="E793" s="56">
        <v>7</v>
      </c>
    </row>
    <row r="794" spans="2:5" x14ac:dyDescent="0.2">
      <c r="B794" s="6" t="s">
        <v>940</v>
      </c>
      <c r="C794" s="6" t="s">
        <v>129</v>
      </c>
      <c r="D794" s="28" t="str">
        <f>IF(INICIAL[[#This Row],[CODIGO]]="", "", VLOOKUP(INICIAL[[#This Row],[CODIGO]], PRODUCTOS[#All], 2, FALSE))</f>
        <v>Cinta aislante roja</v>
      </c>
      <c r="E794" s="56">
        <v>1</v>
      </c>
    </row>
    <row r="795" spans="2:5" x14ac:dyDescent="0.2">
      <c r="B795" s="6" t="s">
        <v>940</v>
      </c>
      <c r="C795" s="6" t="s">
        <v>291</v>
      </c>
      <c r="D795" s="28" t="str">
        <f>IF(INICIAL[[#This Row],[CODIGO]]="", "", VLOOKUP(INICIAL[[#This Row],[CODIGO]], PRODUCTOS[#All], 2, FALSE))</f>
        <v>Cinta aislante gris</v>
      </c>
      <c r="E795" s="56">
        <v>4</v>
      </c>
    </row>
    <row r="796" spans="2:5" x14ac:dyDescent="0.2">
      <c r="B796" s="6" t="s">
        <v>940</v>
      </c>
      <c r="C796" s="6" t="s">
        <v>289</v>
      </c>
      <c r="D796" s="28" t="str">
        <f>IF(INICIAL[[#This Row],[CODIGO]]="", "", VLOOKUP(INICIAL[[#This Row],[CODIGO]], PRODUCTOS[#All], 2, FALSE))</f>
        <v>Cinta aislante amarilla</v>
      </c>
      <c r="E796" s="56">
        <v>4</v>
      </c>
    </row>
    <row r="797" spans="2:5" x14ac:dyDescent="0.2">
      <c r="B797" s="6" t="s">
        <v>940</v>
      </c>
      <c r="C797" s="6" t="s">
        <v>223</v>
      </c>
      <c r="D797" s="28" t="str">
        <f>IF(INICIAL[[#This Row],[CODIGO]]="", "", VLOOKUP(INICIAL[[#This Row],[CODIGO]], PRODUCTOS[#All], 2, FALSE))</f>
        <v>Caimanes de repuesto (paq 4)</v>
      </c>
      <c r="E797" s="56">
        <v>2</v>
      </c>
    </row>
    <row r="798" spans="2:5" x14ac:dyDescent="0.2">
      <c r="B798" s="6" t="s">
        <v>940</v>
      </c>
      <c r="C798" s="6" t="s">
        <v>125</v>
      </c>
      <c r="D798" s="28" t="str">
        <f>IF(INICIAL[[#This Row],[CODIGO]]="", "", VLOOKUP(INICIAL[[#This Row],[CODIGO]], PRODUCTOS[#All], 2, FALSE))</f>
        <v>Cara demoledora 4lb</v>
      </c>
      <c r="E798" s="56">
        <v>1</v>
      </c>
    </row>
    <row r="799" spans="2:5" x14ac:dyDescent="0.2">
      <c r="B799" s="6" t="s">
        <v>940</v>
      </c>
      <c r="C799" s="6" t="s">
        <v>43</v>
      </c>
      <c r="D799" s="28" t="str">
        <f>IF(INICIAL[[#This Row],[CODIGO]]="", "", VLOOKUP(INICIAL[[#This Row],[CODIGO]], PRODUCTOS[#All], 2, FALSE))</f>
        <v>Cinta 3M 165 (Equipamiento)</v>
      </c>
      <c r="E799" s="56">
        <v>140</v>
      </c>
    </row>
    <row r="800" spans="2:5" x14ac:dyDescent="0.2">
      <c r="B800" s="6" t="s">
        <v>940</v>
      </c>
      <c r="C800" s="6" t="s">
        <v>47</v>
      </c>
      <c r="D800" s="28" t="str">
        <f>IF(INICIAL[[#This Row],[CODIGO]]="", "", VLOOKUP(INICIAL[[#This Row],[CODIGO]], PRODUCTOS[#All], 2, FALSE))</f>
        <v>Cinta 3M 155 (Aforo)</v>
      </c>
      <c r="E800" s="56">
        <v>148</v>
      </c>
    </row>
    <row r="801" spans="2:5" x14ac:dyDescent="0.2">
      <c r="B801" s="6" t="s">
        <v>940</v>
      </c>
      <c r="C801" s="6" t="s">
        <v>69</v>
      </c>
      <c r="D801" s="28" t="str">
        <f>IF(INICIAL[[#This Row],[CODIGO]]="", "", VLOOKUP(INICIAL[[#This Row],[CODIGO]], PRODUCTOS[#All], 2, FALSE))</f>
        <v>Cinta  130C</v>
      </c>
      <c r="E801" s="56">
        <v>42</v>
      </c>
    </row>
    <row r="802" spans="2:5" x14ac:dyDescent="0.2">
      <c r="B802" s="6" t="s">
        <v>940</v>
      </c>
      <c r="C802" s="6" t="s">
        <v>295</v>
      </c>
      <c r="D802" s="28" t="str">
        <f>IF(INICIAL[[#This Row],[CODIGO]]="", "", VLOOKUP(INICIAL[[#This Row],[CODIGO]], PRODUCTOS[#All], 2, FALSE))</f>
        <v>Buje de goma</v>
      </c>
      <c r="E802" s="56">
        <v>4</v>
      </c>
    </row>
    <row r="803" spans="2:5" x14ac:dyDescent="0.2">
      <c r="B803" s="6" t="s">
        <v>940</v>
      </c>
      <c r="C803" s="6" t="s">
        <v>231</v>
      </c>
      <c r="D803" s="28" t="str">
        <f>IF(INICIAL[[#This Row],[CODIGO]]="", "", VLOOKUP(INICIAL[[#This Row],[CODIGO]], PRODUCTOS[#All], 2, FALSE))</f>
        <v>Broca 8mm</v>
      </c>
      <c r="E803" s="56">
        <v>2</v>
      </c>
    </row>
    <row r="804" spans="2:5" x14ac:dyDescent="0.2">
      <c r="B804" s="6" t="s">
        <v>940</v>
      </c>
      <c r="C804" s="6" t="s">
        <v>235</v>
      </c>
      <c r="D804" s="28" t="str">
        <f>IF(INICIAL[[#This Row],[CODIGO]]="", "", VLOOKUP(INICIAL[[#This Row],[CODIGO]], PRODUCTOS[#All], 2, FALSE))</f>
        <v>Broca 6mm</v>
      </c>
      <c r="E804" s="56">
        <v>2</v>
      </c>
    </row>
    <row r="805" spans="2:5" x14ac:dyDescent="0.2">
      <c r="B805" s="6" t="s">
        <v>940</v>
      </c>
      <c r="C805" s="6" t="s">
        <v>233</v>
      </c>
      <c r="D805" s="28" t="str">
        <f>IF(INICIAL[[#This Row],[CODIGO]]="", "", VLOOKUP(INICIAL[[#This Row],[CODIGO]], PRODUCTOS[#All], 2, FALSE))</f>
        <v>Broca 6.5mm</v>
      </c>
      <c r="E805" s="56">
        <v>2</v>
      </c>
    </row>
    <row r="806" spans="2:5" x14ac:dyDescent="0.2">
      <c r="B806" s="6" t="s">
        <v>940</v>
      </c>
      <c r="C806" s="6" t="s">
        <v>237</v>
      </c>
      <c r="D806" s="28" t="str">
        <f>IF(INICIAL[[#This Row],[CODIGO]]="", "", VLOOKUP(INICIAL[[#This Row],[CODIGO]], PRODUCTOS[#All], 2, FALSE))</f>
        <v>Broca 5mm</v>
      </c>
      <c r="E806" s="56">
        <v>9</v>
      </c>
    </row>
    <row r="807" spans="2:5" x14ac:dyDescent="0.2">
      <c r="B807" s="6" t="s">
        <v>940</v>
      </c>
      <c r="C807" s="6" t="s">
        <v>119</v>
      </c>
      <c r="D807" s="28" t="str">
        <f>IF(INICIAL[[#This Row],[CODIGO]]="", "", VLOOKUP(INICIAL[[#This Row],[CODIGO]], PRODUCTOS[#All], 2, FALSE))</f>
        <v>Broca 5.5mm</v>
      </c>
      <c r="E807" s="56">
        <v>1</v>
      </c>
    </row>
    <row r="808" spans="2:5" x14ac:dyDescent="0.2">
      <c r="B808" s="6" t="s">
        <v>940</v>
      </c>
      <c r="C808" s="6" t="s">
        <v>239</v>
      </c>
      <c r="D808" s="28" t="str">
        <f>IF(INICIAL[[#This Row],[CODIGO]]="", "", VLOOKUP(INICIAL[[#This Row],[CODIGO]], PRODUCTOS[#All], 2, FALSE))</f>
        <v>Broca 4mm</v>
      </c>
      <c r="E808" s="56">
        <v>3</v>
      </c>
    </row>
    <row r="809" spans="2:5" x14ac:dyDescent="0.2">
      <c r="B809" s="6" t="s">
        <v>940</v>
      </c>
      <c r="C809" s="6" t="s">
        <v>121</v>
      </c>
      <c r="D809" s="28" t="str">
        <f>IF(INICIAL[[#This Row],[CODIGO]]="", "", VLOOKUP(INICIAL[[#This Row],[CODIGO]], PRODUCTOS[#All], 2, FALSE))</f>
        <v>Broca 4.5mm</v>
      </c>
      <c r="E809" s="56">
        <v>2</v>
      </c>
    </row>
    <row r="810" spans="2:5" x14ac:dyDescent="0.2">
      <c r="B810" s="6" t="s">
        <v>940</v>
      </c>
      <c r="C810" s="6" t="s">
        <v>245</v>
      </c>
      <c r="D810" s="28" t="str">
        <f>IF(INICIAL[[#This Row],[CODIGO]]="", "", VLOOKUP(INICIAL[[#This Row],[CODIGO]], PRODUCTOS[#All], 2, FALSE))</f>
        <v>Broca 3mm</v>
      </c>
      <c r="E810" s="56">
        <v>14</v>
      </c>
    </row>
    <row r="811" spans="2:5" x14ac:dyDescent="0.2">
      <c r="B811" s="6" t="s">
        <v>940</v>
      </c>
      <c r="C811" s="6" t="s">
        <v>445</v>
      </c>
      <c r="D811" s="28" t="str">
        <f>IF(INICIAL[[#This Row],[CODIGO]]="", "", VLOOKUP(INICIAL[[#This Row],[CODIGO]], PRODUCTOS[#All], 2, FALSE))</f>
        <v>Brocas 3/16" truper</v>
      </c>
      <c r="E811" s="56">
        <v>4</v>
      </c>
    </row>
    <row r="812" spans="2:5" x14ac:dyDescent="0.2">
      <c r="B812" s="6" t="s">
        <v>940</v>
      </c>
      <c r="C812" s="6" t="s">
        <v>241</v>
      </c>
      <c r="D812" s="28" t="str">
        <f>IF(INICIAL[[#This Row],[CODIGO]]="", "", VLOOKUP(INICIAL[[#This Row],[CODIGO]], PRODUCTOS[#All], 2, FALSE))</f>
        <v>Broca 3.5mm</v>
      </c>
      <c r="E812" s="56">
        <v>7</v>
      </c>
    </row>
    <row r="813" spans="2:5" x14ac:dyDescent="0.2">
      <c r="B813" s="6" t="s">
        <v>940</v>
      </c>
      <c r="C813" s="6" t="s">
        <v>243</v>
      </c>
      <c r="D813" s="28" t="str">
        <f>IF(INICIAL[[#This Row],[CODIGO]]="", "", VLOOKUP(INICIAL[[#This Row],[CODIGO]], PRODUCTOS[#All], 2, FALSE))</f>
        <v>Broca 3.2mm</v>
      </c>
      <c r="E813" s="56">
        <v>9</v>
      </c>
    </row>
    <row r="814" spans="2:5" x14ac:dyDescent="0.2">
      <c r="B814" s="6" t="s">
        <v>940</v>
      </c>
      <c r="C814" s="6" t="s">
        <v>249</v>
      </c>
      <c r="D814" s="28" t="str">
        <f>IF(INICIAL[[#This Row],[CODIGO]]="", "", VLOOKUP(INICIAL[[#This Row],[CODIGO]], PRODUCTOS[#All], 2, FALSE))</f>
        <v>Broca 2mm</v>
      </c>
      <c r="E814" s="56">
        <v>17</v>
      </c>
    </row>
    <row r="815" spans="2:5" x14ac:dyDescent="0.2">
      <c r="B815" s="6" t="s">
        <v>940</v>
      </c>
      <c r="C815" s="6" t="s">
        <v>247</v>
      </c>
      <c r="D815" s="28" t="str">
        <f>IF(INICIAL[[#This Row],[CODIGO]]="", "", VLOOKUP(INICIAL[[#This Row],[CODIGO]], PRODUCTOS[#All], 2, FALSE))</f>
        <v>Broca 2.5mm</v>
      </c>
      <c r="E815" s="56">
        <v>10</v>
      </c>
    </row>
    <row r="816" spans="2:5" x14ac:dyDescent="0.2">
      <c r="B816" s="6" t="s">
        <v>940</v>
      </c>
      <c r="C816" s="6" t="s">
        <v>447</v>
      </c>
      <c r="D816" s="28" t="str">
        <f>IF(INICIAL[[#This Row],[CODIGO]]="", "", VLOOKUP(INICIAL[[#This Row],[CODIGO]], PRODUCTOS[#All], 2, FALSE))</f>
        <v>Brocas 1/4" truper</v>
      </c>
      <c r="E816" s="56">
        <v>3</v>
      </c>
    </row>
    <row r="817" spans="2:5" x14ac:dyDescent="0.2">
      <c r="B817" s="6" t="s">
        <v>940</v>
      </c>
      <c r="C817" s="6" t="s">
        <v>251</v>
      </c>
      <c r="D817" s="28" t="str">
        <f>IF(INICIAL[[#This Row],[CODIGO]]="", "", VLOOKUP(INICIAL[[#This Row],[CODIGO]], PRODUCTOS[#All], 2, FALSE))</f>
        <v>Broca 1.5mm</v>
      </c>
      <c r="E817" s="56">
        <v>16</v>
      </c>
    </row>
    <row r="818" spans="2:5" x14ac:dyDescent="0.2">
      <c r="B818" s="6" t="s">
        <v>940</v>
      </c>
      <c r="C818" s="6" t="s">
        <v>463</v>
      </c>
      <c r="D818" s="28" t="str">
        <f>IF(INICIAL[[#This Row],[CODIGO]]="", "", VLOOKUP(INICIAL[[#This Row],[CODIGO]], PRODUCTOS[#All], 2, FALSE))</f>
        <v>Bisagra acero inoxidable 4"x3"x2.5" (pares)</v>
      </c>
      <c r="E818" s="56">
        <v>3</v>
      </c>
    </row>
    <row r="819" spans="2:5" x14ac:dyDescent="0.2">
      <c r="B819" s="6" t="s">
        <v>940</v>
      </c>
      <c r="C819" s="6" t="s">
        <v>453</v>
      </c>
      <c r="D819" s="28" t="str">
        <f>IF(INICIAL[[#This Row],[CODIGO]]="", "", VLOOKUP(INICIAL[[#This Row],[CODIGO]], PRODUCTOS[#All], 2, FALSE))</f>
        <v>Arco de solera para segueta 12"</v>
      </c>
      <c r="E819" s="56">
        <v>3</v>
      </c>
    </row>
    <row r="820" spans="2:5" x14ac:dyDescent="0.2">
      <c r="B820" s="6" t="s">
        <v>940</v>
      </c>
      <c r="C820" s="6" t="s">
        <v>259</v>
      </c>
      <c r="D820" s="28" t="str">
        <f>IF(INICIAL[[#This Row],[CODIGO]]="", "", VLOOKUP(INICIAL[[#This Row],[CODIGO]], PRODUCTOS[#All], 2, FALSE))</f>
        <v>Arco con cegueta 12"</v>
      </c>
      <c r="E820" s="56">
        <v>1</v>
      </c>
    </row>
    <row r="821" spans="2:5" x14ac:dyDescent="0.2">
      <c r="B821" s="6" t="s">
        <v>940</v>
      </c>
      <c r="C821" s="6" t="s">
        <v>167</v>
      </c>
      <c r="D821" s="28" t="str">
        <f>IF(INICIAL[[#This Row],[CODIGO]]="", "", VLOOKUP(INICIAL[[#This Row],[CODIGO]], PRODUCTOS[#All], 2, FALSE))</f>
        <v>Antichispa 477gr</v>
      </c>
      <c r="E821" s="56">
        <v>1</v>
      </c>
    </row>
    <row r="822" spans="2:5" x14ac:dyDescent="0.2">
      <c r="B822" s="6" t="s">
        <v>940</v>
      </c>
      <c r="C822" s="6" t="s">
        <v>465</v>
      </c>
      <c r="D822" s="28" t="str">
        <f>IF(INICIAL[[#This Row],[CODIGO]]="", "", VLOOKUP(INICIAL[[#This Row],[CODIGO]], PRODUCTOS[#All], 2, FALSE))</f>
        <v>Abrazadera de liberación rápida 4"</v>
      </c>
      <c r="E822" s="56">
        <v>4</v>
      </c>
    </row>
    <row r="823" spans="2:5" x14ac:dyDescent="0.2">
      <c r="B823" s="6" t="s">
        <v>940</v>
      </c>
      <c r="C823" s="6" t="s">
        <v>473</v>
      </c>
      <c r="D823" s="28" t="str">
        <f>IF(INICIAL[[#This Row],[CODIGO]]="", "", VLOOKUP(INICIAL[[#This Row],[CODIGO]], PRODUCTOS[#All], 2, FALSE))</f>
        <v xml:space="preserve">Juego de piedras montadas truper </v>
      </c>
      <c r="E823" s="56">
        <v>2</v>
      </c>
    </row>
    <row r="824" spans="2:5" x14ac:dyDescent="0.2">
      <c r="B824" s="6" t="s">
        <v>940</v>
      </c>
      <c r="C824" s="6" t="s">
        <v>151</v>
      </c>
      <c r="D824" s="28" t="str">
        <f>IF(INICIAL[[#This Row],[CODIGO]]="", "", VLOOKUP(INICIAL[[#This Row],[CODIGO]], PRODUCTOS[#All], 2, FALSE))</f>
        <v>Alcohol isopropílico 280ml</v>
      </c>
      <c r="E824" s="56">
        <v>4</v>
      </c>
    </row>
    <row r="825" spans="2:5" x14ac:dyDescent="0.2">
      <c r="B825" s="6" t="s">
        <v>940</v>
      </c>
      <c r="C825" s="6" t="s">
        <v>149</v>
      </c>
      <c r="D825" s="28" t="str">
        <f>IF(INICIAL[[#This Row],[CODIGO]]="", "", VLOOKUP(INICIAL[[#This Row],[CODIGO]], PRODUCTOS[#All], 2, FALSE))</f>
        <v>Alcohol isopropílico 1L</v>
      </c>
      <c r="E825" s="56">
        <v>4</v>
      </c>
    </row>
    <row r="826" spans="2:5" x14ac:dyDescent="0.2">
      <c r="B826" s="6" t="s">
        <v>940</v>
      </c>
      <c r="C826" s="6" t="s">
        <v>163</v>
      </c>
      <c r="D826" s="28" t="str">
        <f>IF(INICIAL[[#This Row],[CODIGO]]="", "", VLOOKUP(INICIAL[[#This Row],[CODIGO]], PRODUCTOS[#All], 2, FALSE))</f>
        <v>Alcohol etílico 1L</v>
      </c>
      <c r="E826" s="56">
        <v>1</v>
      </c>
    </row>
    <row r="827" spans="2:5" x14ac:dyDescent="0.2">
      <c r="B827" s="6" t="s">
        <v>940</v>
      </c>
      <c r="C827" s="6" t="s">
        <v>79</v>
      </c>
      <c r="D827" s="28" t="str">
        <f>IF(INICIAL[[#This Row],[CODIGO]]="", "", VLOOKUP(INICIAL[[#This Row],[CODIGO]], PRODUCTOS[#All], 2, FALSE))</f>
        <v>Rollo alambre cal. 10</v>
      </c>
      <c r="E827" s="56">
        <v>1</v>
      </c>
    </row>
    <row r="828" spans="2:5" x14ac:dyDescent="0.2">
      <c r="B828" s="6" t="s">
        <v>940</v>
      </c>
      <c r="C828" s="6" t="s">
        <v>99</v>
      </c>
      <c r="D828" s="28" t="str">
        <f>IF(INICIAL[[#This Row],[CODIGO]]="", "", VLOOKUP(INICIAL[[#This Row],[CODIGO]], PRODUCTOS[#All], 2, FALSE))</f>
        <v>Aflojatodo 550ml</v>
      </c>
      <c r="E828" s="56">
        <v>3</v>
      </c>
    </row>
    <row r="829" spans="2:5" x14ac:dyDescent="0.2">
      <c r="B829" s="6" t="s">
        <v>940</v>
      </c>
      <c r="C829" s="6" t="s">
        <v>101</v>
      </c>
      <c r="D829" s="28" t="str">
        <f>IF(INICIAL[[#This Row],[CODIGO]]="", "", VLOOKUP(INICIAL[[#This Row],[CODIGO]], PRODUCTOS[#All], 2, FALSE))</f>
        <v xml:space="preserve">Aflojatodo 400ml </v>
      </c>
      <c r="E829" s="56">
        <v>6</v>
      </c>
    </row>
    <row r="830" spans="2:5" x14ac:dyDescent="0.2">
      <c r="B830" s="6" t="s">
        <v>940</v>
      </c>
      <c r="C830" s="6" t="s">
        <v>411</v>
      </c>
      <c r="D830" s="28" t="str">
        <f>IF(INICIAL[[#This Row],[CODIGO]]="", "", VLOOKUP(INICIAL[[#This Row],[CODIGO]], PRODUCTOS[#All], 2, FALSE))</f>
        <v>Pintura en aerosol verde 400ml</v>
      </c>
      <c r="E830" s="56">
        <v>1</v>
      </c>
    </row>
    <row r="831" spans="2:5" x14ac:dyDescent="0.2">
      <c r="B831" s="6" t="s">
        <v>940</v>
      </c>
      <c r="C831" s="6" t="s">
        <v>413</v>
      </c>
      <c r="D831" s="28" t="str">
        <f>IF(INICIAL[[#This Row],[CODIGO]]="", "", VLOOKUP(INICIAL[[#This Row],[CODIGO]], PRODUCTOS[#All], 2, FALSE))</f>
        <v>Pintura en aerosol azul 400ml</v>
      </c>
      <c r="E831" s="56">
        <v>1</v>
      </c>
    </row>
    <row r="832" spans="2:5" x14ac:dyDescent="0.2">
      <c r="B832" s="6" t="s">
        <v>940</v>
      </c>
      <c r="C832" s="6" t="s">
        <v>475</v>
      </c>
      <c r="D832" s="28" t="str">
        <f>IF(INICIAL[[#This Row],[CODIGO]]="", "", VLOOKUP(INICIAL[[#This Row],[CODIGO]], PRODUCTOS[#All], 2, FALSE))</f>
        <v>Adaptador taladro angulo 105 (juego 9pzs)</v>
      </c>
      <c r="E832" s="56">
        <v>1</v>
      </c>
    </row>
    <row r="833" spans="2:5" x14ac:dyDescent="0.2">
      <c r="B833" s="6" t="s">
        <v>940</v>
      </c>
      <c r="C833" s="6" t="s">
        <v>433</v>
      </c>
      <c r="D833" s="28" t="str">
        <f>IF(INICIAL[[#This Row],[CODIGO]]="", "", VLOOKUP(INICIAL[[#This Row],[CODIGO]], PRODUCTOS[#All], 2, FALSE))</f>
        <v>Adhesico epóxico 30g</v>
      </c>
      <c r="E833" s="56">
        <v>4</v>
      </c>
    </row>
    <row r="834" spans="2:5" x14ac:dyDescent="0.2">
      <c r="B834" s="6" t="s">
        <v>940</v>
      </c>
      <c r="C834" s="6" t="s">
        <v>285</v>
      </c>
      <c r="D834" s="28" t="str">
        <f>IF(INICIAL[[#This Row],[CODIGO]]="", "", VLOOKUP(INICIAL[[#This Row],[CODIGO]], PRODUCTOS[#All], 2, FALSE))</f>
        <v>Acoplador de tierras fisicas</v>
      </c>
      <c r="E834" s="56">
        <v>1</v>
      </c>
    </row>
    <row r="835" spans="2:5" x14ac:dyDescent="0.2">
      <c r="B835" s="6" t="s">
        <v>940</v>
      </c>
      <c r="C835" s="6" t="s">
        <v>169</v>
      </c>
      <c r="D835" s="28" t="str">
        <f>IF(INICIAL[[#This Row],[CODIGO]]="", "", VLOOKUP(INICIAL[[#This Row],[CODIGO]], PRODUCTOS[#All], 2, FALSE))</f>
        <v>Aceite para motores de gasolina 1L</v>
      </c>
      <c r="E835" s="56">
        <v>0</v>
      </c>
    </row>
    <row r="836" spans="2:5" x14ac:dyDescent="0.2">
      <c r="B836" s="6" t="s">
        <v>940</v>
      </c>
      <c r="C836" s="6" t="s">
        <v>319</v>
      </c>
      <c r="D836" s="28" t="str">
        <f>IF(INICIAL[[#This Row],[CODIGO]]="", "", VLOOKUP(INICIAL[[#This Row],[CODIGO]], PRODUCTOS[#All], 2, FALSE))</f>
        <v>Abrazadera chica</v>
      </c>
      <c r="E836" s="56">
        <v>45</v>
      </c>
    </row>
    <row r="837" spans="2:5" x14ac:dyDescent="0.2">
      <c r="B837" s="6" t="s">
        <v>940</v>
      </c>
      <c r="C837" s="6" t="s">
        <v>315</v>
      </c>
      <c r="D837" s="28" t="str">
        <f>IF(INICIAL[[#This Row],[CODIGO]]="", "", VLOOKUP(INICIAL[[#This Row],[CODIGO]], PRODUCTOS[#All], 2, FALSE))</f>
        <v>Abrazadera 5/8 a 1 1/4"</v>
      </c>
      <c r="E837" s="56">
        <v>7</v>
      </c>
    </row>
    <row r="838" spans="2:5" x14ac:dyDescent="0.2">
      <c r="B838" s="6" t="s">
        <v>940</v>
      </c>
      <c r="C838" s="6" t="s">
        <v>111</v>
      </c>
      <c r="D838" s="28" t="str">
        <f>IF(INICIAL[[#This Row],[CODIGO]]="", "", VLOOKUP(INICIAL[[#This Row],[CODIGO]], PRODUCTOS[#All], 2, FALSE))</f>
        <v>Sujetardor con matraca 8.23m</v>
      </c>
      <c r="E838" s="56">
        <v>16</v>
      </c>
    </row>
    <row r="839" spans="2:5" x14ac:dyDescent="0.2">
      <c r="B839" s="6" t="s">
        <v>940</v>
      </c>
      <c r="C839" s="6" t="s">
        <v>764</v>
      </c>
      <c r="D839" s="28" t="str">
        <f>IF(INICIAL[[#This Row],[CODIGO]]="", "", VLOOKUP(INICIAL[[#This Row],[CODIGO]], PRODUCTOS[#All], 2, FALSE))</f>
        <v>Terrometro digital DUOYI 20 - 2000 OHMS</v>
      </c>
      <c r="E839" s="56">
        <v>1</v>
      </c>
    </row>
    <row r="840" spans="2:5" x14ac:dyDescent="0.2">
      <c r="B840" s="6" t="s">
        <v>940</v>
      </c>
      <c r="C840" s="6" t="s">
        <v>756</v>
      </c>
      <c r="D840" s="28" t="str">
        <f>IF(INICIAL[[#This Row],[CODIGO]]="", "", VLOOKUP(INICIAL[[#This Row],[CODIGO]], PRODUCTOS[#All], 2, FALSE))</f>
        <v xml:space="preserve">Pistola-camara Termografica  UNIT-T UTi260B </v>
      </c>
      <c r="E840" s="56">
        <v>1</v>
      </c>
    </row>
    <row r="841" spans="2:5" x14ac:dyDescent="0.2">
      <c r="B841" s="6" t="s">
        <v>940</v>
      </c>
      <c r="C841" s="6" t="s">
        <v>752</v>
      </c>
      <c r="D841" s="28" t="str">
        <f>IF(INICIAL[[#This Row],[CODIGO]]="", "", VLOOKUP(INICIAL[[#This Row],[CODIGO]], PRODUCTOS[#All], 2, FALSE))</f>
        <v>Pistola de temperatura MESTEK IR01D</v>
      </c>
      <c r="E841" s="56">
        <v>1</v>
      </c>
    </row>
    <row r="842" spans="2:5" x14ac:dyDescent="0.2">
      <c r="B842" s="6" t="s">
        <v>940</v>
      </c>
      <c r="C842" s="6" t="s">
        <v>766</v>
      </c>
      <c r="D842" s="28" t="str">
        <f>IF(INICIAL[[#This Row],[CODIGO]]="", "", VLOOKUP(INICIAL[[#This Row],[CODIGO]], PRODUCTOS[#All], 2, FALSE))</f>
        <v xml:space="preserve">Pinza terrómica UNIT-T UT278A+ </v>
      </c>
      <c r="E842" s="56">
        <v>1</v>
      </c>
    </row>
    <row r="843" spans="2:5" x14ac:dyDescent="0.2">
      <c r="B843" s="6" t="s">
        <v>940</v>
      </c>
      <c r="C843" s="6" t="s">
        <v>748</v>
      </c>
      <c r="D843" s="28" t="str">
        <f>IF(INICIAL[[#This Row],[CODIGO]]="", "", VLOOKUP(INICIAL[[#This Row],[CODIGO]], PRODUCTOS[#All], 2, FALSE))</f>
        <v>Multimetro intelgente FNIRSI 600A 600V</v>
      </c>
      <c r="E843" s="56">
        <v>1</v>
      </c>
    </row>
    <row r="844" spans="2:5" x14ac:dyDescent="0.2">
      <c r="B844" s="6" t="s">
        <v>940</v>
      </c>
      <c r="C844" s="6" t="s">
        <v>754</v>
      </c>
      <c r="D844" s="28" t="str">
        <f>IF(INICIAL[[#This Row],[CODIGO]]="", "", VLOOKUP(INICIAL[[#This Row],[CODIGO]], PRODUCTOS[#All], 2, FALSE))</f>
        <v>Mini tacometro UNIT-T UT373</v>
      </c>
      <c r="E844" s="56">
        <v>1</v>
      </c>
    </row>
    <row r="845" spans="2:5" x14ac:dyDescent="0.2">
      <c r="B845" s="6" t="s">
        <v>940</v>
      </c>
      <c r="C845" s="6" t="s">
        <v>768</v>
      </c>
      <c r="D845" s="28" t="str">
        <f>IF(INICIAL[[#This Row],[CODIGO]]="", "", VLOOKUP(INICIAL[[#This Row],[CODIGO]], PRODUCTOS[#All], 2, FALSE))</f>
        <v>Megger FLUKE 1587 1000V</v>
      </c>
      <c r="E845" s="56">
        <v>1</v>
      </c>
    </row>
    <row r="846" spans="2:5" x14ac:dyDescent="0.2">
      <c r="B846" s="6" t="s">
        <v>940</v>
      </c>
      <c r="C846" s="6" t="s">
        <v>758</v>
      </c>
      <c r="D846" s="28" t="str">
        <f>IF(INICIAL[[#This Row],[CODIGO]]="", "", VLOOKUP(INICIAL[[#This Row],[CODIGO]], PRODUCTOS[#All], 2, FALSE))</f>
        <v>Megger UNIT-T UT512 2500V</v>
      </c>
      <c r="E846" s="56">
        <v>1</v>
      </c>
    </row>
    <row r="847" spans="2:5" x14ac:dyDescent="0.2">
      <c r="B847" s="6" t="s">
        <v>940</v>
      </c>
      <c r="C847" s="6" t="s">
        <v>760</v>
      </c>
      <c r="D847" s="28" t="str">
        <f>IF(INICIAL[[#This Row],[CODIGO]]="", "", VLOOKUP(INICIAL[[#This Row],[CODIGO]], PRODUCTOS[#All], 2, FALSE))</f>
        <v xml:space="preserve">Medidor de vibración WINTAC WT63B </v>
      </c>
      <c r="E847" s="56">
        <v>1</v>
      </c>
    </row>
    <row r="848" spans="2:5" x14ac:dyDescent="0.2">
      <c r="B848" s="6" t="s">
        <v>940</v>
      </c>
      <c r="C848" s="6" t="s">
        <v>770</v>
      </c>
      <c r="D848" s="28" t="str">
        <f>IF(INICIAL[[#This Row],[CODIGO]]="", "", VLOOKUP(INICIAL[[#This Row],[CODIGO]], PRODUCTOS[#All], 2, FALSE))</f>
        <v xml:space="preserve">Medidor de flujo Ultrasonico ABDT-LCT-S </v>
      </c>
      <c r="E848" s="56">
        <v>1</v>
      </c>
    </row>
    <row r="849" spans="2:5" x14ac:dyDescent="0.2">
      <c r="B849" s="6" t="s">
        <v>940</v>
      </c>
      <c r="C849" s="6" t="s">
        <v>750</v>
      </c>
      <c r="D849" s="28" t="str">
        <f>IF(INICIAL[[#This Row],[CODIGO]]="", "", VLOOKUP(INICIAL[[#This Row],[CODIGO]], PRODUCTOS[#All], 2, FALSE))</f>
        <v>Indicador de rotación UNIT-T UT261B 600V</v>
      </c>
      <c r="E849" s="56">
        <v>1</v>
      </c>
    </row>
    <row r="850" spans="2:5" x14ac:dyDescent="0.2">
      <c r="B850" s="6" t="s">
        <v>940</v>
      </c>
      <c r="C850" s="6" t="s">
        <v>762</v>
      </c>
      <c r="D850" s="28" t="str">
        <f>IF(INICIAL[[#This Row],[CODIGO]]="", "", VLOOKUP(INICIAL[[#This Row],[CODIGO]], PRODUCTOS[#All], 2, FALSE))</f>
        <v>Anemometro UNIT-T UT63S</v>
      </c>
      <c r="E850" s="56">
        <v>1</v>
      </c>
    </row>
    <row r="851" spans="2:5" x14ac:dyDescent="0.2">
      <c r="B851" s="6" t="s">
        <v>940</v>
      </c>
      <c r="C851" s="6" t="s">
        <v>716</v>
      </c>
      <c r="D851" s="28" t="str">
        <f>IF(INICIAL[[#This Row],[CODIGO]]="", "", VLOOKUP(INICIAL[[#This Row],[CODIGO]], PRODUCTOS[#All], 2, FALSE))</f>
        <v>Respirador media cara</v>
      </c>
      <c r="E851" s="56">
        <v>0</v>
      </c>
    </row>
    <row r="852" spans="2:5" x14ac:dyDescent="0.2">
      <c r="B852" s="6" t="s">
        <v>940</v>
      </c>
      <c r="C852" s="6" t="s">
        <v>730</v>
      </c>
      <c r="D852" s="28" t="str">
        <f>IF(INICIAL[[#This Row],[CODIGO]]="", "", VLOOKUP(INICIAL[[#This Row],[CODIGO]], PRODUCTOS[#All], 2, FALSE))</f>
        <v>Protector facial de malla</v>
      </c>
      <c r="E852" s="56">
        <v>5</v>
      </c>
    </row>
    <row r="853" spans="2:5" x14ac:dyDescent="0.2">
      <c r="B853" s="6" t="s">
        <v>940</v>
      </c>
      <c r="C853" s="6" t="s">
        <v>738</v>
      </c>
      <c r="D853" s="28" t="str">
        <f>IF(INICIAL[[#This Row],[CODIGO]]="", "", VLOOKUP(INICIAL[[#This Row],[CODIGO]], PRODUCTOS[#All], 2, FALSE))</f>
        <v xml:space="preserve">Overol laminado </v>
      </c>
      <c r="E853" s="56">
        <v>23</v>
      </c>
    </row>
    <row r="854" spans="2:5" x14ac:dyDescent="0.2">
      <c r="B854" s="6" t="s">
        <v>940</v>
      </c>
      <c r="C854" s="6" t="s">
        <v>744</v>
      </c>
      <c r="D854" s="28" t="str">
        <f>IF(INICIAL[[#This Row],[CODIGO]]="", "", VLOOKUP(INICIAL[[#This Row],[CODIGO]], PRODUCTOS[#All], 2, FALSE))</f>
        <v>Mangas de carnaza (pares)</v>
      </c>
      <c r="E854" s="56">
        <v>12</v>
      </c>
    </row>
    <row r="855" spans="2:5" x14ac:dyDescent="0.2">
      <c r="B855" s="6" t="s">
        <v>940</v>
      </c>
      <c r="C855" s="6" t="s">
        <v>742</v>
      </c>
      <c r="D855" s="28" t="str">
        <f>IF(INICIAL[[#This Row],[CODIGO]]="", "", VLOOKUP(INICIAL[[#This Row],[CODIGO]], PRODUCTOS[#All], 2, FALSE))</f>
        <v>Mandiles de carnaza</v>
      </c>
      <c r="E855" s="56">
        <v>12</v>
      </c>
    </row>
    <row r="856" spans="2:5" x14ac:dyDescent="0.2">
      <c r="B856" s="6" t="s">
        <v>940</v>
      </c>
      <c r="C856" s="6" t="s">
        <v>710</v>
      </c>
      <c r="D856" s="28" t="str">
        <f>IF(INICIAL[[#This Row],[CODIGO]]="", "", VLOOKUP(INICIAL[[#This Row],[CODIGO]], PRODUCTOS[#All], 2, FALSE))</f>
        <v>Lentes tipo nemesis azul</v>
      </c>
      <c r="E856" s="56">
        <v>9</v>
      </c>
    </row>
    <row r="857" spans="2:5" x14ac:dyDescent="0.2">
      <c r="B857" s="6" t="s">
        <v>940</v>
      </c>
      <c r="C857" s="6" t="s">
        <v>704</v>
      </c>
      <c r="D857" s="28" t="str">
        <f>IF(INICIAL[[#This Row],[CODIGO]]="", "", VLOOKUP(INICIAL[[#This Row],[CODIGO]], PRODUCTOS[#All], 2, FALSE))</f>
        <v>Lentes transparentes</v>
      </c>
      <c r="E857" s="56">
        <v>101</v>
      </c>
    </row>
    <row r="858" spans="2:5" x14ac:dyDescent="0.2">
      <c r="B858" s="6" t="s">
        <v>940</v>
      </c>
      <c r="C858" s="6" t="s">
        <v>712</v>
      </c>
      <c r="D858" s="28" t="str">
        <f>IF(INICIAL[[#This Row],[CODIGO]]="", "", VLOOKUP(INICIAL[[#This Row],[CODIGO]], PRODUCTOS[#All], 2, FALSE))</f>
        <v>Lente para soldar sombra 5</v>
      </c>
      <c r="E858" s="56">
        <v>4</v>
      </c>
    </row>
    <row r="859" spans="2:5" x14ac:dyDescent="0.2">
      <c r="B859" s="6" t="s">
        <v>940</v>
      </c>
      <c r="C859" s="6" t="s">
        <v>708</v>
      </c>
      <c r="D859" s="28" t="str">
        <f>IF(INICIAL[[#This Row],[CODIGO]]="", "", VLOOKUP(INICIAL[[#This Row],[CODIGO]], PRODUCTOS[#All], 2, FALSE))</f>
        <v>Lentes tipo nemesis negro</v>
      </c>
      <c r="E859" s="56">
        <v>12</v>
      </c>
    </row>
    <row r="860" spans="2:5" x14ac:dyDescent="0.2">
      <c r="B860" s="6" t="s">
        <v>940</v>
      </c>
      <c r="C860" s="6" t="s">
        <v>702</v>
      </c>
      <c r="D860" s="28" t="str">
        <f>IF(INICIAL[[#This Row],[CODIGO]]="", "", VLOOKUP(INICIAL[[#This Row],[CODIGO]], PRODUCTOS[#All], 2, FALSE))</f>
        <v>Lentes negros</v>
      </c>
      <c r="E860" s="56">
        <v>99</v>
      </c>
    </row>
    <row r="861" spans="2:5" x14ac:dyDescent="0.2">
      <c r="B861" s="6" t="s">
        <v>940</v>
      </c>
      <c r="C861" s="6" t="s">
        <v>706</v>
      </c>
      <c r="D861" s="28" t="str">
        <f>IF(INICIAL[[#This Row],[CODIGO]]="", "", VLOOKUP(INICIAL[[#This Row],[CODIGO]], PRODUCTOS[#All], 2, FALSE))</f>
        <v xml:space="preserve">Lentes azules </v>
      </c>
      <c r="E861" s="56">
        <v>12</v>
      </c>
    </row>
    <row r="862" spans="2:5" x14ac:dyDescent="0.2">
      <c r="B862" s="6" t="s">
        <v>940</v>
      </c>
      <c r="C862" s="6" t="s">
        <v>740</v>
      </c>
      <c r="D862" s="28" t="str">
        <f>IF(INICIAL[[#This Row],[CODIGO]]="", "", VLOOKUP(INICIAL[[#This Row],[CODIGO]], PRODUCTOS[#All], 2, FALSE))</f>
        <v xml:space="preserve">Impermeable </v>
      </c>
      <c r="E862" s="56">
        <v>12</v>
      </c>
    </row>
    <row r="863" spans="2:5" x14ac:dyDescent="0.2">
      <c r="B863" s="6" t="s">
        <v>940</v>
      </c>
      <c r="C863" s="6" t="s">
        <v>718</v>
      </c>
      <c r="D863" s="28" t="str">
        <f>IF(INICIAL[[#This Row],[CODIGO]]="", "", VLOOKUP(INICIAL[[#This Row],[CODIGO]], PRODUCTOS[#All], 2, FALSE))</f>
        <v>Guantes para soldar rojo (pares)</v>
      </c>
      <c r="E863" s="56">
        <v>6</v>
      </c>
    </row>
    <row r="864" spans="2:5" x14ac:dyDescent="0.2">
      <c r="B864" s="6" t="s">
        <v>940</v>
      </c>
      <c r="C864" s="6" t="s">
        <v>724</v>
      </c>
      <c r="D864" s="28" t="str">
        <f>IF(INICIAL[[#This Row],[CODIGO]]="", "", VLOOKUP(INICIAL[[#This Row],[CODIGO]], PRODUCTOS[#All], 2, FALSE))</f>
        <v>Guantes piel de cabra</v>
      </c>
      <c r="E864" s="56">
        <v>6</v>
      </c>
    </row>
    <row r="865" spans="2:5" x14ac:dyDescent="0.2">
      <c r="B865" s="6" t="s">
        <v>940</v>
      </c>
      <c r="C865" s="6" t="s">
        <v>714</v>
      </c>
      <c r="D865" s="28" t="str">
        <f>IF(INICIAL[[#This Row],[CODIGO]]="", "", VLOOKUP(INICIAL[[#This Row],[CODIGO]], PRODUCTOS[#All], 2, FALSE))</f>
        <v>Gogles de seguridad</v>
      </c>
      <c r="E865" s="56">
        <v>6</v>
      </c>
    </row>
    <row r="866" spans="2:5" x14ac:dyDescent="0.2">
      <c r="B866" s="6" t="s">
        <v>940</v>
      </c>
      <c r="C866" s="6" t="s">
        <v>728</v>
      </c>
      <c r="D866" s="28" t="str">
        <f>IF(INICIAL[[#This Row],[CODIGO]]="", "", VLOOKUP(INICIAL[[#This Row],[CODIGO]], PRODUCTOS[#All], 2, FALSE))</f>
        <v>Guante de nitrilo T.9</v>
      </c>
      <c r="E866" s="56">
        <v>68</v>
      </c>
    </row>
    <row r="867" spans="2:5" x14ac:dyDescent="0.2">
      <c r="B867" s="6" t="s">
        <v>940</v>
      </c>
      <c r="C867" s="6" t="s">
        <v>698</v>
      </c>
      <c r="D867" s="28" t="str">
        <f>IF(INICIAL[[#This Row],[CODIGO]]="", "", VLOOKUP(INICIAL[[#This Row],[CODIGO]], PRODUCTOS[#All], 2, FALSE))</f>
        <v>Guante de nitrilo T.8</v>
      </c>
      <c r="E867" s="56">
        <v>69</v>
      </c>
    </row>
    <row r="868" spans="2:5" x14ac:dyDescent="0.2">
      <c r="B868" s="6" t="s">
        <v>940</v>
      </c>
      <c r="C868" s="6" t="s">
        <v>700</v>
      </c>
      <c r="D868" s="28" t="str">
        <f>IF(INICIAL[[#This Row],[CODIGO]]="", "", VLOOKUP(INICIAL[[#This Row],[CODIGO]], PRODUCTOS[#All], 2, FALSE))</f>
        <v>Guantes de soldar Kevlar azul</v>
      </c>
      <c r="E868" s="56">
        <v>10</v>
      </c>
    </row>
    <row r="869" spans="2:5" x14ac:dyDescent="0.2">
      <c r="B869" s="6" t="s">
        <v>940</v>
      </c>
      <c r="C869" s="6" t="s">
        <v>720</v>
      </c>
      <c r="D869" s="28" t="str">
        <f>IF(INICIAL[[#This Row],[CODIGO]]="", "", VLOOKUP(INICIAL[[#This Row],[CODIGO]], PRODUCTOS[#All], 2, FALSE))</f>
        <v>Guantes dielectricos (pares)</v>
      </c>
      <c r="E869" s="56">
        <v>1</v>
      </c>
    </row>
    <row r="870" spans="2:5" x14ac:dyDescent="0.2">
      <c r="B870" s="6" t="s">
        <v>940</v>
      </c>
      <c r="C870" s="6" t="s">
        <v>696</v>
      </c>
      <c r="D870" s="28" t="str">
        <f>IF(INICIAL[[#This Row],[CODIGO]]="", "", VLOOKUP(INICIAL[[#This Row],[CODIGO]], PRODUCTOS[#All], 2, FALSE))</f>
        <v>Guantes de carnaza</v>
      </c>
      <c r="E870" s="56">
        <v>26</v>
      </c>
    </row>
    <row r="871" spans="2:5" x14ac:dyDescent="0.2">
      <c r="B871" s="6" t="s">
        <v>940</v>
      </c>
      <c r="C871" s="6" t="s">
        <v>722</v>
      </c>
      <c r="D871" s="28" t="str">
        <f>IF(INICIAL[[#This Row],[CODIGO]]="", "", VLOOKUP(INICIAL[[#This Row],[CODIGO]], PRODUCTOS[#All], 2, FALSE))</f>
        <v xml:space="preserve">Guantes antiderrapantes </v>
      </c>
      <c r="E871" s="56">
        <v>10</v>
      </c>
    </row>
    <row r="872" spans="2:5" x14ac:dyDescent="0.2">
      <c r="B872" s="6" t="s">
        <v>940</v>
      </c>
      <c r="C872" s="6" t="s">
        <v>736</v>
      </c>
      <c r="D872" s="28" t="str">
        <f>IF(INICIAL[[#This Row],[CODIGO]]="", "", VLOOKUP(INICIAL[[#This Row],[CODIGO]], PRODUCTOS[#All], 2, FALSE))</f>
        <v>Cubrenuca</v>
      </c>
      <c r="E872" s="56">
        <v>7</v>
      </c>
    </row>
    <row r="873" spans="2:5" x14ac:dyDescent="0.2">
      <c r="B873" s="6" t="s">
        <v>940</v>
      </c>
      <c r="C873" s="6" t="s">
        <v>726</v>
      </c>
      <c r="D873" s="28" t="str">
        <f>IF(INICIAL[[#This Row],[CODIGO]]="", "", VLOOKUP(INICIAL[[#This Row],[CODIGO]], PRODUCTOS[#All], 2, FALSE))</f>
        <v>Guante chino doble palma</v>
      </c>
      <c r="E873" s="56">
        <v>48</v>
      </c>
    </row>
    <row r="874" spans="2:5" x14ac:dyDescent="0.2">
      <c r="B874" s="6" t="s">
        <v>940</v>
      </c>
      <c r="C874" s="6" t="s">
        <v>734</v>
      </c>
      <c r="D874" s="28" t="str">
        <f>IF(INICIAL[[#This Row],[CODIGO]]="", "", VLOOKUP(INICIAL[[#This Row],[CODIGO]], PRODUCTOS[#All], 2, FALSE))</f>
        <v xml:space="preserve">Cascos blancos </v>
      </c>
      <c r="E874" s="56">
        <v>5</v>
      </c>
    </row>
    <row r="875" spans="2:5" x14ac:dyDescent="0.2">
      <c r="B875" s="6" t="s">
        <v>940</v>
      </c>
      <c r="C875" s="6" t="s">
        <v>732</v>
      </c>
      <c r="D875" s="28" t="str">
        <f>IF(INICIAL[[#This Row],[CODIGO]]="", "", VLOOKUP(INICIAL[[#This Row],[CODIGO]], PRODUCTOS[#All], 2, FALSE))</f>
        <v>Cascos azules</v>
      </c>
      <c r="E875" s="56">
        <v>10</v>
      </c>
    </row>
    <row r="876" spans="2:5" x14ac:dyDescent="0.2">
      <c r="B876" s="6" t="s">
        <v>940</v>
      </c>
      <c r="C876" s="6" t="s">
        <v>746</v>
      </c>
      <c r="D876" s="28" t="str">
        <f>IF(INICIAL[[#This Row],[CODIGO]]="", "", VLOOKUP(INICIAL[[#This Row],[CODIGO]], PRODUCTOS[#All], 2, FALSE))</f>
        <v xml:space="preserve">Careta de soldador </v>
      </c>
      <c r="E876" s="56">
        <v>2</v>
      </c>
    </row>
    <row r="877" spans="2:5" x14ac:dyDescent="0.2">
      <c r="B877" s="6" t="s">
        <v>940</v>
      </c>
      <c r="C877" s="6" t="s">
        <v>524</v>
      </c>
      <c r="D877" s="28" t="str">
        <f>IF(INICIAL[[#This Row],[CODIGO]]="", "", VLOOKUP(INICIAL[[#This Row],[CODIGO]], PRODUCTOS[#All], 2, FALSE))</f>
        <v xml:space="preserve">Variador </v>
      </c>
      <c r="E877" s="56">
        <v>1</v>
      </c>
    </row>
    <row r="878" spans="2:5" x14ac:dyDescent="0.2">
      <c r="B878" s="6" t="s">
        <v>940</v>
      </c>
      <c r="C878" s="6" t="s">
        <v>516</v>
      </c>
      <c r="D878" s="28" t="str">
        <f>IF(INICIAL[[#This Row],[CODIGO]]="", "", VLOOKUP(INICIAL[[#This Row],[CODIGO]], PRODUCTOS[#All], 2, FALSE))</f>
        <v>Transformador de corriente 500A / 5A</v>
      </c>
      <c r="E878" s="56">
        <v>7</v>
      </c>
    </row>
    <row r="879" spans="2:5" x14ac:dyDescent="0.2">
      <c r="B879" s="6" t="s">
        <v>940</v>
      </c>
      <c r="C879" s="6" t="s">
        <v>526</v>
      </c>
      <c r="D879" s="28" t="str">
        <f>IF(INICIAL[[#This Row],[CODIGO]]="", "", VLOOKUP(INICIAL[[#This Row],[CODIGO]], PRODUCTOS[#All], 2, FALSE))</f>
        <v>Transformador de corriente 400A/5A</v>
      </c>
      <c r="E879" s="56">
        <v>3</v>
      </c>
    </row>
    <row r="880" spans="2:5" x14ac:dyDescent="0.2">
      <c r="B880" s="6" t="s">
        <v>940</v>
      </c>
      <c r="C880" s="6" t="s">
        <v>520</v>
      </c>
      <c r="D880" s="28" t="str">
        <f>IF(INICIAL[[#This Row],[CODIGO]]="", "", VLOOKUP(INICIAL[[#This Row],[CODIGO]], PRODUCTOS[#All], 2, FALSE))</f>
        <v xml:space="preserve">Transductor de presión </v>
      </c>
      <c r="E880" s="56">
        <v>3</v>
      </c>
    </row>
    <row r="881" spans="2:5" x14ac:dyDescent="0.2">
      <c r="B881" s="6" t="s">
        <v>940</v>
      </c>
      <c r="C881" s="6" t="s">
        <v>622</v>
      </c>
      <c r="D881" s="28" t="str">
        <f>IF(INICIAL[[#This Row],[CODIGO]]="", "", VLOOKUP(INICIAL[[#This Row],[CODIGO]], PRODUCTOS[#All], 2, FALSE))</f>
        <v>Tapon macho 2"</v>
      </c>
      <c r="E881" s="56">
        <v>4</v>
      </c>
    </row>
    <row r="882" spans="2:5" x14ac:dyDescent="0.2">
      <c r="B882" s="6" t="s">
        <v>940</v>
      </c>
      <c r="C882" s="6" t="s">
        <v>522</v>
      </c>
      <c r="D882" s="28" t="str">
        <f>IF(INICIAL[[#This Row],[CODIGO]]="", "", VLOOKUP(INICIAL[[#This Row],[CODIGO]], PRODUCTOS[#All], 2, FALSE))</f>
        <v>Supresor de picos de voltaje</v>
      </c>
      <c r="E882" s="56">
        <v>1</v>
      </c>
    </row>
    <row r="883" spans="2:5" x14ac:dyDescent="0.2">
      <c r="B883" s="6" t="s">
        <v>940</v>
      </c>
      <c r="C883" s="6" t="s">
        <v>538</v>
      </c>
      <c r="D883" s="28" t="str">
        <f>IF(INICIAL[[#This Row],[CODIGO]]="", "", VLOOKUP(INICIAL[[#This Row],[CODIGO]], PRODUCTOS[#All], 2, FALSE))</f>
        <v>Contactor de sobrecarga (relevador)</v>
      </c>
      <c r="E883" s="56">
        <v>1</v>
      </c>
    </row>
    <row r="884" spans="2:5" x14ac:dyDescent="0.2">
      <c r="B884" s="6" t="s">
        <v>940</v>
      </c>
      <c r="C884" s="6" t="s">
        <v>534</v>
      </c>
      <c r="D884" s="28" t="str">
        <f>IF(INICIAL[[#This Row],[CODIGO]]="", "", VLOOKUP(INICIAL[[#This Row],[CODIGO]], PRODUCTOS[#All], 2, FALSE))</f>
        <v xml:space="preserve">Rele sobre carga </v>
      </c>
      <c r="E884" s="56">
        <v>1</v>
      </c>
    </row>
    <row r="885" spans="2:5" x14ac:dyDescent="0.2">
      <c r="B885" s="6" t="s">
        <v>940</v>
      </c>
      <c r="C885" s="6" t="s">
        <v>496</v>
      </c>
      <c r="D885" s="28" t="str">
        <f>IF(INICIAL[[#This Row],[CODIGO]]="", "", VLOOKUP(INICIAL[[#This Row],[CODIGO]], PRODUCTOS[#All], 2, FALSE))</f>
        <v>Reflector c/cable 18 awg</v>
      </c>
      <c r="E885" s="56">
        <v>2</v>
      </c>
    </row>
    <row r="886" spans="2:5" x14ac:dyDescent="0.2">
      <c r="B886" s="6" t="s">
        <v>940</v>
      </c>
      <c r="C886" s="6" t="s">
        <v>498</v>
      </c>
      <c r="D886" s="28" t="str">
        <f>IF(INICIAL[[#This Row],[CODIGO]]="", "", VLOOKUP(INICIAL[[#This Row],[CODIGO]], PRODUCTOS[#All], 2, FALSE))</f>
        <v>Racor</v>
      </c>
      <c r="E886" s="56">
        <v>1</v>
      </c>
    </row>
    <row r="887" spans="2:5" x14ac:dyDescent="0.2">
      <c r="B887" s="6" t="s">
        <v>940</v>
      </c>
      <c r="C887" s="6" t="s">
        <v>518</v>
      </c>
      <c r="D887" s="28" t="str">
        <f>IF(INICIAL[[#This Row],[CODIGO]]="", "", VLOOKUP(INICIAL[[#This Row],[CODIGO]], PRODUCTOS[#All], 2, FALSE))</f>
        <v>Protección p/ sobretensiones</v>
      </c>
      <c r="E887" s="56">
        <v>3</v>
      </c>
    </row>
    <row r="888" spans="2:5" x14ac:dyDescent="0.2">
      <c r="B888" s="6" t="s">
        <v>940</v>
      </c>
      <c r="C888" s="6" t="s">
        <v>618</v>
      </c>
      <c r="D888" s="28" t="str">
        <f>IF(INICIAL[[#This Row],[CODIGO]]="", "", VLOOKUP(INICIAL[[#This Row],[CODIGO]], PRODUCTOS[#All], 2, FALSE))</f>
        <v>Niple rosca externa 3"</v>
      </c>
      <c r="E888" s="56">
        <v>3</v>
      </c>
    </row>
    <row r="889" spans="2:5" x14ac:dyDescent="0.2">
      <c r="B889" s="6" t="s">
        <v>940</v>
      </c>
      <c r="C889" s="6" t="s">
        <v>620</v>
      </c>
      <c r="D889" s="28" t="str">
        <f>IF(INICIAL[[#This Row],[CODIGO]]="", "", VLOOKUP(INICIAL[[#This Row],[CODIGO]], PRODUCTOS[#All], 2, FALSE))</f>
        <v>Niple rosca externa 2"</v>
      </c>
      <c r="E889" s="56">
        <v>2</v>
      </c>
    </row>
    <row r="890" spans="2:5" x14ac:dyDescent="0.2">
      <c r="B890" s="6" t="s">
        <v>940</v>
      </c>
      <c r="C890" s="6" t="s">
        <v>608</v>
      </c>
      <c r="D890" s="28" t="str">
        <f>IF(INICIAL[[#This Row],[CODIGO]]="", "", VLOOKUP(INICIAL[[#This Row],[CODIGO]], PRODUCTOS[#All], 2, FALSE))</f>
        <v>Niple 4"</v>
      </c>
      <c r="E890" s="56">
        <v>5</v>
      </c>
    </row>
    <row r="891" spans="2:5" x14ac:dyDescent="0.2">
      <c r="B891" s="6" t="s">
        <v>940</v>
      </c>
      <c r="C891" s="6" t="s">
        <v>610</v>
      </c>
      <c r="D891" s="28" t="str">
        <f>IF(INICIAL[[#This Row],[CODIGO]]="", "", VLOOKUP(INICIAL[[#This Row],[CODIGO]], PRODUCTOS[#All], 2, FALSE))</f>
        <v>Niple 3"</v>
      </c>
      <c r="E891" s="56">
        <v>18</v>
      </c>
    </row>
    <row r="892" spans="2:5" x14ac:dyDescent="0.2">
      <c r="B892" s="6" t="s">
        <v>940</v>
      </c>
      <c r="C892" s="6" t="s">
        <v>612</v>
      </c>
      <c r="D892" s="28" t="str">
        <f>IF(INICIAL[[#This Row],[CODIGO]]="", "", VLOOKUP(INICIAL[[#This Row],[CODIGO]], PRODUCTOS[#All], 2, FALSE))</f>
        <v>Niple 2 1/2"</v>
      </c>
      <c r="E892" s="56">
        <v>6</v>
      </c>
    </row>
    <row r="893" spans="2:5" x14ac:dyDescent="0.2">
      <c r="B893" s="6" t="s">
        <v>940</v>
      </c>
      <c r="C893" s="6" t="s">
        <v>614</v>
      </c>
      <c r="D893" s="28" t="str">
        <f>IF(INICIAL[[#This Row],[CODIGO]]="", "", VLOOKUP(INICIAL[[#This Row],[CODIGO]], PRODUCTOS[#All], 2, FALSE))</f>
        <v>Niple 2"</v>
      </c>
      <c r="E893" s="56">
        <v>4</v>
      </c>
    </row>
    <row r="894" spans="2:5" x14ac:dyDescent="0.2">
      <c r="B894" s="6" t="s">
        <v>940</v>
      </c>
      <c r="C894" s="6" t="s">
        <v>616</v>
      </c>
      <c r="D894" s="28" t="str">
        <f>IF(INICIAL[[#This Row],[CODIGO]]="", "", VLOOKUP(INICIAL[[#This Row],[CODIGO]], PRODUCTOS[#All], 2, FALSE))</f>
        <v>Niple 1 - 1/2"</v>
      </c>
      <c r="E894" s="56">
        <v>11</v>
      </c>
    </row>
    <row r="895" spans="2:5" x14ac:dyDescent="0.2">
      <c r="B895" s="6" t="s">
        <v>940</v>
      </c>
      <c r="C895" s="6" t="s">
        <v>546</v>
      </c>
      <c r="D895" s="28" t="str">
        <f>IF(INICIAL[[#This Row],[CODIGO]]="", "", VLOOKUP(INICIAL[[#This Row],[CODIGO]], PRODUCTOS[#All], 2, FALSE))</f>
        <v>Manga 600 - 1250 KCMIL</v>
      </c>
      <c r="E895" s="56">
        <v>425</v>
      </c>
    </row>
    <row r="896" spans="2:5" x14ac:dyDescent="0.2">
      <c r="B896" s="6" t="s">
        <v>940</v>
      </c>
      <c r="C896" s="6" t="s">
        <v>488</v>
      </c>
      <c r="D896" s="28" t="str">
        <f>IF(INICIAL[[#This Row],[CODIGO]]="", "", VLOOKUP(INICIAL[[#This Row],[CODIGO]], PRODUCTOS[#All], 2, FALSE))</f>
        <v>manga 300 - 500 KCMIL</v>
      </c>
      <c r="E896" s="56">
        <v>248</v>
      </c>
    </row>
    <row r="897" spans="2:5" x14ac:dyDescent="0.2">
      <c r="B897" s="6" t="s">
        <v>940</v>
      </c>
      <c r="C897" s="6" t="s">
        <v>544</v>
      </c>
      <c r="D897" s="28" t="str">
        <f>IF(INICIAL[[#This Row],[CODIGO]]="", "", VLOOKUP(INICIAL[[#This Row],[CODIGO]], PRODUCTOS[#All], 2, FALSE))</f>
        <v>Manga 2 - 2/0 AWG</v>
      </c>
      <c r="E897" s="56">
        <v>242</v>
      </c>
    </row>
    <row r="898" spans="2:5" x14ac:dyDescent="0.2">
      <c r="B898" s="6" t="s">
        <v>940</v>
      </c>
      <c r="C898" s="6" t="s">
        <v>494</v>
      </c>
      <c r="D898" s="28" t="str">
        <f>IF(INICIAL[[#This Row],[CODIGO]]="", "", VLOOKUP(INICIAL[[#This Row],[CODIGO]], PRODUCTOS[#All], 2, FALSE))</f>
        <v>Manga 1000 -2500 KCMIL</v>
      </c>
      <c r="E898" s="56">
        <v>240</v>
      </c>
    </row>
    <row r="899" spans="2:5" x14ac:dyDescent="0.2">
      <c r="B899" s="6" t="s">
        <v>940</v>
      </c>
      <c r="C899" s="6" t="s">
        <v>486</v>
      </c>
      <c r="D899" s="28" t="str">
        <f>IF(INICIAL[[#This Row],[CODIGO]]="", "", VLOOKUP(INICIAL[[#This Row],[CODIGO]], PRODUCTOS[#All], 2, FALSE))</f>
        <v>Manga 1 - 4/0 AWG</v>
      </c>
      <c r="E899" s="56">
        <v>1256</v>
      </c>
    </row>
    <row r="900" spans="2:5" x14ac:dyDescent="0.2">
      <c r="B900" s="6" t="s">
        <v>940</v>
      </c>
      <c r="C900" s="6" t="s">
        <v>514</v>
      </c>
      <c r="D900" s="28" t="str">
        <f>IF(INICIAL[[#This Row],[CODIGO]]="", "", VLOOKUP(INICIAL[[#This Row],[CODIGO]], PRODUCTOS[#All], 2, FALSE))</f>
        <v>Monitor SME</v>
      </c>
      <c r="E900" s="56">
        <v>4</v>
      </c>
    </row>
    <row r="901" spans="2:5" x14ac:dyDescent="0.2">
      <c r="B901" s="6" t="s">
        <v>940</v>
      </c>
      <c r="C901" s="6" t="s">
        <v>542</v>
      </c>
      <c r="D901" s="28" t="str">
        <f>IF(INICIAL[[#This Row],[CODIGO]]="", "", VLOOKUP(INICIAL[[#This Row],[CODIGO]], PRODUCTOS[#All], 2, FALSE))</f>
        <v>Interruptor termomagnético 400 amp.</v>
      </c>
      <c r="E901" s="56">
        <v>1</v>
      </c>
    </row>
    <row r="902" spans="2:5" x14ac:dyDescent="0.2">
      <c r="B902" s="6" t="s">
        <v>940</v>
      </c>
      <c r="C902" s="6" t="s">
        <v>540</v>
      </c>
      <c r="D902" s="28" t="str">
        <f>IF(INICIAL[[#This Row],[CODIGO]]="", "", VLOOKUP(INICIAL[[#This Row],[CODIGO]], PRODUCTOS[#All], 2, FALSE))</f>
        <v>Interruptor termomagnético 250 amp.</v>
      </c>
      <c r="E902" s="56">
        <v>1</v>
      </c>
    </row>
    <row r="903" spans="2:5" x14ac:dyDescent="0.2">
      <c r="B903" s="6" t="s">
        <v>940</v>
      </c>
      <c r="C903" s="6" t="s">
        <v>492</v>
      </c>
      <c r="D903" s="28" t="str">
        <f>IF(INICIAL[[#This Row],[CODIGO]]="", "", VLOOKUP(INICIAL[[#This Row],[CODIGO]], PRODUCTOS[#All], 2, FALSE))</f>
        <v>Interruptores termomagneticos 125 amp.</v>
      </c>
      <c r="E903" s="56">
        <v>1</v>
      </c>
    </row>
    <row r="904" spans="2:5" x14ac:dyDescent="0.2">
      <c r="B904" s="6" t="s">
        <v>940</v>
      </c>
      <c r="C904" s="6" t="s">
        <v>490</v>
      </c>
      <c r="D904" s="28" t="str">
        <f>IF(INICIAL[[#This Row],[CODIGO]]="", "", VLOOKUP(INICIAL[[#This Row],[CODIGO]], PRODUCTOS[#All], 2, FALSE))</f>
        <v>Interruptor termomagnético</v>
      </c>
      <c r="E904" s="56">
        <v>1</v>
      </c>
    </row>
    <row r="905" spans="2:5" x14ac:dyDescent="0.2">
      <c r="B905" s="6" t="s">
        <v>940</v>
      </c>
      <c r="C905" s="6" t="s">
        <v>530</v>
      </c>
      <c r="D905" s="28" t="str">
        <f>IF(INICIAL[[#This Row],[CODIGO]]="", "", VLOOKUP(INICIAL[[#This Row],[CODIGO]], PRODUCTOS[#All], 2, FALSE))</f>
        <v>Electroregistro LB oln 250 2.5"</v>
      </c>
      <c r="E905" s="56">
        <v>3</v>
      </c>
    </row>
    <row r="906" spans="2:5" x14ac:dyDescent="0.2">
      <c r="B906" s="6" t="s">
        <v>940</v>
      </c>
      <c r="C906" s="6" t="s">
        <v>592</v>
      </c>
      <c r="D906" s="28" t="str">
        <f>IF(INICIAL[[#This Row],[CODIGO]]="", "", VLOOKUP(INICIAL[[#This Row],[CODIGO]], PRODUCTOS[#All], 2, FALSE))</f>
        <v>Conector Recto licuatite 4"</v>
      </c>
      <c r="E906" s="56">
        <v>7</v>
      </c>
    </row>
    <row r="907" spans="2:5" x14ac:dyDescent="0.2">
      <c r="B907" s="6" t="s">
        <v>940</v>
      </c>
      <c r="C907" s="6" t="s">
        <v>594</v>
      </c>
      <c r="D907" s="28" t="str">
        <f>IF(INICIAL[[#This Row],[CODIGO]]="", "", VLOOKUP(INICIAL[[#This Row],[CODIGO]], PRODUCTOS[#All], 2, FALSE))</f>
        <v>Conector Recto licuatite 3"</v>
      </c>
      <c r="E907" s="56">
        <v>1</v>
      </c>
    </row>
    <row r="908" spans="2:5" x14ac:dyDescent="0.2">
      <c r="B908" s="6" t="s">
        <v>940</v>
      </c>
      <c r="C908" s="6" t="s">
        <v>596</v>
      </c>
      <c r="D908" s="28" t="str">
        <f>IF(INICIAL[[#This Row],[CODIGO]]="", "", VLOOKUP(INICIAL[[#This Row],[CODIGO]], PRODUCTOS[#All], 2, FALSE))</f>
        <v>Conector Recto licuatite 2 1/2"</v>
      </c>
      <c r="E908" s="56">
        <v>7</v>
      </c>
    </row>
    <row r="909" spans="2:5" x14ac:dyDescent="0.2">
      <c r="B909" s="6" t="s">
        <v>940</v>
      </c>
      <c r="C909" s="6" t="s">
        <v>598</v>
      </c>
      <c r="D909" s="28" t="str">
        <f>IF(INICIAL[[#This Row],[CODIGO]]="", "", VLOOKUP(INICIAL[[#This Row],[CODIGO]], PRODUCTOS[#All], 2, FALSE))</f>
        <v>Conector Recto licuatite 2"</v>
      </c>
      <c r="E909" s="56">
        <v>5</v>
      </c>
    </row>
    <row r="910" spans="2:5" x14ac:dyDescent="0.2">
      <c r="B910" s="6" t="s">
        <v>940</v>
      </c>
      <c r="C910" s="6" t="s">
        <v>602</v>
      </c>
      <c r="D910" s="28" t="str">
        <f>IF(INICIAL[[#This Row],[CODIGO]]="", "", VLOOKUP(INICIAL[[#This Row],[CODIGO]], PRODUCTOS[#All], 2, FALSE))</f>
        <v>Conector Recto licuatite 1/2"</v>
      </c>
      <c r="E910" s="56">
        <v>20</v>
      </c>
    </row>
    <row r="911" spans="2:5" x14ac:dyDescent="0.2">
      <c r="B911" s="6" t="s">
        <v>940</v>
      </c>
      <c r="C911" s="6" t="s">
        <v>600</v>
      </c>
      <c r="D911" s="28" t="str">
        <f>IF(INICIAL[[#This Row],[CODIGO]]="", "", VLOOKUP(INICIAL[[#This Row],[CODIGO]], PRODUCTOS[#All], 2, FALSE))</f>
        <v>Conector Recto licuatite 1"</v>
      </c>
      <c r="E911" s="56">
        <v>5</v>
      </c>
    </row>
    <row r="912" spans="2:5" x14ac:dyDescent="0.2">
      <c r="B912" s="6" t="s">
        <v>940</v>
      </c>
      <c r="C912" s="6" t="s">
        <v>502</v>
      </c>
      <c r="D912" s="28" t="str">
        <f>IF(INICIAL[[#This Row],[CODIGO]]="", "", VLOOKUP(INICIAL[[#This Row],[CODIGO]], PRODUCTOS[#All], 2, FALSE))</f>
        <v>Caja rectangular de aluminio 3 orificios de 1/2"</v>
      </c>
      <c r="E912" s="56">
        <v>8</v>
      </c>
    </row>
    <row r="913" spans="2:5" x14ac:dyDescent="0.2">
      <c r="B913" s="6" t="s">
        <v>940</v>
      </c>
      <c r="C913" s="6" t="s">
        <v>528</v>
      </c>
      <c r="D913" s="28" t="str">
        <f>IF(INICIAL[[#This Row],[CODIGO]]="", "", VLOOKUP(INICIAL[[#This Row],[CODIGO]], PRODUCTOS[#All], 2, FALSE))</f>
        <v>Cortacorriente (cuchilla)</v>
      </c>
      <c r="E913" s="56">
        <v>5</v>
      </c>
    </row>
    <row r="914" spans="2:5" x14ac:dyDescent="0.2">
      <c r="B914" s="6" t="s">
        <v>940</v>
      </c>
      <c r="C914" s="6" t="s">
        <v>532</v>
      </c>
      <c r="D914" s="28" t="str">
        <f>IF(INICIAL[[#This Row],[CODIGO]]="", "", VLOOKUP(INICIAL[[#This Row],[CODIGO]], PRODUCTOS[#All], 2, FALSE))</f>
        <v xml:space="preserve">Contactor </v>
      </c>
      <c r="E914" s="56">
        <v>1</v>
      </c>
    </row>
    <row r="915" spans="2:5" x14ac:dyDescent="0.2">
      <c r="B915" s="6" t="s">
        <v>940</v>
      </c>
      <c r="C915" s="6" t="s">
        <v>548</v>
      </c>
      <c r="D915" s="28" t="str">
        <f>IF(INICIAL[[#This Row],[CODIGO]]="", "", VLOOKUP(INICIAL[[#This Row],[CODIGO]], PRODUCTOS[#All], 2, FALSE))</f>
        <v>Conector LZ 250</v>
      </c>
      <c r="E915" s="56">
        <v>6</v>
      </c>
    </row>
    <row r="916" spans="2:5" x14ac:dyDescent="0.2">
      <c r="B916" s="6" t="s">
        <v>940</v>
      </c>
      <c r="C916" s="6" t="s">
        <v>550</v>
      </c>
      <c r="D916" s="28" t="str">
        <f>IF(INICIAL[[#This Row],[CODIGO]]="", "", VLOOKUP(INICIAL[[#This Row],[CODIGO]], PRODUCTOS[#All], 2, FALSE))</f>
        <v>Conector LZ 100</v>
      </c>
      <c r="E916" s="56">
        <v>15</v>
      </c>
    </row>
    <row r="917" spans="2:5" x14ac:dyDescent="0.2">
      <c r="B917" s="6" t="s">
        <v>940</v>
      </c>
      <c r="C917" s="6" t="s">
        <v>556</v>
      </c>
      <c r="D917" s="28" t="str">
        <f>IF(INICIAL[[#This Row],[CODIGO]]="", "", VLOOKUP(INICIAL[[#This Row],[CODIGO]], PRODUCTOS[#All], 2, FALSE))</f>
        <v>Conduit pesado  75 mm</v>
      </c>
      <c r="E917" s="56">
        <v>16</v>
      </c>
    </row>
    <row r="918" spans="2:5" x14ac:dyDescent="0.2">
      <c r="B918" s="6" t="s">
        <v>940</v>
      </c>
      <c r="C918" s="6" t="s">
        <v>558</v>
      </c>
      <c r="D918" s="28" t="str">
        <f>IF(INICIAL[[#This Row],[CODIGO]]="", "", VLOOKUP(INICIAL[[#This Row],[CODIGO]], PRODUCTOS[#All], 2, FALSE))</f>
        <v>Conduit pesado  60 mm</v>
      </c>
      <c r="E918" s="56">
        <v>7</v>
      </c>
    </row>
    <row r="919" spans="2:5" x14ac:dyDescent="0.2">
      <c r="B919" s="6" t="s">
        <v>940</v>
      </c>
      <c r="C919" s="6" t="s">
        <v>560</v>
      </c>
      <c r="D919" s="28" t="str">
        <f>IF(INICIAL[[#This Row],[CODIGO]]="", "", VLOOKUP(INICIAL[[#This Row],[CODIGO]], PRODUCTOS[#All], 2, FALSE))</f>
        <v>Conduit pesado  50 mm</v>
      </c>
      <c r="E919" s="56">
        <v>26</v>
      </c>
    </row>
    <row r="920" spans="2:5" x14ac:dyDescent="0.2">
      <c r="B920" s="6" t="s">
        <v>940</v>
      </c>
      <c r="C920" s="6" t="s">
        <v>562</v>
      </c>
      <c r="D920" s="28" t="str">
        <f>IF(INICIAL[[#This Row],[CODIGO]]="", "", VLOOKUP(INICIAL[[#This Row],[CODIGO]], PRODUCTOS[#All], 2, FALSE))</f>
        <v>Conduit pesado  38 mm</v>
      </c>
      <c r="E920" s="56">
        <v>5</v>
      </c>
    </row>
    <row r="921" spans="2:5" x14ac:dyDescent="0.2">
      <c r="B921" s="6" t="s">
        <v>940</v>
      </c>
      <c r="C921" s="6" t="s">
        <v>564</v>
      </c>
      <c r="D921" s="28" t="str">
        <f>IF(INICIAL[[#This Row],[CODIGO]]="", "", VLOOKUP(INICIAL[[#This Row],[CODIGO]], PRODUCTOS[#All], 2, FALSE))</f>
        <v>Conduit pesado  25 mm</v>
      </c>
      <c r="E921" s="56">
        <v>8</v>
      </c>
    </row>
    <row r="922" spans="2:5" x14ac:dyDescent="0.2">
      <c r="B922" s="6" t="s">
        <v>940</v>
      </c>
      <c r="C922" s="6" t="s">
        <v>566</v>
      </c>
      <c r="D922" s="28" t="str">
        <f>IF(INICIAL[[#This Row],[CODIGO]]="", "", VLOOKUP(INICIAL[[#This Row],[CODIGO]], PRODUCTOS[#All], 2, FALSE))</f>
        <v>Conduit pesado  1/2"</v>
      </c>
      <c r="E922" s="56">
        <v>18</v>
      </c>
    </row>
    <row r="923" spans="2:5" x14ac:dyDescent="0.2">
      <c r="B923" s="6" t="s">
        <v>940</v>
      </c>
      <c r="C923" s="6" t="s">
        <v>554</v>
      </c>
      <c r="D923" s="28" t="str">
        <f>IF(INICIAL[[#This Row],[CODIGO]]="", "", VLOOKUP(INICIAL[[#This Row],[CODIGO]], PRODUCTOS[#All], 2, FALSE))</f>
        <v>Conduit pesado  100 mm</v>
      </c>
      <c r="E923" s="56">
        <v>5</v>
      </c>
    </row>
    <row r="924" spans="2:5" x14ac:dyDescent="0.2">
      <c r="B924" s="6" t="s">
        <v>940</v>
      </c>
      <c r="C924" s="6" t="s">
        <v>552</v>
      </c>
      <c r="D924" s="28" t="str">
        <f>IF(INICIAL[[#This Row],[CODIGO]]="", "", VLOOKUP(INICIAL[[#This Row],[CODIGO]], PRODUCTOS[#All], 2, FALSE))</f>
        <v>Codo PVC conduit 13mm/1/2"</v>
      </c>
      <c r="E924" s="56">
        <v>4</v>
      </c>
    </row>
    <row r="925" spans="2:5" x14ac:dyDescent="0.2">
      <c r="B925" s="6" t="s">
        <v>940</v>
      </c>
      <c r="C925" s="6" t="s">
        <v>572</v>
      </c>
      <c r="D925" s="28" t="str">
        <f>IF(INICIAL[[#This Row],[CODIGO]]="", "", VLOOKUP(INICIAL[[#This Row],[CODIGO]], PRODUCTOS[#All], 2, FALSE))</f>
        <v>Conector galvanizado 3/4"</v>
      </c>
      <c r="E925" s="56">
        <v>1</v>
      </c>
    </row>
    <row r="926" spans="2:5" x14ac:dyDescent="0.2">
      <c r="B926" s="6" t="s">
        <v>940</v>
      </c>
      <c r="C926" s="6" t="s">
        <v>574</v>
      </c>
      <c r="D926" s="28" t="str">
        <f>IF(INICIAL[[#This Row],[CODIGO]]="", "", VLOOKUP(INICIAL[[#This Row],[CODIGO]], PRODUCTOS[#All], 2, FALSE))</f>
        <v>Conector galvanizado 1/2"</v>
      </c>
      <c r="E926" s="56">
        <v>13</v>
      </c>
    </row>
    <row r="927" spans="2:5" x14ac:dyDescent="0.2">
      <c r="B927" s="6" t="s">
        <v>940</v>
      </c>
      <c r="C927" s="6" t="s">
        <v>568</v>
      </c>
      <c r="D927" s="28" t="str">
        <f>IF(INICIAL[[#This Row],[CODIGO]]="", "", VLOOKUP(INICIAL[[#This Row],[CODIGO]], PRODUCTOS[#All], 2, FALSE))</f>
        <v>Conector galvanizado 1 1/2"</v>
      </c>
      <c r="E927" s="56">
        <v>2</v>
      </c>
    </row>
    <row r="928" spans="2:5" x14ac:dyDescent="0.2">
      <c r="B928" s="6" t="s">
        <v>940</v>
      </c>
      <c r="C928" s="6" t="s">
        <v>570</v>
      </c>
      <c r="D928" s="28" t="str">
        <f>IF(INICIAL[[#This Row],[CODIGO]]="", "", VLOOKUP(INICIAL[[#This Row],[CODIGO]], PRODUCTOS[#All], 2, FALSE))</f>
        <v>Conector galvanizado 1"</v>
      </c>
      <c r="E928" s="56">
        <v>7</v>
      </c>
    </row>
    <row r="929" spans="2:5" x14ac:dyDescent="0.2">
      <c r="B929" s="6" t="s">
        <v>940</v>
      </c>
      <c r="C929" s="6" t="s">
        <v>506</v>
      </c>
      <c r="D929" s="28" t="str">
        <f>IF(INICIAL[[#This Row],[CODIGO]]="", "", VLOOKUP(INICIAL[[#This Row],[CODIGO]], PRODUCTOS[#All], 2, FALSE))</f>
        <v>Conector conduit 75mm</v>
      </c>
      <c r="E929" s="56">
        <v>19</v>
      </c>
    </row>
    <row r="930" spans="2:5" x14ac:dyDescent="0.2">
      <c r="B930" s="6" t="s">
        <v>940</v>
      </c>
      <c r="C930" s="6" t="s">
        <v>508</v>
      </c>
      <c r="D930" s="28" t="str">
        <f>IF(INICIAL[[#This Row],[CODIGO]]="", "", VLOOKUP(INICIAL[[#This Row],[CODIGO]], PRODUCTOS[#All], 2, FALSE))</f>
        <v>Conector conduit 60mm</v>
      </c>
      <c r="E930" s="56">
        <v>6</v>
      </c>
    </row>
    <row r="931" spans="2:5" x14ac:dyDescent="0.2">
      <c r="B931" s="6" t="s">
        <v>940</v>
      </c>
      <c r="C931" s="6" t="s">
        <v>510</v>
      </c>
      <c r="D931" s="28" t="str">
        <f>IF(INICIAL[[#This Row],[CODIGO]]="", "", VLOOKUP(INICIAL[[#This Row],[CODIGO]], PRODUCTOS[#All], 2, FALSE))</f>
        <v>Conector conduit 50mm</v>
      </c>
      <c r="E931" s="56">
        <v>13</v>
      </c>
    </row>
    <row r="932" spans="2:5" x14ac:dyDescent="0.2">
      <c r="B932" s="6" t="s">
        <v>940</v>
      </c>
      <c r="C932" s="6" t="s">
        <v>512</v>
      </c>
      <c r="D932" s="28" t="str">
        <f>IF(INICIAL[[#This Row],[CODIGO]]="", "", VLOOKUP(INICIAL[[#This Row],[CODIGO]], PRODUCTOS[#All], 2, FALSE))</f>
        <v>Conector conduit 25mm</v>
      </c>
      <c r="E932" s="56">
        <v>5</v>
      </c>
    </row>
    <row r="933" spans="2:5" x14ac:dyDescent="0.2">
      <c r="B933" s="6" t="s">
        <v>940</v>
      </c>
      <c r="C933" s="6" t="s">
        <v>504</v>
      </c>
      <c r="D933" s="28" t="str">
        <f>IF(INICIAL[[#This Row],[CODIGO]]="", "", VLOOKUP(INICIAL[[#This Row],[CODIGO]], PRODUCTOS[#All], 2, FALSE))</f>
        <v>Conector conduit 100mm</v>
      </c>
      <c r="E933" s="56">
        <v>5</v>
      </c>
    </row>
    <row r="934" spans="2:5" x14ac:dyDescent="0.2">
      <c r="B934" s="6" t="s">
        <v>940</v>
      </c>
      <c r="C934" s="6" t="s">
        <v>604</v>
      </c>
      <c r="D934" s="28" t="str">
        <f>IF(INICIAL[[#This Row],[CODIGO]]="", "", VLOOKUP(INICIAL[[#This Row],[CODIGO]], PRODUCTOS[#All], 2, FALSE))</f>
        <v>Conector codo 3"</v>
      </c>
      <c r="E934" s="56">
        <v>2</v>
      </c>
    </row>
    <row r="935" spans="2:5" x14ac:dyDescent="0.2">
      <c r="B935" s="6" t="s">
        <v>940</v>
      </c>
      <c r="C935" s="6" t="s">
        <v>606</v>
      </c>
      <c r="D935" s="28" t="str">
        <f>IF(INICIAL[[#This Row],[CODIGO]]="", "", VLOOKUP(INICIAL[[#This Row],[CODIGO]], PRODUCTOS[#All], 2, FALSE))</f>
        <v>Conector codo 2"</v>
      </c>
      <c r="E935" s="56">
        <v>4</v>
      </c>
    </row>
    <row r="936" spans="2:5" x14ac:dyDescent="0.2">
      <c r="B936" s="6" t="s">
        <v>940</v>
      </c>
      <c r="C936" s="6" t="s">
        <v>500</v>
      </c>
      <c r="D936" s="28" t="str">
        <f>IF(INICIAL[[#This Row],[CODIGO]]="", "", VLOOKUP(INICIAL[[#This Row],[CODIGO]], PRODUCTOS[#All], 2, FALSE))</f>
        <v>bushing inoxidable p/manguera</v>
      </c>
      <c r="E936" s="56">
        <v>1</v>
      </c>
    </row>
    <row r="937" spans="2:5" x14ac:dyDescent="0.2">
      <c r="B937" s="6" t="s">
        <v>940</v>
      </c>
      <c r="C937" s="6" t="s">
        <v>536</v>
      </c>
      <c r="D937" s="28" t="str">
        <f>IF(INICIAL[[#This Row],[CODIGO]]="", "", VLOOKUP(INICIAL[[#This Row],[CODIGO]], PRODUCTOS[#All], 2, FALSE))</f>
        <v xml:space="preserve">Arrancador a tensión plena </v>
      </c>
      <c r="E937" s="56">
        <v>1</v>
      </c>
    </row>
    <row r="938" spans="2:5" x14ac:dyDescent="0.2">
      <c r="B938" s="6" t="s">
        <v>940</v>
      </c>
      <c r="C938" s="6" t="s">
        <v>584</v>
      </c>
      <c r="D938" s="28" t="str">
        <f>IF(INICIAL[[#This Row],[CODIGO]]="", "", VLOOKUP(INICIAL[[#This Row],[CODIGO]], PRODUCTOS[#All], 2, FALSE))</f>
        <v>Abrazadera omega OC114</v>
      </c>
      <c r="E938" s="56">
        <v>1</v>
      </c>
    </row>
    <row r="939" spans="2:5" x14ac:dyDescent="0.2">
      <c r="B939" s="6" t="s">
        <v>940</v>
      </c>
      <c r="C939" s="6" t="s">
        <v>582</v>
      </c>
      <c r="D939" s="28" t="str">
        <f>IF(INICIAL[[#This Row],[CODIGO]]="", "", VLOOKUP(INICIAL[[#This Row],[CODIGO]], PRODUCTOS[#All], 2, FALSE))</f>
        <v>Abrazadera omega OC 34</v>
      </c>
      <c r="E939" s="56">
        <v>2</v>
      </c>
    </row>
    <row r="940" spans="2:5" x14ac:dyDescent="0.2">
      <c r="B940" s="6" t="s">
        <v>940</v>
      </c>
      <c r="C940" s="6" t="s">
        <v>580</v>
      </c>
      <c r="D940" s="28" t="str">
        <f>IF(INICIAL[[#This Row],[CODIGO]]="", "", VLOOKUP(INICIAL[[#This Row],[CODIGO]], PRODUCTOS[#All], 2, FALSE))</f>
        <v>Abrazadera omega 3"</v>
      </c>
      <c r="E940" s="56">
        <v>9</v>
      </c>
    </row>
    <row r="941" spans="2:5" x14ac:dyDescent="0.2">
      <c r="B941" s="6" t="s">
        <v>940</v>
      </c>
      <c r="C941" s="6" t="s">
        <v>590</v>
      </c>
      <c r="D941" s="28" t="str">
        <f>IF(INICIAL[[#This Row],[CODIGO]]="", "", VLOOKUP(INICIAL[[#This Row],[CODIGO]], PRODUCTOS[#All], 2, FALSE))</f>
        <v>Abrazadera omega OC 212</v>
      </c>
      <c r="E941" s="56">
        <v>5</v>
      </c>
    </row>
    <row r="942" spans="2:5" x14ac:dyDescent="0.2">
      <c r="B942" s="6" t="s">
        <v>940</v>
      </c>
      <c r="C942" s="6" t="s">
        <v>586</v>
      </c>
      <c r="D942" s="28" t="str">
        <f>IF(INICIAL[[#This Row],[CODIGO]]="", "", VLOOKUP(INICIAL[[#This Row],[CODIGO]], PRODUCTOS[#All], 2, FALSE))</f>
        <v>Abrazadera omega OC 200</v>
      </c>
      <c r="E942" s="56">
        <v>7</v>
      </c>
    </row>
    <row r="943" spans="2:5" x14ac:dyDescent="0.2">
      <c r="B943" s="6" t="s">
        <v>940</v>
      </c>
      <c r="C943" s="6" t="s">
        <v>576</v>
      </c>
      <c r="D943" s="28" t="str">
        <f>IF(INICIAL[[#This Row],[CODIGO]]="", "", VLOOKUP(INICIAL[[#This Row],[CODIGO]], PRODUCTOS[#All], 2, FALSE))</f>
        <v>Abrazadera omega 1/2"</v>
      </c>
      <c r="E943" s="56">
        <v>5</v>
      </c>
    </row>
    <row r="944" spans="2:5" x14ac:dyDescent="0.2">
      <c r="B944" s="6" t="s">
        <v>940</v>
      </c>
      <c r="C944" s="6" t="s">
        <v>588</v>
      </c>
      <c r="D944" s="28" t="str">
        <f>IF(INICIAL[[#This Row],[CODIGO]]="", "", VLOOKUP(INICIAL[[#This Row],[CODIGO]], PRODUCTOS[#All], 2, FALSE))</f>
        <v>Abrazadera omega OC 112</v>
      </c>
      <c r="E944" s="56">
        <v>1</v>
      </c>
    </row>
    <row r="945" spans="2:5" x14ac:dyDescent="0.2">
      <c r="B945" s="6" t="s">
        <v>940</v>
      </c>
      <c r="C945" s="6" t="s">
        <v>578</v>
      </c>
      <c r="D945" s="28" t="str">
        <f>IF(INICIAL[[#This Row],[CODIGO]]="", "", VLOOKUP(INICIAL[[#This Row],[CODIGO]], PRODUCTOS[#All], 2, FALSE))</f>
        <v>Abrazadera omega 1"</v>
      </c>
      <c r="E945" s="56">
        <v>10</v>
      </c>
    </row>
    <row r="946" spans="2:5" x14ac:dyDescent="0.2">
      <c r="B946" s="6" t="s">
        <v>940</v>
      </c>
      <c r="C946" s="6" t="s">
        <v>870</v>
      </c>
      <c r="D946" s="28" t="str">
        <f>IF(INICIAL[[#This Row],[CODIGO]]="", "", VLOOKUP(INICIAL[[#This Row],[CODIGO]], PRODUCTOS[#All], 2, FALSE))</f>
        <v>Submonitor 600V</v>
      </c>
      <c r="E946" s="56">
        <v>5</v>
      </c>
    </row>
    <row r="947" spans="2:5" x14ac:dyDescent="0.2">
      <c r="B947" s="6" t="s">
        <v>940</v>
      </c>
      <c r="C947" s="6" t="s">
        <v>868</v>
      </c>
      <c r="D947" s="28" t="str">
        <f>IF(INICIAL[[#This Row],[CODIGO]]="", "", VLOOKUP(INICIAL[[#This Row],[CODIGO]], PRODUCTOS[#All], 2, FALSE))</f>
        <v xml:space="preserve">Motor sumergible </v>
      </c>
      <c r="E947" s="56">
        <v>1</v>
      </c>
    </row>
    <row r="948" spans="2:5" x14ac:dyDescent="0.2">
      <c r="B948" s="6" t="s">
        <v>940</v>
      </c>
      <c r="C948" s="6" t="s">
        <v>680</v>
      </c>
      <c r="D948" s="28" t="str">
        <f>IF(INICIAL[[#This Row],[CODIGO]]="", "", VLOOKUP(INICIAL[[#This Row],[CODIGO]], PRODUCTOS[#All], 2, FALSE))</f>
        <v>Conector tope #12</v>
      </c>
      <c r="E948" s="56">
        <v>52</v>
      </c>
    </row>
    <row r="949" spans="2:5" x14ac:dyDescent="0.2">
      <c r="B949" s="6" t="s">
        <v>940</v>
      </c>
      <c r="C949" s="6" t="s">
        <v>668</v>
      </c>
      <c r="D949" s="28" t="str">
        <f>IF(INICIAL[[#This Row],[CODIGO]]="", "", VLOOKUP(INICIAL[[#This Row],[CODIGO]], PRODUCTOS[#All], 2, FALSE))</f>
        <v>Conector tope #6</v>
      </c>
      <c r="E949" s="56">
        <v>8</v>
      </c>
    </row>
    <row r="950" spans="2:5" x14ac:dyDescent="0.2">
      <c r="B950" s="6" t="s">
        <v>940</v>
      </c>
      <c r="C950" s="6" t="s">
        <v>664</v>
      </c>
      <c r="D950" s="28" t="str">
        <f>IF(INICIAL[[#This Row],[CODIGO]]="", "", VLOOKUP(INICIAL[[#This Row],[CODIGO]], PRODUCTOS[#All], 2, FALSE))</f>
        <v>Conector tope #4</v>
      </c>
      <c r="E950" s="56">
        <v>1</v>
      </c>
    </row>
    <row r="951" spans="2:5" x14ac:dyDescent="0.2">
      <c r="B951" s="6" t="s">
        <v>940</v>
      </c>
      <c r="C951" s="6" t="s">
        <v>678</v>
      </c>
      <c r="D951" s="28" t="str">
        <f>IF(INICIAL[[#This Row],[CODIGO]]="", "", VLOOKUP(INICIAL[[#This Row],[CODIGO]], PRODUCTOS[#All], 2, FALSE))</f>
        <v>Conector tope #3</v>
      </c>
      <c r="E951" s="56">
        <v>16</v>
      </c>
    </row>
    <row r="952" spans="2:5" x14ac:dyDescent="0.2">
      <c r="B952" s="6" t="s">
        <v>940</v>
      </c>
      <c r="C952" s="6" t="s">
        <v>676</v>
      </c>
      <c r="D952" s="28" t="str">
        <f>IF(INICIAL[[#This Row],[CODIGO]]="", "", VLOOKUP(INICIAL[[#This Row],[CODIGO]], PRODUCTOS[#All], 2, FALSE))</f>
        <v>Conector tope #2</v>
      </c>
      <c r="E952" s="56">
        <v>30</v>
      </c>
    </row>
    <row r="953" spans="2:5" x14ac:dyDescent="0.2">
      <c r="B953" s="6" t="s">
        <v>940</v>
      </c>
      <c r="C953" s="6" t="s">
        <v>674</v>
      </c>
      <c r="D953" s="28" t="str">
        <f>IF(INICIAL[[#This Row],[CODIGO]]="", "", VLOOKUP(INICIAL[[#This Row],[CODIGO]], PRODUCTOS[#All], 2, FALSE))</f>
        <v>Conector tope 1/0</v>
      </c>
      <c r="E953" s="56">
        <v>40</v>
      </c>
    </row>
    <row r="954" spans="2:5" x14ac:dyDescent="0.2">
      <c r="B954" s="6" t="s">
        <v>940</v>
      </c>
      <c r="C954" s="6" t="s">
        <v>666</v>
      </c>
      <c r="D954" s="28" t="str">
        <f>IF(INICIAL[[#This Row],[CODIGO]]="", "", VLOOKUP(INICIAL[[#This Row],[CODIGO]], PRODUCTOS[#All], 2, FALSE))</f>
        <v>Conector tope 2/0</v>
      </c>
      <c r="E954" s="56">
        <v>21</v>
      </c>
    </row>
    <row r="955" spans="2:5" x14ac:dyDescent="0.2">
      <c r="B955" s="6" t="s">
        <v>940</v>
      </c>
      <c r="C955" s="6" t="s">
        <v>672</v>
      </c>
      <c r="D955" s="28" t="str">
        <f>IF(INICIAL[[#This Row],[CODIGO]]="", "", VLOOKUP(INICIAL[[#This Row],[CODIGO]], PRODUCTOS[#All], 2, FALSE))</f>
        <v>Conector tope 3/0</v>
      </c>
      <c r="E955" s="56">
        <v>7</v>
      </c>
    </row>
    <row r="956" spans="2:5" x14ac:dyDescent="0.2">
      <c r="B956" s="6" t="s">
        <v>940</v>
      </c>
      <c r="C956" s="6" t="s">
        <v>670</v>
      </c>
      <c r="D956" s="28" t="str">
        <f>IF(INICIAL[[#This Row],[CODIGO]]="", "", VLOOKUP(INICIAL[[#This Row],[CODIGO]], PRODUCTOS[#All], 2, FALSE))</f>
        <v>Conector tope 4/0</v>
      </c>
      <c r="E956" s="56">
        <v>35</v>
      </c>
    </row>
    <row r="957" spans="2:5" x14ac:dyDescent="0.2">
      <c r="B957" s="6" t="s">
        <v>940</v>
      </c>
      <c r="C957" s="6" t="s">
        <v>694</v>
      </c>
      <c r="D957" s="28" t="str">
        <f>IF(INICIAL[[#This Row],[CODIGO]]="", "", VLOOKUP(INICIAL[[#This Row],[CODIGO]], PRODUCTOS[#All], 2, FALSE))</f>
        <v>Conec. Ojo #8</v>
      </c>
      <c r="E957" s="56">
        <v>3</v>
      </c>
    </row>
    <row r="958" spans="2:5" x14ac:dyDescent="0.2">
      <c r="B958" s="6" t="s">
        <v>940</v>
      </c>
      <c r="C958" s="6" t="s">
        <v>686</v>
      </c>
      <c r="D958" s="28" t="str">
        <f>IF(INICIAL[[#This Row],[CODIGO]]="", "", VLOOKUP(INICIAL[[#This Row],[CODIGO]], PRODUCTOS[#All], 2, FALSE))</f>
        <v>Conec. Ojo #4</v>
      </c>
      <c r="E958" s="56">
        <v>24</v>
      </c>
    </row>
    <row r="959" spans="2:5" x14ac:dyDescent="0.2">
      <c r="B959" s="6" t="s">
        <v>940</v>
      </c>
      <c r="C959" s="6" t="s">
        <v>690</v>
      </c>
      <c r="D959" s="28" t="str">
        <f>IF(INICIAL[[#This Row],[CODIGO]]="", "", VLOOKUP(INICIAL[[#This Row],[CODIGO]], PRODUCTOS[#All], 2, FALSE))</f>
        <v>Conect. Ojo #2</v>
      </c>
      <c r="E959" s="56">
        <v>34</v>
      </c>
    </row>
    <row r="960" spans="2:5" x14ac:dyDescent="0.2">
      <c r="B960" s="6" t="s">
        <v>940</v>
      </c>
      <c r="C960" s="6" t="s">
        <v>682</v>
      </c>
      <c r="D960" s="28" t="str">
        <f>IF(INICIAL[[#This Row],[CODIGO]]="", "", VLOOKUP(INICIAL[[#This Row],[CODIGO]], PRODUCTOS[#All], 2, FALSE))</f>
        <v>Conec. Ojo 1/0</v>
      </c>
      <c r="E960" s="56">
        <v>1</v>
      </c>
    </row>
    <row r="961" spans="2:5" x14ac:dyDescent="0.2">
      <c r="B961" s="6" t="s">
        <v>940</v>
      </c>
      <c r="C961" s="6" t="s">
        <v>688</v>
      </c>
      <c r="D961" s="28" t="str">
        <f>IF(INICIAL[[#This Row],[CODIGO]]="", "", VLOOKUP(INICIAL[[#This Row],[CODIGO]], PRODUCTOS[#All], 2, FALSE))</f>
        <v>Conec. Ojo 2/0</v>
      </c>
      <c r="E961" s="56">
        <v>30</v>
      </c>
    </row>
    <row r="962" spans="2:5" x14ac:dyDescent="0.2">
      <c r="B962" s="6" t="s">
        <v>940</v>
      </c>
      <c r="C962" s="6" t="s">
        <v>692</v>
      </c>
      <c r="D962" s="28" t="str">
        <f>IF(INICIAL[[#This Row],[CODIGO]]="", "", VLOOKUP(INICIAL[[#This Row],[CODIGO]], PRODUCTOS[#All], 2, FALSE))</f>
        <v>Conec. Ojo 3/0</v>
      </c>
      <c r="E962" s="56">
        <v>24</v>
      </c>
    </row>
    <row r="963" spans="2:5" x14ac:dyDescent="0.2">
      <c r="B963" s="6" t="s">
        <v>940</v>
      </c>
      <c r="C963" s="6" t="s">
        <v>684</v>
      </c>
      <c r="D963" s="28" t="str">
        <f>IF(INICIAL[[#This Row],[CODIGO]]="", "", VLOOKUP(INICIAL[[#This Row],[CODIGO]], PRODUCTOS[#All], 2, FALSE))</f>
        <v xml:space="preserve">Conec. Ojo 4/0 </v>
      </c>
      <c r="E963" s="56">
        <v>24</v>
      </c>
    </row>
    <row r="964" spans="2:5" x14ac:dyDescent="0.2">
      <c r="B964" s="6" t="s">
        <v>940</v>
      </c>
      <c r="C964" s="6" t="s">
        <v>638</v>
      </c>
      <c r="D964" s="28" t="str">
        <f>IF(INICIAL[[#This Row],[CODIGO]]="", "", VLOOKUP(INICIAL[[#This Row],[CODIGO]], PRODUCTOS[#All], 2, FALSE))</f>
        <v>Conector tope 500 KCMIL Burndy</v>
      </c>
      <c r="E964" s="56">
        <v>7</v>
      </c>
    </row>
    <row r="965" spans="2:5" x14ac:dyDescent="0.2">
      <c r="B965" s="6" t="s">
        <v>940</v>
      </c>
      <c r="C965" s="6" t="s">
        <v>642</v>
      </c>
      <c r="D965" s="28" t="str">
        <f>IF(INICIAL[[#This Row],[CODIGO]]="", "", VLOOKUP(INICIAL[[#This Row],[CODIGO]], PRODUCTOS[#All], 2, FALSE))</f>
        <v>Conector tope 250 KCMIL Burndy largo</v>
      </c>
      <c r="E965" s="56">
        <v>3</v>
      </c>
    </row>
    <row r="966" spans="2:5" x14ac:dyDescent="0.2">
      <c r="B966" s="6" t="s">
        <v>940</v>
      </c>
      <c r="C966" s="6" t="s">
        <v>630</v>
      </c>
      <c r="D966" s="28" t="str">
        <f>IF(INICIAL[[#This Row],[CODIGO]]="", "", VLOOKUP(INICIAL[[#This Row],[CODIGO]], PRODUCTOS[#All], 2, FALSE))</f>
        <v xml:space="preserve">Conector tope 250 KCMIL Burndy corto </v>
      </c>
      <c r="E966" s="56">
        <v>20</v>
      </c>
    </row>
    <row r="967" spans="2:5" x14ac:dyDescent="0.2">
      <c r="B967" s="6" t="s">
        <v>940</v>
      </c>
      <c r="C967" s="6" t="s">
        <v>640</v>
      </c>
      <c r="D967" s="28" t="str">
        <f>IF(INICIAL[[#This Row],[CODIGO]]="", "", VLOOKUP(INICIAL[[#This Row],[CODIGO]], PRODUCTOS[#All], 2, FALSE))</f>
        <v xml:space="preserve">Conector tope 6 Burndy corto </v>
      </c>
      <c r="E967" s="56">
        <v>12</v>
      </c>
    </row>
    <row r="968" spans="2:5" x14ac:dyDescent="0.2">
      <c r="B968" s="6" t="s">
        <v>940</v>
      </c>
      <c r="C968" s="6" t="s">
        <v>636</v>
      </c>
      <c r="D968" s="28" t="str">
        <f>IF(INICIAL[[#This Row],[CODIGO]]="", "", VLOOKUP(INICIAL[[#This Row],[CODIGO]], PRODUCTOS[#All], 2, FALSE))</f>
        <v>Conector tope 4 Burndy corto</v>
      </c>
      <c r="E968" s="56">
        <v>7</v>
      </c>
    </row>
    <row r="969" spans="2:5" x14ac:dyDescent="0.2">
      <c r="B969" s="6" t="s">
        <v>940</v>
      </c>
      <c r="C969" s="6" t="s">
        <v>634</v>
      </c>
      <c r="D969" s="28" t="str">
        <f>IF(INICIAL[[#This Row],[CODIGO]]="", "", VLOOKUP(INICIAL[[#This Row],[CODIGO]], PRODUCTOS[#All], 2, FALSE))</f>
        <v xml:space="preserve">Conector tope 2 Burndy corto </v>
      </c>
      <c r="E969" s="56">
        <v>27</v>
      </c>
    </row>
    <row r="970" spans="2:5" x14ac:dyDescent="0.2">
      <c r="B970" s="6" t="s">
        <v>940</v>
      </c>
      <c r="C970" s="6" t="s">
        <v>626</v>
      </c>
      <c r="D970" s="28" t="str">
        <f>IF(INICIAL[[#This Row],[CODIGO]]="", "", VLOOKUP(INICIAL[[#This Row],[CODIGO]], PRODUCTOS[#All], 2, FALSE))</f>
        <v xml:space="preserve">Conctor tope 1/0 Burndy corto </v>
      </c>
      <c r="E970" s="56">
        <v>24</v>
      </c>
    </row>
    <row r="971" spans="2:5" x14ac:dyDescent="0.2">
      <c r="B971" s="6" t="s">
        <v>940</v>
      </c>
      <c r="C971" s="6" t="s">
        <v>644</v>
      </c>
      <c r="D971" s="28" t="str">
        <f>IF(INICIAL[[#This Row],[CODIGO]]="", "", VLOOKUP(INICIAL[[#This Row],[CODIGO]], PRODUCTOS[#All], 2, FALSE))</f>
        <v xml:space="preserve">Conector tope 3/0 Burndy largo </v>
      </c>
      <c r="E971" s="56">
        <v>1</v>
      </c>
    </row>
    <row r="972" spans="2:5" x14ac:dyDescent="0.2">
      <c r="B972" s="6" t="s">
        <v>940</v>
      </c>
      <c r="C972" s="6" t="s">
        <v>624</v>
      </c>
      <c r="D972" s="28" t="str">
        <f>IF(INICIAL[[#This Row],[CODIGO]]="", "", VLOOKUP(INICIAL[[#This Row],[CODIGO]], PRODUCTOS[#All], 2, FALSE))</f>
        <v xml:space="preserve">Conector tope 2/0 Burndy corto </v>
      </c>
      <c r="E972" s="56">
        <v>23</v>
      </c>
    </row>
    <row r="973" spans="2:5" x14ac:dyDescent="0.2">
      <c r="B973" s="6" t="s">
        <v>940</v>
      </c>
      <c r="C973" s="6" t="s">
        <v>632</v>
      </c>
      <c r="D973" s="28" t="str">
        <f>IF(INICIAL[[#This Row],[CODIGO]]="", "", VLOOKUP(INICIAL[[#This Row],[CODIGO]], PRODUCTOS[#All], 2, FALSE))</f>
        <v xml:space="preserve">Conector tope 3/0 Burndy corto </v>
      </c>
      <c r="E973" s="56">
        <v>25</v>
      </c>
    </row>
    <row r="974" spans="2:5" x14ac:dyDescent="0.2">
      <c r="B974" s="6" t="s">
        <v>940</v>
      </c>
      <c r="C974" s="6" t="s">
        <v>628</v>
      </c>
      <c r="D974" s="28" t="str">
        <f>IF(INICIAL[[#This Row],[CODIGO]]="", "", VLOOKUP(INICIAL[[#This Row],[CODIGO]], PRODUCTOS[#All], 2, FALSE))</f>
        <v xml:space="preserve">Conector tope 4/0 AWG Burndy corto </v>
      </c>
      <c r="E974" s="56">
        <v>35</v>
      </c>
    </row>
    <row r="975" spans="2:5" x14ac:dyDescent="0.2">
      <c r="B975" s="6" t="s">
        <v>940</v>
      </c>
      <c r="C975" s="6" t="s">
        <v>654</v>
      </c>
      <c r="D975" s="28" t="str">
        <f>IF(INICIAL[[#This Row],[CODIGO]]="", "", VLOOKUP(INICIAL[[#This Row],[CODIGO]], PRODUCTOS[#All], 2, FALSE))</f>
        <v xml:space="preserve">Conector ojo 350 KCMIL Burndy largo </v>
      </c>
      <c r="E975" s="56">
        <v>14</v>
      </c>
    </row>
    <row r="976" spans="2:5" x14ac:dyDescent="0.2">
      <c r="B976" s="6" t="s">
        <v>940</v>
      </c>
      <c r="C976" s="6" t="s">
        <v>656</v>
      </c>
      <c r="D976" s="28" t="str">
        <f>IF(INICIAL[[#This Row],[CODIGO]]="", "", VLOOKUP(INICIAL[[#This Row],[CODIGO]], PRODUCTOS[#All], 2, FALSE))</f>
        <v xml:space="preserve">Conector ojo 250 KCMIL Burndy largo </v>
      </c>
      <c r="E976" s="56">
        <v>15</v>
      </c>
    </row>
    <row r="977" spans="2:5" x14ac:dyDescent="0.2">
      <c r="B977" s="6" t="s">
        <v>940</v>
      </c>
      <c r="C977" s="6" t="s">
        <v>662</v>
      </c>
      <c r="D977" s="28" t="str">
        <f>IF(INICIAL[[#This Row],[CODIGO]]="", "", VLOOKUP(INICIAL[[#This Row],[CODIGO]], PRODUCTOS[#All], 2, FALSE))</f>
        <v xml:space="preserve">Conector ojo 4 Burndy corto </v>
      </c>
      <c r="E977" s="56">
        <v>26</v>
      </c>
    </row>
    <row r="978" spans="2:5" x14ac:dyDescent="0.2">
      <c r="B978" s="6" t="s">
        <v>940</v>
      </c>
      <c r="C978" s="12" t="s">
        <v>660</v>
      </c>
      <c r="D978" s="29" t="str">
        <f>IF(INICIAL[[#This Row],[CODIGO]]="", "", VLOOKUP(INICIAL[[#This Row],[CODIGO]], PRODUCTOS[#All], 2, FALSE))</f>
        <v xml:space="preserve">Conector ojo 2 Burndy corto </v>
      </c>
      <c r="E978" s="61">
        <v>32</v>
      </c>
    </row>
    <row r="979" spans="2:5" x14ac:dyDescent="0.2">
      <c r="B979" s="12" t="s">
        <v>940</v>
      </c>
      <c r="C979" s="12" t="s">
        <v>650</v>
      </c>
      <c r="D979" s="29" t="str">
        <f>IF(INICIAL[[#This Row],[CODIGO]]="", "", VLOOKUP(INICIAL[[#This Row],[CODIGO]], PRODUCTOS[#All], 2, FALSE))</f>
        <v xml:space="preserve">Conector ojo 1/0 Burndy corto </v>
      </c>
      <c r="E979" s="61">
        <v>35</v>
      </c>
    </row>
    <row r="980" spans="2:5" x14ac:dyDescent="0.2">
      <c r="B980" s="6" t="s">
        <v>940</v>
      </c>
      <c r="C980" s="6" t="s">
        <v>646</v>
      </c>
      <c r="D980" s="28" t="str">
        <f>IF(INICIAL[[#This Row],[CODIGO]]="", "", VLOOKUP(INICIAL[[#This Row],[CODIGO]], PRODUCTOS[#All], 2, FALSE))</f>
        <v xml:space="preserve">Conector ojo 2/0 Burndy corto </v>
      </c>
      <c r="E980" s="56">
        <v>30</v>
      </c>
    </row>
    <row r="981" spans="2:5" x14ac:dyDescent="0.2">
      <c r="B981" s="6" t="s">
        <v>940</v>
      </c>
      <c r="C981" s="6" t="s">
        <v>648</v>
      </c>
      <c r="D981" s="28" t="str">
        <f>IF(INICIAL[[#This Row],[CODIGO]]="", "", VLOOKUP(INICIAL[[#This Row],[CODIGO]], PRODUCTOS[#All], 2, FALSE))</f>
        <v xml:space="preserve">Conector ojo 3/0 Burndy corto </v>
      </c>
      <c r="E981" s="56">
        <v>19</v>
      </c>
    </row>
    <row r="982" spans="2:5" x14ac:dyDescent="0.2">
      <c r="B982" s="12" t="s">
        <v>940</v>
      </c>
      <c r="C982" s="12" t="s">
        <v>648</v>
      </c>
      <c r="D982" s="29" t="str">
        <f>IF(INICIAL[[#This Row],[CODIGO]]="", "", VLOOKUP(INICIAL[[#This Row],[CODIGO]], PRODUCTOS[#All], 2, FALSE))</f>
        <v xml:space="preserve">Conector ojo 3/0 Burndy corto </v>
      </c>
      <c r="E982" s="61">
        <v>27</v>
      </c>
    </row>
    <row r="983" spans="2:5" x14ac:dyDescent="0.2">
      <c r="B983" s="12" t="s">
        <v>940</v>
      </c>
      <c r="C983" s="12" t="s">
        <v>652</v>
      </c>
      <c r="D983" s="29" t="str">
        <f>IF(INICIAL[[#This Row],[CODIGO]]="", "", VLOOKUP(INICIAL[[#This Row],[CODIGO]], PRODUCTOS[#All], 2, FALSE))</f>
        <v xml:space="preserve">Conector ojo 4/0 Burndy corto </v>
      </c>
      <c r="E983" s="61">
        <v>30</v>
      </c>
    </row>
    <row r="984" spans="2:5" x14ac:dyDescent="0.2">
      <c r="B984" s="12" t="s">
        <v>940</v>
      </c>
      <c r="C984" s="12" t="s">
        <v>652</v>
      </c>
      <c r="D984" s="29" t="str">
        <f>IF(INICIAL[[#This Row],[CODIGO]]="", "", VLOOKUP(INICIAL[[#This Row],[CODIGO]], PRODUCTOS[#All], 2, FALSE))</f>
        <v xml:space="preserve">Conector ojo 4/0 Burndy corto </v>
      </c>
      <c r="E984" s="61">
        <v>6</v>
      </c>
    </row>
    <row r="985" spans="2:5" x14ac:dyDescent="0.2">
      <c r="B985" s="12" t="s">
        <v>940</v>
      </c>
      <c r="C985" s="12" t="s">
        <v>892</v>
      </c>
      <c r="D985" s="29" t="str">
        <f>IF(INICIAL[[#This Row],[CODIGO]]="", "", VLOOKUP(INICIAL[[#This Row],[CODIGO]], PRODUCTOS[#All], 2, FALSE))</f>
        <v>Vasos negros</v>
      </c>
      <c r="E985" s="61">
        <v>35</v>
      </c>
    </row>
    <row r="986" spans="2:5" x14ac:dyDescent="0.2">
      <c r="B986" s="12" t="s">
        <v>940</v>
      </c>
      <c r="C986" s="12" t="s">
        <v>1991</v>
      </c>
      <c r="D986" s="29" t="s">
        <v>1992</v>
      </c>
      <c r="E986" s="61">
        <v>40</v>
      </c>
    </row>
    <row r="987" spans="2:5" x14ac:dyDescent="0.2">
      <c r="B987" s="12" t="s">
        <v>940</v>
      </c>
      <c r="C987" s="12" t="s">
        <v>1995</v>
      </c>
      <c r="D987" s="29" t="str">
        <f>IF(INICIAL[[#This Row],[CODIGO]]="", "", VLOOKUP(INICIAL[[#This Row],[CODIGO]], PRODUCTOS[#All], 2, FALSE))</f>
        <v xml:space="preserve">Gorras trucker </v>
      </c>
      <c r="E987" s="61">
        <v>48</v>
      </c>
    </row>
    <row r="988" spans="2:5" x14ac:dyDescent="0.2">
      <c r="B988" s="6" t="s">
        <v>1997</v>
      </c>
      <c r="C988" s="6" t="s">
        <v>1999</v>
      </c>
      <c r="D988" s="28" t="str">
        <f>IF(INICIAL[[#This Row],[CODIGO]]="", "", VLOOKUP(INICIAL[[#This Row],[CODIGO]], PRODUCTOS[#All], 2, FALSE))</f>
        <v>Troqueles manuales letras 8mm</v>
      </c>
      <c r="E988" s="56">
        <v>1</v>
      </c>
    </row>
    <row r="989" spans="2:5" x14ac:dyDescent="0.2">
      <c r="B989" s="12" t="s">
        <v>1997</v>
      </c>
      <c r="C989" s="12" t="s">
        <v>2000</v>
      </c>
      <c r="D989" s="29" t="str">
        <f>IF(INICIAL[[#This Row],[CODIGO]]="", "", VLOOKUP(INICIAL[[#This Row],[CODIGO]], PRODUCTOS[#All], 2, FALSE))</f>
        <v>Troqueles manuales números 8mm</v>
      </c>
      <c r="E989" s="61">
        <v>1</v>
      </c>
    </row>
    <row r="990" spans="2:5" x14ac:dyDescent="0.2">
      <c r="B990" s="6" t="s">
        <v>940</v>
      </c>
      <c r="C990" s="6" t="s">
        <v>2002</v>
      </c>
      <c r="D990" s="28" t="str">
        <f>IF(INICIAL[[#This Row],[CODIGO]]="", "", VLOOKUP(INICIAL[[#This Row],[CODIGO]], PRODUCTOS[#All], 2, FALSE))</f>
        <v>Luminaria interior Led</v>
      </c>
      <c r="E990" s="56">
        <v>3</v>
      </c>
    </row>
    <row r="991" spans="2:5" x14ac:dyDescent="0.2">
      <c r="B991" s="6" t="s">
        <v>940</v>
      </c>
      <c r="C991" s="6" t="s">
        <v>2004</v>
      </c>
      <c r="D991" s="28" t="str">
        <f>IF(INICIAL[[#This Row],[CODIGO]]="", "", VLOOKUP(INICIAL[[#This Row],[CODIGO]], PRODUCTOS[#All], 2, FALSE))</f>
        <v>Reflector Led 20w</v>
      </c>
      <c r="E991" s="56">
        <v>1</v>
      </c>
    </row>
    <row r="992" spans="2:5" x14ac:dyDescent="0.2">
      <c r="B992" s="6" t="s">
        <v>940</v>
      </c>
      <c r="C992" s="6" t="s">
        <v>2006</v>
      </c>
      <c r="D992" s="28" t="str">
        <f>IF(INICIAL[[#This Row],[CODIGO]]="", "", VLOOKUP(INICIAL[[#This Row],[CODIGO]], PRODUCTOS[#All], 2, FALSE))</f>
        <v>Extension Naranja 5m</v>
      </c>
      <c r="E992" s="56">
        <v>1</v>
      </c>
    </row>
    <row r="993" spans="2:5" x14ac:dyDescent="0.2">
      <c r="B993" s="6" t="s">
        <v>940</v>
      </c>
      <c r="C993" s="6" t="s">
        <v>2008</v>
      </c>
      <c r="D993" s="28" t="str">
        <f>IF(INICIAL[[#This Row],[CODIGO]]="", "", VLOOKUP(INICIAL[[#This Row],[CODIGO]], PRODUCTOS[#All], 2, FALSE))</f>
        <v xml:space="preserve">Luminario de pinza </v>
      </c>
      <c r="E993" s="56">
        <v>1</v>
      </c>
    </row>
    <row r="994" spans="2:5" x14ac:dyDescent="0.2">
      <c r="B994" s="6" t="s">
        <v>940</v>
      </c>
      <c r="C994" s="6" t="s">
        <v>2010</v>
      </c>
      <c r="D994" s="28" t="str">
        <f>IF(INICIAL[[#This Row],[CODIGO]]="", "", VLOOKUP(INICIAL[[#This Row],[CODIGO]], PRODUCTOS[#All], 2, FALSE))</f>
        <v>Foco Led A19 Paq 3</v>
      </c>
      <c r="E994" s="56">
        <v>1</v>
      </c>
    </row>
    <row r="995" spans="2:5" x14ac:dyDescent="0.2">
      <c r="B995" s="12"/>
      <c r="C995" s="12"/>
      <c r="D995" s="29" t="str">
        <f>IF(INICIAL[[#This Row],[CODIGO]]="", "", VLOOKUP(INICIAL[[#This Row],[CODIGO]], PRODUCTOS[#All], 2, FALSE))</f>
        <v/>
      </c>
      <c r="E995" s="61"/>
    </row>
    <row r="996" spans="2:5" x14ac:dyDescent="0.2">
      <c r="B996" s="6" t="s">
        <v>940</v>
      </c>
      <c r="C996" s="6" t="s">
        <v>2012</v>
      </c>
      <c r="D996" s="28" t="str">
        <f>IF(INICIAL[[#This Row],[CODIGO]]="", "", VLOOKUP(INICIAL[[#This Row],[CODIGO]], PRODUCTOS[#All], 2, FALSE))</f>
        <v xml:space="preserve">Gato vertical </v>
      </c>
      <c r="E996" s="56">
        <v>2</v>
      </c>
    </row>
    <row r="997" spans="2:5" x14ac:dyDescent="0.2">
      <c r="B997" s="6" t="s">
        <v>940</v>
      </c>
      <c r="C997" s="6" t="s">
        <v>2013</v>
      </c>
      <c r="D997" s="28" t="str">
        <f>IF(INICIAL[[#This Row],[CODIGO]]="", "", VLOOKUP(INICIAL[[#This Row],[CODIGO]], PRODUCTOS[#All], 2, FALSE))</f>
        <v xml:space="preserve">Caiman de cadena </v>
      </c>
      <c r="E997" s="56">
        <v>2</v>
      </c>
    </row>
    <row r="998" spans="2:5" x14ac:dyDescent="0.2">
      <c r="B998" s="6" t="s">
        <v>940</v>
      </c>
      <c r="C998" s="6" t="s">
        <v>2014</v>
      </c>
      <c r="D998" s="28" t="str">
        <f>IF(INICIAL[[#This Row],[CODIGO]]="", "", VLOOKUP(INICIAL[[#This Row],[CODIGO]], PRODUCTOS[#All], 2, FALSE))</f>
        <v>Juego de pinzas de presión SHAWTY</v>
      </c>
      <c r="E998" s="56">
        <v>1</v>
      </c>
    </row>
    <row r="999" spans="2:5" x14ac:dyDescent="0.2">
      <c r="B999" s="12" t="s">
        <v>940</v>
      </c>
      <c r="C999" s="12" t="s">
        <v>2015</v>
      </c>
      <c r="D999" s="29" t="str">
        <f>IF(INICIAL[[#This Row],[CODIGO]]="", "", VLOOKUP(INICIAL[[#This Row],[CODIGO]], PRODUCTOS[#All], 2, FALSE))</f>
        <v xml:space="preserve">Cintas de colores anchas </v>
      </c>
      <c r="E999" s="61">
        <v>24</v>
      </c>
    </row>
    <row r="1000" spans="2:5" x14ac:dyDescent="0.2">
      <c r="B1000" s="6" t="s">
        <v>940</v>
      </c>
      <c r="C1000" s="12" t="s">
        <v>2020</v>
      </c>
      <c r="D1000" s="28" t="str">
        <f>IF(INICIAL[[#This Row],[CODIGO]]="", "", VLOOKUP(INICIAL[[#This Row],[CODIGO]], PRODUCTOS[#All], 2, FALSE))</f>
        <v>Kit de empate 4/0</v>
      </c>
      <c r="E1000" s="56">
        <v>6</v>
      </c>
    </row>
    <row r="1001" spans="2:5" x14ac:dyDescent="0.2">
      <c r="B1001" s="6"/>
      <c r="C1001" s="6"/>
      <c r="D1001" s="28" t="str">
        <f>IF(INICIAL[[#This Row],[CODIGO]]="", "", VLOOKUP(INICIAL[[#This Row],[CODIGO]], PRODUCTOS[#All], 2, FALSE))</f>
        <v/>
      </c>
      <c r="E1001" s="56"/>
    </row>
    <row r="1002" spans="2:5" x14ac:dyDescent="0.2">
      <c r="B1002" s="12"/>
      <c r="C1002" s="12"/>
      <c r="D1002" s="29" t="str">
        <f>IF(INICIAL[[#This Row],[CODIGO]]="", "", VLOOKUP(INICIAL[[#This Row],[CODIGO]], PRODUCTOS[#All], 2, FALSE))</f>
        <v/>
      </c>
      <c r="E1002" s="61"/>
    </row>
  </sheetData>
  <phoneticPr fontId="5" type="noConversion"/>
  <dataValidations count="1">
    <dataValidation type="list" allowBlank="1" showInputMessage="1" showErrorMessage="1" sqref="B6:B1002" xr:uid="{54F0B17A-1158-934A-AAEA-2D5F5BC0AEFD}">
      <formula1>INDIRECT("SUCURSALES")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741A-3263-BE4B-B3EA-17C356577C46}">
  <dimension ref="B1:O100"/>
  <sheetViews>
    <sheetView showGridLines="0" topLeftCell="A45" workbookViewId="0">
      <selection activeCell="B51" sqref="B51"/>
    </sheetView>
  </sheetViews>
  <sheetFormatPr baseColWidth="10" defaultColWidth="10.875" defaultRowHeight="15" x14ac:dyDescent="0.2"/>
  <cols>
    <col min="1" max="1" width="4.875" style="1" customWidth="1"/>
    <col min="2" max="2" width="17.375" style="1" customWidth="1"/>
    <col min="3" max="3" width="25.5" style="1" customWidth="1"/>
    <col min="4" max="4" width="25.375" style="1" customWidth="1"/>
    <col min="5" max="5" width="40.625" style="1" customWidth="1"/>
    <col min="6" max="6" width="16.875" style="1" customWidth="1"/>
    <col min="7" max="10" width="40.875" style="1" customWidth="1"/>
    <col min="11" max="11" width="10.875" style="1"/>
    <col min="12" max="13" width="40.875" style="1" customWidth="1"/>
    <col min="14" max="14" width="10.875" style="1"/>
    <col min="15" max="15" width="40.875" style="1" customWidth="1"/>
    <col min="16" max="16384" width="10.875" style="1"/>
  </cols>
  <sheetData>
    <row r="1" spans="2:15" s="3" customFormat="1" ht="39.950000000000003" customHeight="1" x14ac:dyDescent="0.2"/>
    <row r="2" spans="2:15" s="2" customFormat="1" ht="29.1" customHeight="1" x14ac:dyDescent="0.2"/>
    <row r="3" spans="2:15" s="7" customFormat="1" x14ac:dyDescent="0.2"/>
    <row r="4" spans="2:15" s="7" customFormat="1" x14ac:dyDescent="0.2"/>
    <row r="5" spans="2:15" s="8" customFormat="1" ht="30" customHeight="1" x14ac:dyDescent="0.25">
      <c r="B5" s="4" t="s">
        <v>5</v>
      </c>
      <c r="C5" s="5" t="s">
        <v>2</v>
      </c>
      <c r="D5" s="4" t="s">
        <v>3</v>
      </c>
      <c r="E5" s="4" t="s">
        <v>0</v>
      </c>
      <c r="F5" s="4" t="s">
        <v>4</v>
      </c>
      <c r="G5" s="10"/>
      <c r="H5" s="10"/>
      <c r="I5" s="10"/>
      <c r="K5" s="9"/>
      <c r="L5" s="9"/>
      <c r="N5" s="9"/>
      <c r="O5" s="9"/>
    </row>
    <row r="6" spans="2:15" s="8" customFormat="1" ht="30" customHeight="1" x14ac:dyDescent="0.25">
      <c r="B6" s="34">
        <v>46072</v>
      </c>
      <c r="C6" s="14" t="s">
        <v>940</v>
      </c>
      <c r="D6" s="21" t="s">
        <v>79</v>
      </c>
      <c r="E6" s="23" t="str">
        <f>IF(ENTRADAS[[#This Row],[CODIGO]]="", "", VLOOKUP(ENTRADAS[[#This Row],[CODIGO]], PRODUCTOS[#All], 2, FALSE))</f>
        <v>Rollo alambre cal. 10</v>
      </c>
      <c r="F6" s="33">
        <v>13</v>
      </c>
    </row>
    <row r="7" spans="2:15" s="8" customFormat="1" ht="30" customHeight="1" x14ac:dyDescent="0.25">
      <c r="B7" s="34">
        <v>46078</v>
      </c>
      <c r="C7" s="14" t="s">
        <v>940</v>
      </c>
      <c r="D7" s="20" t="s">
        <v>85</v>
      </c>
      <c r="E7" s="23" t="str">
        <f>IF(ENTRADAS[[#This Row],[CODIGO]]="", "", VLOOKUP(ENTRADAS[[#This Row],[CODIGO]], PRODUCTOS[#All], 2, FALSE))</f>
        <v>Resina c/endurecedor</v>
      </c>
      <c r="F7" s="33">
        <v>1</v>
      </c>
    </row>
    <row r="8" spans="2:15" s="8" customFormat="1" ht="30" customHeight="1" x14ac:dyDescent="0.25">
      <c r="B8" s="34">
        <v>46078</v>
      </c>
      <c r="C8" s="14" t="s">
        <v>940</v>
      </c>
      <c r="D8" s="20" t="s">
        <v>626</v>
      </c>
      <c r="E8" s="23" t="str">
        <f>IF(ENTRADAS[[#This Row],[CODIGO]]="", "", VLOOKUP(ENTRADAS[[#This Row],[CODIGO]], PRODUCTOS[#All], 2, FALSE))</f>
        <v xml:space="preserve">Conctor tope 1/0 Burndy corto </v>
      </c>
      <c r="F8" s="31">
        <v>7</v>
      </c>
    </row>
    <row r="9" spans="2:15" s="8" customFormat="1" ht="30" customHeight="1" x14ac:dyDescent="0.25">
      <c r="B9" s="34">
        <v>46078</v>
      </c>
      <c r="C9" s="14" t="s">
        <v>940</v>
      </c>
      <c r="D9" s="20" t="s">
        <v>634</v>
      </c>
      <c r="E9" s="23" t="str">
        <f>IF(ENTRADAS[[#This Row],[CODIGO]]="", "", VLOOKUP(ENTRADAS[[#This Row],[CODIGO]], PRODUCTOS[#All], 2, FALSE))</f>
        <v xml:space="preserve">Conector tope 2 Burndy corto </v>
      </c>
      <c r="F9" s="33">
        <v>3</v>
      </c>
    </row>
    <row r="10" spans="2:15" s="8" customFormat="1" ht="30" customHeight="1" x14ac:dyDescent="0.25">
      <c r="B10" s="34">
        <v>46078</v>
      </c>
      <c r="C10" s="14" t="s">
        <v>940</v>
      </c>
      <c r="D10" s="20" t="s">
        <v>636</v>
      </c>
      <c r="E10" s="23" t="str">
        <f>IF(ENTRADAS[[#This Row],[CODIGO]]="", "", VLOOKUP(ENTRADAS[[#This Row],[CODIGO]], PRODUCTOS[#All], 2, FALSE))</f>
        <v>Conector tope 4 Burndy corto</v>
      </c>
      <c r="F10" s="33">
        <v>2</v>
      </c>
    </row>
    <row r="11" spans="2:15" s="8" customFormat="1" ht="30" customHeight="1" x14ac:dyDescent="0.25">
      <c r="B11" s="34">
        <v>46078</v>
      </c>
      <c r="C11" s="14" t="s">
        <v>940</v>
      </c>
      <c r="D11" s="20" t="s">
        <v>628</v>
      </c>
      <c r="E11" s="23" t="str">
        <f>IF(ENTRADAS[[#This Row],[CODIGO]]="", "", VLOOKUP(ENTRADAS[[#This Row],[CODIGO]], PRODUCTOS[#All], 2, FALSE))</f>
        <v xml:space="preserve">Conector tope 4/0 AWG Burndy corto </v>
      </c>
      <c r="F11" s="33">
        <v>3</v>
      </c>
    </row>
    <row r="12" spans="2:15" s="8" customFormat="1" ht="30" customHeight="1" x14ac:dyDescent="0.25">
      <c r="B12" s="34">
        <v>46078</v>
      </c>
      <c r="C12" s="14" t="s">
        <v>940</v>
      </c>
      <c r="D12" s="20" t="s">
        <v>690</v>
      </c>
      <c r="E12" s="23" t="str">
        <f>IF(ENTRADAS[[#This Row],[CODIGO]]="", "", VLOOKUP(ENTRADAS[[#This Row],[CODIGO]], PRODUCTOS[#All], 2, FALSE))</f>
        <v>Conect. Ojo #2</v>
      </c>
      <c r="F12" s="33">
        <v>3</v>
      </c>
    </row>
    <row r="13" spans="2:15" s="8" customFormat="1" ht="30" customHeight="1" x14ac:dyDescent="0.25">
      <c r="B13" s="34" t="s">
        <v>1988</v>
      </c>
      <c r="C13" s="14" t="s">
        <v>940</v>
      </c>
      <c r="D13" s="20" t="s">
        <v>43</v>
      </c>
      <c r="E13" s="23" t="str">
        <f>IF(ENTRADAS[[#This Row],[CODIGO]]="", "", VLOOKUP(ENTRADAS[[#This Row],[CODIGO]], PRODUCTOS[#All], 2, FALSE))</f>
        <v>Cinta 3M 165 (Equipamiento)</v>
      </c>
      <c r="F13" s="33">
        <v>5</v>
      </c>
    </row>
    <row r="14" spans="2:15" s="8" customFormat="1" ht="30" customHeight="1" x14ac:dyDescent="0.25">
      <c r="B14" s="34">
        <v>46078</v>
      </c>
      <c r="C14" s="14" t="s">
        <v>940</v>
      </c>
      <c r="D14" s="20" t="s">
        <v>57</v>
      </c>
      <c r="E14" s="23" t="str">
        <f>IF(ENTRADAS[[#This Row],[CODIGO]]="", "", VLOOKUP(ENTRADAS[[#This Row],[CODIGO]], PRODUCTOS[#All], 2, FALSE))</f>
        <v>Cinta aislante Super 33</v>
      </c>
      <c r="F14" s="33">
        <v>1</v>
      </c>
    </row>
    <row r="15" spans="2:15" s="8" customFormat="1" ht="30" customHeight="1" x14ac:dyDescent="0.25">
      <c r="B15" s="34">
        <v>46078</v>
      </c>
      <c r="C15" s="14" t="s">
        <v>940</v>
      </c>
      <c r="D15" s="22" t="s">
        <v>69</v>
      </c>
      <c r="E15" s="23" t="str">
        <f>IF(ENTRADAS[[#This Row],[CODIGO]]="", "", VLOOKUP(ENTRADAS[[#This Row],[CODIGO]], PRODUCTOS[#All], 2, FALSE))</f>
        <v>Cinta  130C</v>
      </c>
      <c r="F15" s="32">
        <v>1</v>
      </c>
    </row>
    <row r="16" spans="2:15" s="8" customFormat="1" ht="30" customHeight="1" x14ac:dyDescent="0.25">
      <c r="B16" s="35">
        <v>46078</v>
      </c>
      <c r="C16" s="12" t="s">
        <v>940</v>
      </c>
      <c r="D16" s="22" t="s">
        <v>65</v>
      </c>
      <c r="E16" s="29" t="str">
        <f>IF(ENTRADAS[[#This Row],[CODIGO]]="", "", VLOOKUP(ENTRADAS[[#This Row],[CODIGO]], PRODUCTOS[#All], 2, FALSE))</f>
        <v>Cinta masilla (3M)</v>
      </c>
      <c r="F16" s="33">
        <v>1</v>
      </c>
    </row>
    <row r="17" spans="2:6" s="8" customFormat="1" ht="30" customHeight="1" x14ac:dyDescent="0.25">
      <c r="B17" s="34">
        <v>46078</v>
      </c>
      <c r="C17" s="6" t="s">
        <v>940</v>
      </c>
      <c r="D17" s="20" t="s">
        <v>79</v>
      </c>
      <c r="E17" s="28" t="str">
        <f>IF(ENTRADAS[[#This Row],[CODIGO]]="", "", VLOOKUP(ENTRADAS[[#This Row],[CODIGO]], PRODUCTOS[#All], 2, FALSE))</f>
        <v>Rollo alambre cal. 10</v>
      </c>
      <c r="F17" s="33">
        <v>1</v>
      </c>
    </row>
    <row r="18" spans="2:6" s="8" customFormat="1" ht="30" customHeight="1" x14ac:dyDescent="0.25">
      <c r="B18" s="34">
        <v>46085</v>
      </c>
      <c r="C18" s="6" t="s">
        <v>940</v>
      </c>
      <c r="D18" s="20" t="s">
        <v>886</v>
      </c>
      <c r="E18" s="28" t="str">
        <f>IF(ENTRADAS[[#This Row],[CODIGO]]="", "", VLOOKUP(ENTRADAS[[#This Row],[CODIGO]], PRODUCTOS[#All], 2, FALSE))</f>
        <v xml:space="preserve">Gorra gris jaspeado </v>
      </c>
      <c r="F18" s="33">
        <v>48</v>
      </c>
    </row>
    <row r="19" spans="2:6" s="8" customFormat="1" ht="30" customHeight="1" x14ac:dyDescent="0.25">
      <c r="B19" s="34">
        <v>46086</v>
      </c>
      <c r="C19" s="6" t="s">
        <v>940</v>
      </c>
      <c r="D19" s="20" t="s">
        <v>882</v>
      </c>
      <c r="E19" s="28" t="str">
        <f>IF(ENTRADAS[[#This Row],[CODIGO]]="", "", VLOOKUP(ENTRADAS[[#This Row],[CODIGO]], PRODUCTOS[#All], 2, FALSE))</f>
        <v xml:space="preserve">Mochilas naranjas </v>
      </c>
      <c r="F19" s="33">
        <v>100</v>
      </c>
    </row>
    <row r="20" spans="2:6" s="8" customFormat="1" ht="30" customHeight="1" x14ac:dyDescent="0.25">
      <c r="B20" s="34">
        <v>46086</v>
      </c>
      <c r="C20" s="6" t="s">
        <v>940</v>
      </c>
      <c r="D20" s="20" t="s">
        <v>884</v>
      </c>
      <c r="E20" s="28" t="str">
        <f>IF(ENTRADAS[[#This Row],[CODIGO]]="", "", VLOOKUP(ENTRADAS[[#This Row],[CODIGO]], PRODUCTOS[#All], 2, FALSE))</f>
        <v xml:space="preserve">Bolsas azules </v>
      </c>
      <c r="F20" s="33">
        <v>100</v>
      </c>
    </row>
    <row r="21" spans="2:6" s="8" customFormat="1" ht="30" customHeight="1" x14ac:dyDescent="0.25">
      <c r="B21" s="35">
        <v>46102</v>
      </c>
      <c r="C21" s="12" t="s">
        <v>940</v>
      </c>
      <c r="D21" s="22" t="s">
        <v>486</v>
      </c>
      <c r="E21" s="29" t="str">
        <f>IF(ENTRADAS[[#This Row],[CODIGO]]="", "", VLOOKUP(ENTRADAS[[#This Row],[CODIGO]], PRODUCTOS[#All], 2, FALSE))</f>
        <v>Manga 1 - 4/0 AWG</v>
      </c>
      <c r="F21" s="33">
        <v>40</v>
      </c>
    </row>
    <row r="22" spans="2:6" s="8" customFormat="1" ht="30" customHeight="1" x14ac:dyDescent="0.25">
      <c r="B22" s="35">
        <v>46102</v>
      </c>
      <c r="C22" s="12" t="s">
        <v>940</v>
      </c>
      <c r="D22" s="22" t="s">
        <v>488</v>
      </c>
      <c r="E22" s="29" t="str">
        <f>IF(ENTRADAS[[#This Row],[CODIGO]]="", "", VLOOKUP(ENTRADAS[[#This Row],[CODIGO]], PRODUCTOS[#All], 2, FALSE))</f>
        <v>manga 300 - 500 KCMIL</v>
      </c>
      <c r="F22" s="26">
        <v>60</v>
      </c>
    </row>
    <row r="23" spans="2:6" s="8" customFormat="1" ht="30" customHeight="1" x14ac:dyDescent="0.25">
      <c r="B23" s="35">
        <v>46102</v>
      </c>
      <c r="C23" s="12" t="s">
        <v>940</v>
      </c>
      <c r="D23" s="22" t="s">
        <v>546</v>
      </c>
      <c r="E23" s="29" t="str">
        <f>IF(ENTRADAS[[#This Row],[CODIGO]]="", "", VLOOKUP(ENTRADAS[[#This Row],[CODIGO]], PRODUCTOS[#All], 2, FALSE))</f>
        <v>Manga 600 - 1250 KCMIL</v>
      </c>
      <c r="F23" s="26">
        <v>60</v>
      </c>
    </row>
    <row r="24" spans="2:6" s="8" customFormat="1" ht="30" customHeight="1" x14ac:dyDescent="0.25">
      <c r="B24" s="35">
        <v>46104</v>
      </c>
      <c r="C24" s="12" t="s">
        <v>940</v>
      </c>
      <c r="D24" s="22" t="s">
        <v>546</v>
      </c>
      <c r="E24" s="29" t="str">
        <f>IF(ENTRADAS[[#This Row],[CODIGO]]="", "", VLOOKUP(ENTRADAS[[#This Row],[CODIGO]], PRODUCTOS[#All], 2, FALSE))</f>
        <v>Manga 600 - 1250 KCMIL</v>
      </c>
      <c r="F24" s="26">
        <v>60</v>
      </c>
    </row>
    <row r="25" spans="2:6" s="8" customFormat="1" ht="30" customHeight="1" x14ac:dyDescent="0.25">
      <c r="B25" s="68">
        <v>46104</v>
      </c>
      <c r="C25" s="6" t="s">
        <v>940</v>
      </c>
      <c r="D25" s="20" t="s">
        <v>486</v>
      </c>
      <c r="E25" s="28" t="str">
        <f>IF(ENTRADAS[[#This Row],[CODIGO]]="", "", VLOOKUP(ENTRADAS[[#This Row],[CODIGO]], PRODUCTOS[#All], 2, FALSE))</f>
        <v>Manga 1 - 4/0 AWG</v>
      </c>
      <c r="F25" s="26">
        <v>120</v>
      </c>
    </row>
    <row r="26" spans="2:6" s="8" customFormat="1" ht="30" customHeight="1" x14ac:dyDescent="0.25">
      <c r="B26" s="68">
        <v>46104</v>
      </c>
      <c r="C26" s="6" t="s">
        <v>940</v>
      </c>
      <c r="D26" s="20" t="s">
        <v>79</v>
      </c>
      <c r="E26" s="28" t="str">
        <f>IF(ENTRADAS[[#This Row],[CODIGO]]="", "", VLOOKUP(ENTRADAS[[#This Row],[CODIGO]], PRODUCTOS[#All], 2, FALSE))</f>
        <v>Rollo alambre cal. 10</v>
      </c>
      <c r="F26" s="26">
        <v>2</v>
      </c>
    </row>
    <row r="27" spans="2:6" s="8" customFormat="1" ht="30" customHeight="1" x14ac:dyDescent="0.25">
      <c r="B27" s="68">
        <v>46104</v>
      </c>
      <c r="C27" s="6" t="s">
        <v>940</v>
      </c>
      <c r="D27" s="20" t="s">
        <v>362</v>
      </c>
      <c r="E27" s="28" t="str">
        <f>IF(ENTRADAS[[#This Row],[CODIGO]]="", "", VLOOKUP(ENTRADAS[[#This Row],[CODIGO]], PRODUCTOS[#All], 2, FALSE))</f>
        <v>Tornillo hexagonal galvanizado 3/4" x 3 1/2"</v>
      </c>
      <c r="F27" s="26">
        <v>7</v>
      </c>
    </row>
    <row r="28" spans="2:6" s="8" customFormat="1" ht="30" customHeight="1" x14ac:dyDescent="0.25">
      <c r="B28" s="68">
        <v>46104</v>
      </c>
      <c r="C28" s="6" t="s">
        <v>940</v>
      </c>
      <c r="D28" s="20" t="s">
        <v>43</v>
      </c>
      <c r="E28" s="28" t="str">
        <f>IF(ENTRADAS[[#This Row],[CODIGO]]="", "", VLOOKUP(ENTRADAS[[#This Row],[CODIGO]], PRODUCTOS[#All], 2, FALSE))</f>
        <v>Cinta 3M 165 (Equipamiento)</v>
      </c>
      <c r="F28" s="26">
        <v>2</v>
      </c>
    </row>
    <row r="29" spans="2:6" s="8" customFormat="1" ht="30" customHeight="1" x14ac:dyDescent="0.25">
      <c r="B29" s="68">
        <v>46104</v>
      </c>
      <c r="C29" s="6" t="s">
        <v>940</v>
      </c>
      <c r="D29" s="20" t="s">
        <v>57</v>
      </c>
      <c r="E29" s="28" t="str">
        <f>IF(ENTRADAS[[#This Row],[CODIGO]]="", "", VLOOKUP(ENTRADAS[[#This Row],[CODIGO]], PRODUCTOS[#All], 2, FALSE))</f>
        <v>Cinta aislante Super 33</v>
      </c>
      <c r="F29" s="26">
        <v>7</v>
      </c>
    </row>
    <row r="30" spans="2:6" s="8" customFormat="1" ht="30" customHeight="1" x14ac:dyDescent="0.25">
      <c r="B30" s="68">
        <v>46104</v>
      </c>
      <c r="C30" s="6" t="s">
        <v>940</v>
      </c>
      <c r="D30" s="20" t="s">
        <v>69</v>
      </c>
      <c r="E30" s="28" t="str">
        <f>IF(ENTRADAS[[#This Row],[CODIGO]]="", "", VLOOKUP(ENTRADAS[[#This Row],[CODIGO]], PRODUCTOS[#All], 2, FALSE))</f>
        <v>Cinta  130C</v>
      </c>
      <c r="F30" s="26">
        <v>6</v>
      </c>
    </row>
    <row r="31" spans="2:6" s="8" customFormat="1" ht="30" customHeight="1" x14ac:dyDescent="0.25">
      <c r="B31" s="68">
        <v>46104</v>
      </c>
      <c r="C31" s="6" t="s">
        <v>940</v>
      </c>
      <c r="D31" s="20" t="s">
        <v>65</v>
      </c>
      <c r="E31" s="28" t="str">
        <f>IF(ENTRADAS[[#This Row],[CODIGO]]="", "", VLOOKUP(ENTRADAS[[#This Row],[CODIGO]], PRODUCTOS[#All], 2, FALSE))</f>
        <v>Cinta masilla (3M)</v>
      </c>
      <c r="F31" s="26">
        <v>1</v>
      </c>
    </row>
    <row r="32" spans="2:6" s="8" customFormat="1" ht="30" customHeight="1" x14ac:dyDescent="0.25">
      <c r="B32" s="68">
        <v>46104</v>
      </c>
      <c r="C32" s="6" t="s">
        <v>940</v>
      </c>
      <c r="D32" s="20" t="s">
        <v>630</v>
      </c>
      <c r="E32" s="28" t="str">
        <f>IF(ENTRADAS[[#This Row],[CODIGO]]="", "", VLOOKUP(ENTRADAS[[#This Row],[CODIGO]], PRODUCTOS[#All], 2, FALSE))</f>
        <v xml:space="preserve">Conector tope 250 KCMIL Burndy corto </v>
      </c>
      <c r="F32" s="26">
        <v>1</v>
      </c>
    </row>
    <row r="33" spans="2:6" s="8" customFormat="1" ht="30" customHeight="1" x14ac:dyDescent="0.25">
      <c r="B33" s="68">
        <v>46104</v>
      </c>
      <c r="C33" s="6" t="s">
        <v>940</v>
      </c>
      <c r="D33" s="20" t="s">
        <v>792</v>
      </c>
      <c r="E33" s="28" t="str">
        <f>IF(ENTRADAS[[#This Row],[CODIGO]]="", "", VLOOKUP(ENTRADAS[[#This Row],[CODIGO]], PRODUCTOS[#All], 2, FALSE))</f>
        <v>Empaque 6"</v>
      </c>
      <c r="F33" s="26">
        <v>2</v>
      </c>
    </row>
    <row r="34" spans="2:6" s="8" customFormat="1" ht="30" customHeight="1" x14ac:dyDescent="0.25">
      <c r="B34" s="69">
        <v>46104</v>
      </c>
      <c r="C34" s="12" t="s">
        <v>940</v>
      </c>
      <c r="D34" s="22" t="s">
        <v>794</v>
      </c>
      <c r="E34" s="29" t="str">
        <f>IF(ENTRADAS[[#This Row],[CODIGO]]="", "", VLOOKUP(ENTRADAS[[#This Row],[CODIGO]], PRODUCTOS[#All], 2, FALSE))</f>
        <v>Empaque 8"</v>
      </c>
      <c r="F34" s="26">
        <v>1</v>
      </c>
    </row>
    <row r="35" spans="2:6" s="8" customFormat="1" ht="30" customHeight="1" x14ac:dyDescent="0.25">
      <c r="B35" s="69">
        <v>46104</v>
      </c>
      <c r="C35" s="12" t="s">
        <v>940</v>
      </c>
      <c r="D35" s="22" t="s">
        <v>626</v>
      </c>
      <c r="E35" s="29" t="str">
        <f>IF(ENTRADAS[[#This Row],[CODIGO]]="", "", VLOOKUP(ENTRADAS[[#This Row],[CODIGO]], PRODUCTOS[#All], 2, FALSE))</f>
        <v xml:space="preserve">Conctor tope 1/0 Burndy corto </v>
      </c>
      <c r="F35" s="26">
        <v>1</v>
      </c>
    </row>
    <row r="36" spans="2:6" s="8" customFormat="1" ht="30" customHeight="1" x14ac:dyDescent="0.25">
      <c r="B36" s="68">
        <v>46104</v>
      </c>
      <c r="C36" s="6" t="s">
        <v>940</v>
      </c>
      <c r="D36" s="20" t="s">
        <v>488</v>
      </c>
      <c r="E36" s="28" t="str">
        <f>IF(ENTRADAS[[#This Row],[CODIGO]]="", "", VLOOKUP(ENTRADAS[[#This Row],[CODIGO]], PRODUCTOS[#All], 2, FALSE))</f>
        <v>manga 300 - 500 KCMIL</v>
      </c>
      <c r="F36" s="26">
        <v>60</v>
      </c>
    </row>
    <row r="37" spans="2:6" s="8" customFormat="1" ht="30" customHeight="1" x14ac:dyDescent="0.25">
      <c r="B37" s="68">
        <v>46104</v>
      </c>
      <c r="C37" s="6" t="s">
        <v>940</v>
      </c>
      <c r="D37" s="20" t="s">
        <v>624</v>
      </c>
      <c r="E37" s="28" t="str">
        <f>IF(ENTRADAS[[#This Row],[CODIGO]]="", "", VLOOKUP(ENTRADAS[[#This Row],[CODIGO]], PRODUCTOS[#All], 2, FALSE))</f>
        <v xml:space="preserve">Conector tope 2/0 Burndy corto </v>
      </c>
      <c r="F37" s="26">
        <v>10</v>
      </c>
    </row>
    <row r="38" spans="2:6" s="8" customFormat="1" ht="30" customHeight="1" x14ac:dyDescent="0.25">
      <c r="B38" s="69">
        <v>46107</v>
      </c>
      <c r="C38" s="12" t="s">
        <v>940</v>
      </c>
      <c r="D38" s="22" t="s">
        <v>906</v>
      </c>
      <c r="E38" s="29" t="str">
        <f>IF(ENTRADAS[[#This Row],[CODIGO]]="", "", VLOOKUP(ENTRADAS[[#This Row],[CODIGO]], PRODUCTOS[#All], 2, FALSE))</f>
        <v>Gorras gris malla</v>
      </c>
      <c r="F38" s="26">
        <v>48</v>
      </c>
    </row>
    <row r="39" spans="2:6" s="8" customFormat="1" ht="30" customHeight="1" x14ac:dyDescent="0.25">
      <c r="B39" s="69">
        <v>46107</v>
      </c>
      <c r="C39" s="12" t="s">
        <v>940</v>
      </c>
      <c r="D39" s="22" t="s">
        <v>904</v>
      </c>
      <c r="E39" s="29" t="str">
        <f>IF(ENTRADAS[[#This Row],[CODIGO]]="", "", VLOOKUP(ENTRADAS[[#This Row],[CODIGO]], PRODUCTOS[#All], 2, FALSE))</f>
        <v xml:space="preserve">Gorras camuflajeadas </v>
      </c>
      <c r="F39" s="26">
        <v>89</v>
      </c>
    </row>
    <row r="40" spans="2:6" s="8" customFormat="1" ht="30" customHeight="1" x14ac:dyDescent="0.25">
      <c r="B40" s="68">
        <v>46109</v>
      </c>
      <c r="C40" s="6" t="s">
        <v>940</v>
      </c>
      <c r="D40" s="20" t="s">
        <v>896</v>
      </c>
      <c r="E40" s="28" t="str">
        <f>IF(ENTRADAS[[#This Row],[CODIGO]]="", "", VLOOKUP(ENTRADAS[[#This Row],[CODIGO]], PRODUCTOS[#All], 2, FALSE))</f>
        <v xml:space="preserve">Gorra negra </v>
      </c>
      <c r="F40" s="26">
        <v>4</v>
      </c>
    </row>
    <row r="41" spans="2:6" s="8" customFormat="1" ht="30" customHeight="1" x14ac:dyDescent="0.25">
      <c r="B41" s="69">
        <v>46109</v>
      </c>
      <c r="C41" s="12" t="s">
        <v>940</v>
      </c>
      <c r="D41" s="22" t="s">
        <v>900</v>
      </c>
      <c r="E41" s="29" t="str">
        <f>IF(ENTRADAS[[#This Row],[CODIGO]]="", "", VLOOKUP(ENTRADAS[[#This Row],[CODIGO]], PRODUCTOS[#All], 2, FALSE))</f>
        <v xml:space="preserve">Gorra blanca </v>
      </c>
      <c r="F41" s="26">
        <v>3</v>
      </c>
    </row>
    <row r="42" spans="2:6" s="8" customFormat="1" ht="30" customHeight="1" x14ac:dyDescent="0.25">
      <c r="B42" s="69">
        <v>46109</v>
      </c>
      <c r="C42" s="12" t="s">
        <v>940</v>
      </c>
      <c r="D42" s="22" t="s">
        <v>886</v>
      </c>
      <c r="E42" s="29" t="str">
        <f>IF(ENTRADAS[[#This Row],[CODIGO]]="", "", VLOOKUP(ENTRADAS[[#This Row],[CODIGO]], PRODUCTOS[#All], 2, FALSE))</f>
        <v xml:space="preserve">Gorra gris jaspeado </v>
      </c>
      <c r="F42" s="26">
        <v>1</v>
      </c>
    </row>
    <row r="43" spans="2:6" s="8" customFormat="1" ht="30" customHeight="1" x14ac:dyDescent="0.25">
      <c r="B43" s="69">
        <v>46109</v>
      </c>
      <c r="C43" s="12" t="s">
        <v>940</v>
      </c>
      <c r="D43" s="22" t="s">
        <v>904</v>
      </c>
      <c r="E43" s="29" t="str">
        <f>IF(ENTRADAS[[#This Row],[CODIGO]]="", "", VLOOKUP(ENTRADAS[[#This Row],[CODIGO]], PRODUCTOS[#All], 2, FALSE))</f>
        <v xml:space="preserve">Gorras camuflajeadas </v>
      </c>
      <c r="F43" s="26">
        <v>11</v>
      </c>
    </row>
    <row r="44" spans="2:6" s="8" customFormat="1" ht="30" customHeight="1" x14ac:dyDescent="0.25">
      <c r="B44" s="69">
        <v>46109</v>
      </c>
      <c r="C44" s="12" t="s">
        <v>940</v>
      </c>
      <c r="D44" s="22" t="s">
        <v>914</v>
      </c>
      <c r="E44" s="29" t="str">
        <f>IF(ENTRADAS[[#This Row],[CODIGO]]="", "", VLOOKUP(ENTRADAS[[#This Row],[CODIGO]], PRODUCTOS[#All], 2, FALSE))</f>
        <v>Gorra naranja cuero</v>
      </c>
      <c r="F44" s="26">
        <v>1</v>
      </c>
    </row>
    <row r="45" spans="2:6" s="8" customFormat="1" ht="30" customHeight="1" x14ac:dyDescent="0.25">
      <c r="B45" s="68">
        <v>46109</v>
      </c>
      <c r="C45" s="6" t="s">
        <v>940</v>
      </c>
      <c r="D45" s="20" t="s">
        <v>906</v>
      </c>
      <c r="E45" s="28" t="str">
        <f>IF(ENTRADAS[[#This Row],[CODIGO]]="", "", VLOOKUP(ENTRADAS[[#This Row],[CODIGO]], PRODUCTOS[#All], 2, FALSE))</f>
        <v>Gorras gris malla</v>
      </c>
      <c r="F45" s="26">
        <v>1</v>
      </c>
    </row>
    <row r="46" spans="2:6" s="8" customFormat="1" ht="30" customHeight="1" x14ac:dyDescent="0.25">
      <c r="B46" s="69">
        <v>46109</v>
      </c>
      <c r="C46" s="12" t="s">
        <v>940</v>
      </c>
      <c r="D46" s="22" t="s">
        <v>874</v>
      </c>
      <c r="E46" s="29" t="str">
        <f>IF(ENTRADAS[[#This Row],[CODIGO]]="", "", VLOOKUP(ENTRADAS[[#This Row],[CODIGO]], PRODUCTOS[#All], 2, FALSE))</f>
        <v xml:space="preserve">Lapiceras fosforescentes </v>
      </c>
      <c r="F46" s="26">
        <v>9</v>
      </c>
    </row>
    <row r="47" spans="2:6" s="8" customFormat="1" ht="30" customHeight="1" x14ac:dyDescent="0.25">
      <c r="B47" s="68">
        <v>46109</v>
      </c>
      <c r="C47" s="6" t="s">
        <v>940</v>
      </c>
      <c r="D47" s="20" t="s">
        <v>872</v>
      </c>
      <c r="E47" s="28" t="str">
        <f>IF(ENTRADAS[[#This Row],[CODIGO]]="", "", VLOOKUP(ENTRADAS[[#This Row],[CODIGO]], PRODUCTOS[#All], 2, FALSE))</f>
        <v xml:space="preserve">Lapiceras Azul c/blanco </v>
      </c>
      <c r="F47" s="26">
        <v>8</v>
      </c>
    </row>
    <row r="48" spans="2:6" s="8" customFormat="1" ht="30" customHeight="1" x14ac:dyDescent="0.25">
      <c r="B48" s="69">
        <v>46109</v>
      </c>
      <c r="C48" s="12" t="s">
        <v>940</v>
      </c>
      <c r="D48" s="22" t="s">
        <v>876</v>
      </c>
      <c r="E48" s="29" t="str">
        <f>IF(ENTRADAS[[#This Row],[CODIGO]]="", "", VLOOKUP(ENTRADAS[[#This Row],[CODIGO]], PRODUCTOS[#All], 2, FALSE))</f>
        <v>Lapiceras negra c/plata</v>
      </c>
      <c r="F48" s="26">
        <v>9</v>
      </c>
    </row>
    <row r="49" spans="2:6" s="8" customFormat="1" ht="30" customHeight="1" x14ac:dyDescent="0.25">
      <c r="B49" s="68">
        <v>46109</v>
      </c>
      <c r="C49" s="6" t="s">
        <v>940</v>
      </c>
      <c r="D49" s="20" t="s">
        <v>898</v>
      </c>
      <c r="E49" s="28" t="str">
        <f>IF(ENTRADAS[[#This Row],[CODIGO]]="", "", VLOOKUP(ENTRADAS[[#This Row],[CODIGO]], PRODUCTOS[#All], 2, FALSE))</f>
        <v>Gorra blanco y negro malla</v>
      </c>
      <c r="F49" s="26">
        <v>7</v>
      </c>
    </row>
    <row r="50" spans="2:6" s="8" customFormat="1" ht="30" customHeight="1" x14ac:dyDescent="0.25">
      <c r="B50" s="69">
        <v>46083</v>
      </c>
      <c r="C50" s="12" t="s">
        <v>940</v>
      </c>
      <c r="D50" s="22" t="s">
        <v>95</v>
      </c>
      <c r="E50" s="29" t="str">
        <f>IF(ENTRADAS[[#This Row],[CODIGO]]="", "", VLOOKUP(ENTRADAS[[#This Row],[CODIGO]], PRODUCTOS[#All], 2, FALSE))</f>
        <v>Eslabón fusible 27/15 KV 20amp</v>
      </c>
      <c r="F50" s="26">
        <v>1</v>
      </c>
    </row>
    <row r="51" spans="2:6" s="8" customFormat="1" ht="30" customHeight="1" x14ac:dyDescent="0.25">
      <c r="B51" s="68"/>
      <c r="C51" s="6"/>
      <c r="D51" s="20"/>
      <c r="E51" s="28" t="str">
        <f>IF(ENTRADAS[[#This Row],[CODIGO]]="", "", VLOOKUP(ENTRADAS[[#This Row],[CODIGO]], PRODUCTOS[#All], 2, FALSE))</f>
        <v/>
      </c>
      <c r="F51" s="26"/>
    </row>
    <row r="52" spans="2:6" s="8" customFormat="1" ht="30" customHeight="1" x14ac:dyDescent="0.25">
      <c r="B52" s="68"/>
      <c r="C52" s="6"/>
      <c r="D52" s="20"/>
      <c r="E52" s="28" t="str">
        <f>IF(ENTRADAS[[#This Row],[CODIGO]]="", "", VLOOKUP(ENTRADAS[[#This Row],[CODIGO]], PRODUCTOS[#All], 2, FALSE))</f>
        <v/>
      </c>
      <c r="F52" s="26"/>
    </row>
    <row r="53" spans="2:6" s="8" customFormat="1" ht="30" customHeight="1" x14ac:dyDescent="0.25">
      <c r="B53" s="68"/>
      <c r="C53" s="6"/>
      <c r="D53" s="20"/>
      <c r="E53" s="28" t="str">
        <f>IF(ENTRADAS[[#This Row],[CODIGO]]="", "", VLOOKUP(ENTRADAS[[#This Row],[CODIGO]], PRODUCTOS[#All], 2, FALSE))</f>
        <v/>
      </c>
      <c r="F53" s="26"/>
    </row>
    <row r="54" spans="2:6" s="8" customFormat="1" ht="30" customHeight="1" x14ac:dyDescent="0.25">
      <c r="B54" s="68"/>
      <c r="C54" s="6"/>
      <c r="D54" s="20"/>
      <c r="E54" s="28" t="str">
        <f>IF(ENTRADAS[[#This Row],[CODIGO]]="", "", VLOOKUP(ENTRADAS[[#This Row],[CODIGO]], PRODUCTOS[#All], 2, FALSE))</f>
        <v/>
      </c>
      <c r="F54" s="26"/>
    </row>
    <row r="55" spans="2:6" s="8" customFormat="1" ht="30" customHeight="1" x14ac:dyDescent="0.25">
      <c r="B55" s="68"/>
      <c r="C55" s="6"/>
      <c r="D55" s="20"/>
      <c r="E55" s="28" t="str">
        <f>IF(ENTRADAS[[#This Row],[CODIGO]]="", "", VLOOKUP(ENTRADAS[[#This Row],[CODIGO]], PRODUCTOS[#All], 2, FALSE))</f>
        <v/>
      </c>
      <c r="F55" s="26"/>
    </row>
    <row r="56" spans="2:6" s="8" customFormat="1" ht="30" customHeight="1" x14ac:dyDescent="0.25">
      <c r="B56" s="68"/>
      <c r="C56" s="6"/>
      <c r="D56" s="20"/>
      <c r="E56" s="28" t="str">
        <f>IF(ENTRADAS[[#This Row],[CODIGO]]="", "", VLOOKUP(ENTRADAS[[#This Row],[CODIGO]], PRODUCTOS[#All], 2, FALSE))</f>
        <v/>
      </c>
      <c r="F56" s="26"/>
    </row>
    <row r="57" spans="2:6" s="8" customFormat="1" ht="30" customHeight="1" x14ac:dyDescent="0.25">
      <c r="B57" s="68"/>
      <c r="C57" s="6"/>
      <c r="D57" s="20"/>
      <c r="E57" s="28" t="str">
        <f>IF(ENTRADAS[[#This Row],[CODIGO]]="", "", VLOOKUP(ENTRADAS[[#This Row],[CODIGO]], PRODUCTOS[#All], 2, FALSE))</f>
        <v/>
      </c>
      <c r="F57" s="26"/>
    </row>
    <row r="58" spans="2:6" s="8" customFormat="1" ht="30" customHeight="1" x14ac:dyDescent="0.25">
      <c r="B58" s="68"/>
      <c r="C58" s="6"/>
      <c r="D58" s="20"/>
      <c r="E58" s="28" t="str">
        <f>IF(ENTRADAS[[#This Row],[CODIGO]]="", "", VLOOKUP(ENTRADAS[[#This Row],[CODIGO]], PRODUCTOS[#All], 2, FALSE))</f>
        <v/>
      </c>
      <c r="F58" s="26"/>
    </row>
    <row r="59" spans="2:6" s="8" customFormat="1" ht="30" customHeight="1" x14ac:dyDescent="0.25">
      <c r="B59" s="68"/>
      <c r="C59" s="6"/>
      <c r="D59" s="20"/>
      <c r="E59" s="28" t="str">
        <f>IF(ENTRADAS[[#This Row],[CODIGO]]="", "", VLOOKUP(ENTRADAS[[#This Row],[CODIGO]], PRODUCTOS[#All], 2, FALSE))</f>
        <v/>
      </c>
      <c r="F59" s="26"/>
    </row>
    <row r="60" spans="2:6" s="8" customFormat="1" ht="30" customHeight="1" x14ac:dyDescent="0.25">
      <c r="B60" s="68"/>
      <c r="C60" s="6"/>
      <c r="D60" s="20"/>
      <c r="E60" s="28" t="str">
        <f>IF(ENTRADAS[[#This Row],[CODIGO]]="", "", VLOOKUP(ENTRADAS[[#This Row],[CODIGO]], PRODUCTOS[#All], 2, FALSE))</f>
        <v/>
      </c>
      <c r="F60" s="26"/>
    </row>
    <row r="61" spans="2:6" s="8" customFormat="1" ht="30" customHeight="1" x14ac:dyDescent="0.25">
      <c r="B61" s="68"/>
      <c r="C61" s="6"/>
      <c r="D61" s="20"/>
      <c r="E61" s="28" t="str">
        <f>IF(ENTRADAS[[#This Row],[CODIGO]]="", "", VLOOKUP(ENTRADAS[[#This Row],[CODIGO]], PRODUCTOS[#All], 2, FALSE))</f>
        <v/>
      </c>
      <c r="F61" s="26"/>
    </row>
    <row r="62" spans="2:6" s="8" customFormat="1" ht="30" customHeight="1" x14ac:dyDescent="0.25">
      <c r="B62" s="68"/>
      <c r="C62" s="6"/>
      <c r="D62" s="20"/>
      <c r="E62" s="28" t="str">
        <f>IF(ENTRADAS[[#This Row],[CODIGO]]="", "", VLOOKUP(ENTRADAS[[#This Row],[CODIGO]], PRODUCTOS[#All], 2, FALSE))</f>
        <v/>
      </c>
      <c r="F62" s="26"/>
    </row>
    <row r="63" spans="2:6" s="8" customFormat="1" ht="30" customHeight="1" x14ac:dyDescent="0.25">
      <c r="B63" s="68"/>
      <c r="C63" s="6"/>
      <c r="D63" s="20"/>
      <c r="E63" s="28" t="str">
        <f>IF(ENTRADAS[[#This Row],[CODIGO]]="", "", VLOOKUP(ENTRADAS[[#This Row],[CODIGO]], PRODUCTOS[#All], 2, FALSE))</f>
        <v/>
      </c>
      <c r="F63" s="26"/>
    </row>
    <row r="64" spans="2:6" s="8" customFormat="1" ht="30" customHeight="1" x14ac:dyDescent="0.25">
      <c r="B64" s="68"/>
      <c r="C64" s="6"/>
      <c r="D64" s="20"/>
      <c r="E64" s="28" t="str">
        <f>IF(ENTRADAS[[#This Row],[CODIGO]]="", "", VLOOKUP(ENTRADAS[[#This Row],[CODIGO]], PRODUCTOS[#All], 2, FALSE))</f>
        <v/>
      </c>
      <c r="F64" s="26"/>
    </row>
    <row r="65" spans="2:6" s="8" customFormat="1" ht="30" customHeight="1" x14ac:dyDescent="0.25">
      <c r="B65" s="68"/>
      <c r="C65" s="6"/>
      <c r="D65" s="20"/>
      <c r="E65" s="28" t="str">
        <f>IF(ENTRADAS[[#This Row],[CODIGO]]="", "", VLOOKUP(ENTRADAS[[#This Row],[CODIGO]], PRODUCTOS[#All], 2, FALSE))</f>
        <v/>
      </c>
      <c r="F65" s="26"/>
    </row>
    <row r="66" spans="2:6" s="8" customFormat="1" ht="30" customHeight="1" x14ac:dyDescent="0.25">
      <c r="B66" s="68"/>
      <c r="C66" s="6"/>
      <c r="D66" s="20"/>
      <c r="E66" s="28" t="str">
        <f>IF(ENTRADAS[[#This Row],[CODIGO]]="", "", VLOOKUP(ENTRADAS[[#This Row],[CODIGO]], PRODUCTOS[#All], 2, FALSE))</f>
        <v/>
      </c>
      <c r="F66" s="26"/>
    </row>
    <row r="67" spans="2:6" s="8" customFormat="1" ht="30" customHeight="1" x14ac:dyDescent="0.25">
      <c r="B67" s="68"/>
      <c r="C67" s="6"/>
      <c r="D67" s="20"/>
      <c r="E67" s="28" t="str">
        <f>IF(ENTRADAS[[#This Row],[CODIGO]]="", "", VLOOKUP(ENTRADAS[[#This Row],[CODIGO]], PRODUCTOS[#All], 2, FALSE))</f>
        <v/>
      </c>
      <c r="F67" s="26"/>
    </row>
    <row r="68" spans="2:6" s="8" customFormat="1" ht="30" customHeight="1" x14ac:dyDescent="0.25">
      <c r="B68" s="68"/>
      <c r="C68" s="6"/>
      <c r="D68" s="20"/>
      <c r="E68" s="28" t="str">
        <f>IF(ENTRADAS[[#This Row],[CODIGO]]="", "", VLOOKUP(ENTRADAS[[#This Row],[CODIGO]], PRODUCTOS[#All], 2, FALSE))</f>
        <v/>
      </c>
      <c r="F68" s="26"/>
    </row>
    <row r="69" spans="2:6" s="8" customFormat="1" ht="30" customHeight="1" x14ac:dyDescent="0.25">
      <c r="B69" s="68"/>
      <c r="C69" s="6"/>
      <c r="D69" s="20"/>
      <c r="E69" s="28" t="str">
        <f>IF(ENTRADAS[[#This Row],[CODIGO]]="", "", VLOOKUP(ENTRADAS[[#This Row],[CODIGO]], PRODUCTOS[#All], 2, FALSE))</f>
        <v/>
      </c>
      <c r="F69" s="26"/>
    </row>
    <row r="70" spans="2:6" s="8" customFormat="1" ht="30" customHeight="1" x14ac:dyDescent="0.25">
      <c r="B70" s="68"/>
      <c r="C70" s="6"/>
      <c r="D70" s="20"/>
      <c r="E70" s="28" t="str">
        <f>IF(ENTRADAS[[#This Row],[CODIGO]]="", "", VLOOKUP(ENTRADAS[[#This Row],[CODIGO]], PRODUCTOS[#All], 2, FALSE))</f>
        <v/>
      </c>
      <c r="F70" s="26"/>
    </row>
    <row r="71" spans="2:6" s="8" customFormat="1" ht="30" customHeight="1" x14ac:dyDescent="0.25">
      <c r="B71" s="68"/>
      <c r="C71" s="6"/>
      <c r="D71" s="20"/>
      <c r="E71" s="28" t="str">
        <f>IF(ENTRADAS[[#This Row],[CODIGO]]="", "", VLOOKUP(ENTRADAS[[#This Row],[CODIGO]], PRODUCTOS[#All], 2, FALSE))</f>
        <v/>
      </c>
      <c r="F71" s="26"/>
    </row>
    <row r="72" spans="2:6" s="8" customFormat="1" ht="30" customHeight="1" x14ac:dyDescent="0.25">
      <c r="B72" s="68"/>
      <c r="C72" s="6"/>
      <c r="D72" s="20"/>
      <c r="E72" s="28" t="str">
        <f>IF(ENTRADAS[[#This Row],[CODIGO]]="", "", VLOOKUP(ENTRADAS[[#This Row],[CODIGO]], PRODUCTOS[#All], 2, FALSE))</f>
        <v/>
      </c>
      <c r="F72" s="26"/>
    </row>
    <row r="73" spans="2:6" s="8" customFormat="1" ht="30" customHeight="1" x14ac:dyDescent="0.25">
      <c r="B73" s="68"/>
      <c r="C73" s="6"/>
      <c r="D73" s="20"/>
      <c r="E73" s="28" t="str">
        <f>IF(ENTRADAS[[#This Row],[CODIGO]]="", "", VLOOKUP(ENTRADAS[[#This Row],[CODIGO]], PRODUCTOS[#All], 2, FALSE))</f>
        <v/>
      </c>
      <c r="F73" s="26"/>
    </row>
    <row r="74" spans="2:6" s="8" customFormat="1" ht="30" customHeight="1" x14ac:dyDescent="0.25">
      <c r="B74" s="68"/>
      <c r="C74" s="6"/>
      <c r="D74" s="20"/>
      <c r="E74" s="28" t="str">
        <f>IF(ENTRADAS[[#This Row],[CODIGO]]="", "", VLOOKUP(ENTRADAS[[#This Row],[CODIGO]], PRODUCTOS[#All], 2, FALSE))</f>
        <v/>
      </c>
      <c r="F74" s="26"/>
    </row>
    <row r="75" spans="2:6" s="8" customFormat="1" ht="30" customHeight="1" x14ac:dyDescent="0.25">
      <c r="B75" s="68"/>
      <c r="C75" s="6"/>
      <c r="D75" s="20"/>
      <c r="E75" s="28" t="str">
        <f>IF(ENTRADAS[[#This Row],[CODIGO]]="", "", VLOOKUP(ENTRADAS[[#This Row],[CODIGO]], PRODUCTOS[#All], 2, FALSE))</f>
        <v/>
      </c>
      <c r="F75" s="26"/>
    </row>
    <row r="76" spans="2:6" s="8" customFormat="1" ht="30" customHeight="1" x14ac:dyDescent="0.25">
      <c r="B76" s="68"/>
      <c r="C76" s="6"/>
      <c r="D76" s="20"/>
      <c r="E76" s="28" t="str">
        <f>IF(ENTRADAS[[#This Row],[CODIGO]]="", "", VLOOKUP(ENTRADAS[[#This Row],[CODIGO]], PRODUCTOS[#All], 2, FALSE))</f>
        <v/>
      </c>
      <c r="F76" s="26"/>
    </row>
    <row r="77" spans="2:6" s="8" customFormat="1" ht="30" customHeight="1" x14ac:dyDescent="0.25">
      <c r="B77" s="68"/>
      <c r="C77" s="6"/>
      <c r="D77" s="20"/>
      <c r="E77" s="28" t="str">
        <f>IF(ENTRADAS[[#This Row],[CODIGO]]="", "", VLOOKUP(ENTRADAS[[#This Row],[CODIGO]], PRODUCTOS[#All], 2, FALSE))</f>
        <v/>
      </c>
      <c r="F77" s="26"/>
    </row>
    <row r="78" spans="2:6" s="8" customFormat="1" ht="30" customHeight="1" x14ac:dyDescent="0.25">
      <c r="B78" s="68"/>
      <c r="C78" s="6"/>
      <c r="D78" s="20"/>
      <c r="E78" s="28" t="str">
        <f>IF(ENTRADAS[[#This Row],[CODIGO]]="", "", VLOOKUP(ENTRADAS[[#This Row],[CODIGO]], PRODUCTOS[#All], 2, FALSE))</f>
        <v/>
      </c>
      <c r="F78" s="26"/>
    </row>
    <row r="79" spans="2:6" s="8" customFormat="1" ht="30" customHeight="1" x14ac:dyDescent="0.25">
      <c r="B79" s="68"/>
      <c r="C79" s="6"/>
      <c r="D79" s="20"/>
      <c r="E79" s="28" t="str">
        <f>IF(ENTRADAS[[#This Row],[CODIGO]]="", "", VLOOKUP(ENTRADAS[[#This Row],[CODIGO]], PRODUCTOS[#All], 2, FALSE))</f>
        <v/>
      </c>
      <c r="F79" s="26"/>
    </row>
    <row r="80" spans="2:6" s="8" customFormat="1" ht="30" customHeight="1" x14ac:dyDescent="0.25">
      <c r="B80" s="68"/>
      <c r="C80" s="6"/>
      <c r="D80" s="20"/>
      <c r="E80" s="28" t="str">
        <f>IF(ENTRADAS[[#This Row],[CODIGO]]="", "", VLOOKUP(ENTRADAS[[#This Row],[CODIGO]], PRODUCTOS[#All], 2, FALSE))</f>
        <v/>
      </c>
      <c r="F80" s="26"/>
    </row>
    <row r="81" spans="2:6" s="8" customFormat="1" ht="30" customHeight="1" x14ac:dyDescent="0.25">
      <c r="B81" s="68"/>
      <c r="C81" s="6"/>
      <c r="D81" s="20"/>
      <c r="E81" s="28" t="str">
        <f>IF(ENTRADAS[[#This Row],[CODIGO]]="", "", VLOOKUP(ENTRADAS[[#This Row],[CODIGO]], PRODUCTOS[#All], 2, FALSE))</f>
        <v/>
      </c>
      <c r="F81" s="26"/>
    </row>
    <row r="82" spans="2:6" s="8" customFormat="1" ht="30" customHeight="1" x14ac:dyDescent="0.25">
      <c r="B82" s="68"/>
      <c r="C82" s="6"/>
      <c r="D82" s="20"/>
      <c r="E82" s="28" t="str">
        <f>IF(ENTRADAS[[#This Row],[CODIGO]]="", "", VLOOKUP(ENTRADAS[[#This Row],[CODIGO]], PRODUCTOS[#All], 2, FALSE))</f>
        <v/>
      </c>
      <c r="F82" s="26"/>
    </row>
    <row r="83" spans="2:6" s="8" customFormat="1" ht="30" customHeight="1" x14ac:dyDescent="0.25">
      <c r="B83" s="68"/>
      <c r="C83" s="6"/>
      <c r="D83" s="20"/>
      <c r="E83" s="28" t="str">
        <f>IF(ENTRADAS[[#This Row],[CODIGO]]="", "", VLOOKUP(ENTRADAS[[#This Row],[CODIGO]], PRODUCTOS[#All], 2, FALSE))</f>
        <v/>
      </c>
      <c r="F83" s="26"/>
    </row>
    <row r="84" spans="2:6" s="8" customFormat="1" ht="30" customHeight="1" x14ac:dyDescent="0.25">
      <c r="B84" s="68"/>
      <c r="C84" s="6"/>
      <c r="D84" s="20"/>
      <c r="E84" s="28" t="str">
        <f>IF(ENTRADAS[[#This Row],[CODIGO]]="", "", VLOOKUP(ENTRADAS[[#This Row],[CODIGO]], PRODUCTOS[#All], 2, FALSE))</f>
        <v/>
      </c>
      <c r="F84" s="26"/>
    </row>
    <row r="85" spans="2:6" s="8" customFormat="1" ht="30" customHeight="1" x14ac:dyDescent="0.25">
      <c r="B85" s="68"/>
      <c r="C85" s="6"/>
      <c r="D85" s="20"/>
      <c r="E85" s="28" t="str">
        <f>IF(ENTRADAS[[#This Row],[CODIGO]]="", "", VLOOKUP(ENTRADAS[[#This Row],[CODIGO]], PRODUCTOS[#All], 2, FALSE))</f>
        <v/>
      </c>
      <c r="F85" s="26"/>
    </row>
    <row r="86" spans="2:6" s="8" customFormat="1" ht="30" customHeight="1" x14ac:dyDescent="0.25">
      <c r="B86" s="68"/>
      <c r="C86" s="6"/>
      <c r="D86" s="20"/>
      <c r="E86" s="28" t="str">
        <f>IF(ENTRADAS[[#This Row],[CODIGO]]="", "", VLOOKUP(ENTRADAS[[#This Row],[CODIGO]], PRODUCTOS[#All], 2, FALSE))</f>
        <v/>
      </c>
      <c r="F86" s="26"/>
    </row>
    <row r="87" spans="2:6" s="8" customFormat="1" ht="30" customHeight="1" x14ac:dyDescent="0.25">
      <c r="B87" s="68"/>
      <c r="C87" s="6"/>
      <c r="D87" s="20"/>
      <c r="E87" s="28" t="str">
        <f>IF(ENTRADAS[[#This Row],[CODIGO]]="", "", VLOOKUP(ENTRADAS[[#This Row],[CODIGO]], PRODUCTOS[#All], 2, FALSE))</f>
        <v/>
      </c>
      <c r="F87" s="26"/>
    </row>
    <row r="88" spans="2:6" s="8" customFormat="1" ht="30" customHeight="1" x14ac:dyDescent="0.25">
      <c r="B88" s="68"/>
      <c r="C88" s="6"/>
      <c r="D88" s="20"/>
      <c r="E88" s="28" t="str">
        <f>IF(ENTRADAS[[#This Row],[CODIGO]]="", "", VLOOKUP(ENTRADAS[[#This Row],[CODIGO]], PRODUCTOS[#All], 2, FALSE))</f>
        <v/>
      </c>
      <c r="F88" s="26"/>
    </row>
    <row r="89" spans="2:6" s="8" customFormat="1" ht="30" customHeight="1" x14ac:dyDescent="0.25">
      <c r="B89" s="68"/>
      <c r="C89" s="6"/>
      <c r="D89" s="20"/>
      <c r="E89" s="28" t="str">
        <f>IF(ENTRADAS[[#This Row],[CODIGO]]="", "", VLOOKUP(ENTRADAS[[#This Row],[CODIGO]], PRODUCTOS[#All], 2, FALSE))</f>
        <v/>
      </c>
      <c r="F89" s="26"/>
    </row>
    <row r="90" spans="2:6" s="8" customFormat="1" ht="30" customHeight="1" x14ac:dyDescent="0.25">
      <c r="B90" s="68"/>
      <c r="C90" s="6"/>
      <c r="D90" s="20"/>
      <c r="E90" s="28" t="str">
        <f>IF(ENTRADAS[[#This Row],[CODIGO]]="", "", VLOOKUP(ENTRADAS[[#This Row],[CODIGO]], PRODUCTOS[#All], 2, FALSE))</f>
        <v/>
      </c>
      <c r="F90" s="26"/>
    </row>
    <row r="91" spans="2:6" s="8" customFormat="1" ht="30" customHeight="1" x14ac:dyDescent="0.25">
      <c r="B91" s="68"/>
      <c r="C91" s="6"/>
      <c r="D91" s="20"/>
      <c r="E91" s="28" t="str">
        <f>IF(ENTRADAS[[#This Row],[CODIGO]]="", "", VLOOKUP(ENTRADAS[[#This Row],[CODIGO]], PRODUCTOS[#All], 2, FALSE))</f>
        <v/>
      </c>
      <c r="F91" s="26"/>
    </row>
    <row r="92" spans="2:6" s="8" customFormat="1" ht="30" customHeight="1" x14ac:dyDescent="0.25">
      <c r="B92" s="68"/>
      <c r="C92" s="6"/>
      <c r="D92" s="20"/>
      <c r="E92" s="28" t="str">
        <f>IF(ENTRADAS[[#This Row],[CODIGO]]="", "", VLOOKUP(ENTRADAS[[#This Row],[CODIGO]], PRODUCTOS[#All], 2, FALSE))</f>
        <v/>
      </c>
      <c r="F92" s="26"/>
    </row>
    <row r="93" spans="2:6" s="8" customFormat="1" ht="30" customHeight="1" x14ac:dyDescent="0.25">
      <c r="B93" s="68"/>
      <c r="C93" s="6"/>
      <c r="D93" s="20"/>
      <c r="E93" s="28" t="str">
        <f>IF(ENTRADAS[[#This Row],[CODIGO]]="", "", VLOOKUP(ENTRADAS[[#This Row],[CODIGO]], PRODUCTOS[#All], 2, FALSE))</f>
        <v/>
      </c>
      <c r="F93" s="26"/>
    </row>
    <row r="94" spans="2:6" s="8" customFormat="1" ht="30" customHeight="1" x14ac:dyDescent="0.25">
      <c r="B94" s="68"/>
      <c r="C94" s="6"/>
      <c r="D94" s="20"/>
      <c r="E94" s="28" t="str">
        <f>IF(ENTRADAS[[#This Row],[CODIGO]]="", "", VLOOKUP(ENTRADAS[[#This Row],[CODIGO]], PRODUCTOS[#All], 2, FALSE))</f>
        <v/>
      </c>
      <c r="F94" s="26"/>
    </row>
    <row r="95" spans="2:6" s="8" customFormat="1" ht="30" customHeight="1" x14ac:dyDescent="0.25">
      <c r="B95" s="68"/>
      <c r="C95" s="6"/>
      <c r="D95" s="20"/>
      <c r="E95" s="28" t="str">
        <f>IF(ENTRADAS[[#This Row],[CODIGO]]="", "", VLOOKUP(ENTRADAS[[#This Row],[CODIGO]], PRODUCTOS[#All], 2, FALSE))</f>
        <v/>
      </c>
      <c r="F95" s="26"/>
    </row>
    <row r="96" spans="2:6" s="8" customFormat="1" ht="30" customHeight="1" x14ac:dyDescent="0.25">
      <c r="B96" s="68"/>
      <c r="C96" s="6"/>
      <c r="D96" s="20"/>
      <c r="E96" s="28" t="str">
        <f>IF(ENTRADAS[[#This Row],[CODIGO]]="", "", VLOOKUP(ENTRADAS[[#This Row],[CODIGO]], PRODUCTOS[#All], 2, FALSE))</f>
        <v/>
      </c>
      <c r="F96" s="26"/>
    </row>
    <row r="97" spans="2:6" s="8" customFormat="1" ht="30" customHeight="1" x14ac:dyDescent="0.25">
      <c r="B97" s="68"/>
      <c r="C97" s="6"/>
      <c r="D97" s="20"/>
      <c r="E97" s="28" t="str">
        <f>IF(ENTRADAS[[#This Row],[CODIGO]]="", "", VLOOKUP(ENTRADAS[[#This Row],[CODIGO]], PRODUCTOS[#All], 2, FALSE))</f>
        <v/>
      </c>
      <c r="F97" s="26"/>
    </row>
    <row r="98" spans="2:6" s="8" customFormat="1" ht="30" customHeight="1" x14ac:dyDescent="0.25">
      <c r="B98" s="68"/>
      <c r="C98" s="6"/>
      <c r="D98" s="20"/>
      <c r="E98" s="28" t="str">
        <f>IF(ENTRADAS[[#This Row],[CODIGO]]="", "", VLOOKUP(ENTRADAS[[#This Row],[CODIGO]], PRODUCTOS[#All], 2, FALSE))</f>
        <v/>
      </c>
      <c r="F98" s="26"/>
    </row>
    <row r="99" spans="2:6" s="8" customFormat="1" ht="30" customHeight="1" x14ac:dyDescent="0.25">
      <c r="B99" s="68"/>
      <c r="C99" s="6"/>
      <c r="D99" s="20"/>
      <c r="E99" s="28" t="str">
        <f>IF(ENTRADAS[[#This Row],[CODIGO]]="", "", VLOOKUP(ENTRADAS[[#This Row],[CODIGO]], PRODUCTOS[#All], 2, FALSE))</f>
        <v/>
      </c>
      <c r="F99" s="26"/>
    </row>
    <row r="100" spans="2:6" s="8" customFormat="1" ht="30" customHeight="1" x14ac:dyDescent="0.25">
      <c r="B100" s="69"/>
      <c r="C100" s="12"/>
      <c r="D100" s="22"/>
      <c r="E100" s="29" t="str">
        <f>IF(ENTRADAS[[#This Row],[CODIGO]]="", "", VLOOKUP(ENTRADAS[[#This Row],[CODIGO]], PRODUCTOS[#All], 2, FALSE))</f>
        <v/>
      </c>
      <c r="F100" s="26"/>
    </row>
  </sheetData>
  <phoneticPr fontId="5" type="noConversion"/>
  <dataValidations count="3">
    <dataValidation type="list" allowBlank="1" showInputMessage="1" showErrorMessage="1" sqref="G6:G8" xr:uid="{A43D936A-A600-D04C-88DB-C01E23F68A7B}">
      <formula1>"Cliente, Proveedor"</formula1>
    </dataValidation>
    <dataValidation type="list" allowBlank="1" showInputMessage="1" showErrorMessage="1" sqref="C6:C100" xr:uid="{6FEEC847-46FA-F64A-BA9D-C640B6BDB3B5}">
      <formula1>INDIRECT("SUCURSALES")</formula1>
    </dataValidation>
    <dataValidation type="list" allowBlank="1" showInputMessage="1" showErrorMessage="1" sqref="D6:D100" xr:uid="{748AEECD-8E28-8D4F-8A40-F9BF37CB5DB4}">
      <formula1>INDIRECT("PRODUCTOS[CODIGO]")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8FCA-EF0B-CF4F-9649-05AB41908B3B}">
  <dimension ref="B1:O237"/>
  <sheetViews>
    <sheetView showGridLines="0" topLeftCell="A39" workbookViewId="0">
      <selection activeCell="A112" sqref="A112:XFD112"/>
    </sheetView>
  </sheetViews>
  <sheetFormatPr baseColWidth="10" defaultColWidth="10.875" defaultRowHeight="15" x14ac:dyDescent="0.2"/>
  <cols>
    <col min="1" max="1" width="4.875" style="1" customWidth="1"/>
    <col min="2" max="2" width="17.375" style="1" customWidth="1"/>
    <col min="3" max="3" width="25.5" style="1" customWidth="1"/>
    <col min="4" max="4" width="25.375" style="1" customWidth="1"/>
    <col min="5" max="5" width="40.625" style="1" customWidth="1"/>
    <col min="6" max="6" width="16.875" style="1" customWidth="1"/>
    <col min="7" max="10" width="40.875" style="1" customWidth="1"/>
    <col min="11" max="11" width="10.875" style="1"/>
    <col min="12" max="13" width="40.875" style="1" customWidth="1"/>
    <col min="14" max="14" width="10.875" style="1"/>
    <col min="15" max="15" width="40.875" style="1" customWidth="1"/>
    <col min="16" max="16384" width="10.875" style="1"/>
  </cols>
  <sheetData>
    <row r="1" spans="2:15" s="3" customFormat="1" ht="39.950000000000003" customHeight="1" x14ac:dyDescent="0.2"/>
    <row r="2" spans="2:15" s="2" customFormat="1" ht="29.1" customHeight="1" x14ac:dyDescent="0.2"/>
    <row r="3" spans="2:15" s="7" customFormat="1" x14ac:dyDescent="0.2"/>
    <row r="4" spans="2:15" s="7" customFormat="1" x14ac:dyDescent="0.2"/>
    <row r="5" spans="2:15" s="8" customFormat="1" ht="30" customHeight="1" x14ac:dyDescent="0.25">
      <c r="B5" s="4" t="s">
        <v>5</v>
      </c>
      <c r="C5" s="5" t="s">
        <v>2</v>
      </c>
      <c r="D5" s="4" t="s">
        <v>3</v>
      </c>
      <c r="E5" s="4" t="s">
        <v>0</v>
      </c>
      <c r="F5" s="4" t="s">
        <v>4</v>
      </c>
      <c r="G5" s="10"/>
      <c r="H5" s="10"/>
      <c r="I5" s="10"/>
      <c r="K5" s="9"/>
      <c r="L5" s="9"/>
      <c r="N5" s="9"/>
      <c r="O5" s="9"/>
    </row>
    <row r="6" spans="2:15" s="8" customFormat="1" ht="30" customHeight="1" x14ac:dyDescent="0.25">
      <c r="B6" s="34">
        <v>46059</v>
      </c>
      <c r="C6" s="14" t="s">
        <v>940</v>
      </c>
      <c r="D6" s="21" t="s">
        <v>51</v>
      </c>
      <c r="E6" s="23" t="str">
        <f>IF(SALIDAS[[#This Row],[CODIGO]]="", "", VLOOKUP(SALIDAS[[#This Row],[CODIGO]], PRODUCTOS[#All], 2, FALSE))</f>
        <v>Tornillo hexagonal pavonado 7/16" 3 1/2"</v>
      </c>
      <c r="F6" s="33">
        <v>3</v>
      </c>
    </row>
    <row r="7" spans="2:15" s="8" customFormat="1" ht="30" customHeight="1" x14ac:dyDescent="0.25">
      <c r="B7" s="34">
        <v>46059</v>
      </c>
      <c r="C7" s="14" t="s">
        <v>940</v>
      </c>
      <c r="D7" s="20" t="s">
        <v>351</v>
      </c>
      <c r="E7" s="24" t="str">
        <f>IF(SALIDAS[[#This Row],[CODIGO]]="", "", VLOOKUP(SALIDAS[[#This Row],[CODIGO]], PRODUCTOS[#All], 2, FALSE))</f>
        <v>Tornillo hex. Pavonado 1/2" x 3"</v>
      </c>
      <c r="F7" s="33">
        <v>6</v>
      </c>
    </row>
    <row r="8" spans="2:15" s="8" customFormat="1" ht="30" customHeight="1" x14ac:dyDescent="0.25">
      <c r="B8" s="34">
        <v>46064</v>
      </c>
      <c r="C8" s="14" t="s">
        <v>940</v>
      </c>
      <c r="D8" s="20" t="s">
        <v>75</v>
      </c>
      <c r="E8" s="24" t="str">
        <f>IF(SALIDAS[[#This Row],[CODIGO]]="", "", VLOOKUP(SALIDAS[[#This Row],[CODIGO]], PRODUCTOS[#All], 2, FALSE))</f>
        <v>Disc. De desbaste Makita 4 1/2" *1/4"*7/8"</v>
      </c>
      <c r="F8" s="31">
        <v>2</v>
      </c>
    </row>
    <row r="9" spans="2:15" s="8" customFormat="1" ht="30" customHeight="1" x14ac:dyDescent="0.25">
      <c r="B9" s="34">
        <v>46065</v>
      </c>
      <c r="C9" s="14" t="s">
        <v>940</v>
      </c>
      <c r="D9" s="20" t="s">
        <v>79</v>
      </c>
      <c r="E9" s="24" t="str">
        <f>IF(SALIDAS[[#This Row],[CODIGO]]="", "", VLOOKUP(SALIDAS[[#This Row],[CODIGO]], PRODUCTOS[#All], 2, FALSE))</f>
        <v>Rollo alambre cal. 10</v>
      </c>
      <c r="F9" s="33">
        <v>1</v>
      </c>
    </row>
    <row r="10" spans="2:15" s="8" customFormat="1" ht="30" customHeight="1" x14ac:dyDescent="0.25">
      <c r="B10" s="34">
        <v>46065</v>
      </c>
      <c r="C10" s="14" t="s">
        <v>940</v>
      </c>
      <c r="D10" s="20" t="s">
        <v>488</v>
      </c>
      <c r="E10" s="24" t="str">
        <f>IF(SALIDAS[[#This Row],[CODIGO]]="", "", VLOOKUP(SALIDAS[[#This Row],[CODIGO]], PRODUCTOS[#All], 2, FALSE))</f>
        <v>manga 300 - 500 KCMIL</v>
      </c>
      <c r="F10" s="33">
        <v>60</v>
      </c>
    </row>
    <row r="11" spans="2:15" s="8" customFormat="1" ht="30" customHeight="1" x14ac:dyDescent="0.25">
      <c r="B11" s="34">
        <v>46065</v>
      </c>
      <c r="C11" s="14" t="s">
        <v>940</v>
      </c>
      <c r="D11" s="20" t="s">
        <v>486</v>
      </c>
      <c r="E11" s="24" t="str">
        <f>IF(SALIDAS[[#This Row],[CODIGO]]="", "", VLOOKUP(SALIDAS[[#This Row],[CODIGO]], PRODUCTOS[#All], 2, FALSE))</f>
        <v>Manga 1 - 4/0 AWG</v>
      </c>
      <c r="F11" s="33">
        <v>60</v>
      </c>
    </row>
    <row r="12" spans="2:15" s="8" customFormat="1" ht="30" customHeight="1" x14ac:dyDescent="0.25">
      <c r="B12" s="34">
        <v>46065</v>
      </c>
      <c r="C12" s="14" t="s">
        <v>940</v>
      </c>
      <c r="D12" s="20" t="s">
        <v>57</v>
      </c>
      <c r="E12" s="24" t="str">
        <f>IF(SALIDAS[[#This Row],[CODIGO]]="", "", VLOOKUP(SALIDAS[[#This Row],[CODIGO]], PRODUCTOS[#All], 2, FALSE))</f>
        <v>Cinta aislante Super 33</v>
      </c>
      <c r="F12" s="33">
        <v>1</v>
      </c>
    </row>
    <row r="13" spans="2:15" s="8" customFormat="1" ht="30" customHeight="1" x14ac:dyDescent="0.25">
      <c r="B13" s="34">
        <v>46065</v>
      </c>
      <c r="C13" s="14" t="s">
        <v>940</v>
      </c>
      <c r="D13" s="20" t="s">
        <v>634</v>
      </c>
      <c r="E13" s="24" t="str">
        <f>IF(SALIDAS[[#This Row],[CODIGO]]="", "", VLOOKUP(SALIDAS[[#This Row],[CODIGO]], PRODUCTOS[#All], 2, FALSE))</f>
        <v xml:space="preserve">Conector tope 2 Burndy corto </v>
      </c>
      <c r="F13" s="33">
        <v>3</v>
      </c>
    </row>
    <row r="14" spans="2:15" s="8" customFormat="1" ht="30" customHeight="1" x14ac:dyDescent="0.25">
      <c r="B14" s="34">
        <v>46066</v>
      </c>
      <c r="C14" s="14" t="s">
        <v>940</v>
      </c>
      <c r="D14" s="20" t="s">
        <v>57</v>
      </c>
      <c r="E14" s="24" t="str">
        <f>IF(SALIDAS[[#This Row],[CODIGO]]="", "", VLOOKUP(SALIDAS[[#This Row],[CODIGO]], PRODUCTOS[#All], 2, FALSE))</f>
        <v>Cinta aislante Super 33</v>
      </c>
      <c r="F14" s="33">
        <v>1</v>
      </c>
    </row>
    <row r="15" spans="2:15" s="8" customFormat="1" ht="30" customHeight="1" x14ac:dyDescent="0.25">
      <c r="B15" s="34">
        <v>46066</v>
      </c>
      <c r="C15" s="15" t="s">
        <v>940</v>
      </c>
      <c r="D15" s="22" t="s">
        <v>65</v>
      </c>
      <c r="E15" s="24" t="str">
        <f>IF(SALIDAS[[#This Row],[CODIGO]]="", "", VLOOKUP(SALIDAS[[#This Row],[CODIGO]], PRODUCTOS[#All], 2, FALSE))</f>
        <v>Cinta masilla (3M)</v>
      </c>
      <c r="F15" s="32">
        <v>1</v>
      </c>
    </row>
    <row r="16" spans="2:15" s="8" customFormat="1" ht="30" customHeight="1" x14ac:dyDescent="0.25">
      <c r="B16" s="34">
        <v>46066</v>
      </c>
      <c r="C16" s="6" t="s">
        <v>940</v>
      </c>
      <c r="D16" s="20" t="s">
        <v>69</v>
      </c>
      <c r="E16" s="20" t="str">
        <f>IF(SALIDAS[[#This Row],[CODIGO]]="", "", VLOOKUP(SALIDAS[[#This Row],[CODIGO]], PRODUCTOS[#All], 2, FALSE))</f>
        <v>Cinta  130C</v>
      </c>
      <c r="F16" s="32">
        <v>1</v>
      </c>
    </row>
    <row r="17" spans="2:6" s="8" customFormat="1" ht="30" customHeight="1" x14ac:dyDescent="0.25">
      <c r="B17" s="34">
        <v>46066</v>
      </c>
      <c r="C17" s="6" t="s">
        <v>940</v>
      </c>
      <c r="D17" s="20" t="s">
        <v>43</v>
      </c>
      <c r="E17" s="20" t="str">
        <f>IF(SALIDAS[[#This Row],[CODIGO]]="", "", VLOOKUP(SALIDAS[[#This Row],[CODIGO]], PRODUCTOS[#All], 2, FALSE))</f>
        <v>Cinta 3M 165 (Equipamiento)</v>
      </c>
      <c r="F17" s="32">
        <v>1</v>
      </c>
    </row>
    <row r="18" spans="2:6" s="8" customFormat="1" ht="30" customHeight="1" x14ac:dyDescent="0.25">
      <c r="B18" s="34">
        <v>46066</v>
      </c>
      <c r="C18" s="6" t="s">
        <v>940</v>
      </c>
      <c r="D18" s="20" t="s">
        <v>486</v>
      </c>
      <c r="E18" s="20" t="str">
        <f>IF(SALIDAS[[#This Row],[CODIGO]]="", "", VLOOKUP(SALIDAS[[#This Row],[CODIGO]], PRODUCTOS[#All], 2, FALSE))</f>
        <v>Manga 1 - 4/0 AWG</v>
      </c>
      <c r="F18" s="32">
        <v>60</v>
      </c>
    </row>
    <row r="19" spans="2:6" s="8" customFormat="1" ht="30" customHeight="1" x14ac:dyDescent="0.25">
      <c r="B19" s="68">
        <v>46066</v>
      </c>
      <c r="C19" s="6" t="s">
        <v>940</v>
      </c>
      <c r="D19" s="20" t="s">
        <v>488</v>
      </c>
      <c r="E19" s="20" t="str">
        <f>IF(SALIDAS[[#This Row],[CODIGO]]="", "", VLOOKUP(SALIDAS[[#This Row],[CODIGO]], PRODUCTOS[#All], 2, FALSE))</f>
        <v>manga 300 - 500 KCMIL</v>
      </c>
      <c r="F19" s="32">
        <v>60</v>
      </c>
    </row>
    <row r="20" spans="2:6" s="8" customFormat="1" ht="30" customHeight="1" x14ac:dyDescent="0.25">
      <c r="B20" s="69">
        <v>46070</v>
      </c>
      <c r="C20" s="12" t="s">
        <v>940</v>
      </c>
      <c r="D20" s="22" t="s">
        <v>75</v>
      </c>
      <c r="E20" s="22" t="str">
        <f>IF(SALIDAS[[#This Row],[CODIGO]]="", "", VLOOKUP(SALIDAS[[#This Row],[CODIGO]], PRODUCTOS[#All], 2, FALSE))</f>
        <v>Disc. De desbaste Makita 4 1/2" *1/4"*7/8"</v>
      </c>
      <c r="F20" s="32">
        <v>3</v>
      </c>
    </row>
    <row r="21" spans="2:6" s="8" customFormat="1" ht="30" customHeight="1" x14ac:dyDescent="0.25">
      <c r="B21" s="69">
        <v>46070</v>
      </c>
      <c r="C21" s="12" t="s">
        <v>940</v>
      </c>
      <c r="D21" s="22" t="s">
        <v>39</v>
      </c>
      <c r="E21" s="22" t="str">
        <f>IF(SALIDAS[[#This Row],[CODIGO]]="", "", VLOOKUP(SALIDAS[[#This Row],[CODIGO]], PRODUCTOS[#All], 2, FALSE))</f>
        <v>Disc. De corte  4-1/2"</v>
      </c>
      <c r="F21" s="32">
        <v>10</v>
      </c>
    </row>
    <row r="22" spans="2:6" s="8" customFormat="1" ht="30" customHeight="1" x14ac:dyDescent="0.25">
      <c r="B22" s="69">
        <v>46070</v>
      </c>
      <c r="C22" s="12" t="s">
        <v>940</v>
      </c>
      <c r="D22" s="22" t="s">
        <v>37</v>
      </c>
      <c r="E22" s="22" t="str">
        <f>IF(SALIDAS[[#This Row],[CODIGO]]="", "", VLOOKUP(SALIDAS[[#This Row],[CODIGO]], PRODUCTOS[#All], 2, FALSE))</f>
        <v>Electrodo (MW-E6013-1/8)</v>
      </c>
      <c r="F22" s="32">
        <v>20</v>
      </c>
    </row>
    <row r="23" spans="2:6" s="8" customFormat="1" ht="30" customHeight="1" x14ac:dyDescent="0.25">
      <c r="B23" s="69">
        <v>46070</v>
      </c>
      <c r="C23" s="12" t="s">
        <v>940</v>
      </c>
      <c r="D23" s="22" t="s">
        <v>35</v>
      </c>
      <c r="E23" s="22" t="str">
        <f>IF(SALIDAS[[#This Row],[CODIGO]]="", "", VLOOKUP(SALIDAS[[#This Row],[CODIGO]], PRODUCTOS[#All], 2, FALSE))</f>
        <v>Electrodo (MW-E6013-3/32)</v>
      </c>
      <c r="F23" s="32">
        <v>40</v>
      </c>
    </row>
    <row r="24" spans="2:6" s="8" customFormat="1" ht="30" customHeight="1" x14ac:dyDescent="0.25">
      <c r="B24" s="69">
        <v>46070</v>
      </c>
      <c r="C24" s="12" t="s">
        <v>940</v>
      </c>
      <c r="D24" s="22" t="s">
        <v>351</v>
      </c>
      <c r="E24" s="22" t="str">
        <f>IF(SALIDAS[[#This Row],[CODIGO]]="", "", VLOOKUP(SALIDAS[[#This Row],[CODIGO]], PRODUCTOS[#All], 2, FALSE))</f>
        <v>Tornillo hex. Pavonado 1/2" x 3"</v>
      </c>
      <c r="F24" s="32">
        <v>3</v>
      </c>
    </row>
    <row r="25" spans="2:6" s="8" customFormat="1" ht="30" customHeight="1" x14ac:dyDescent="0.25">
      <c r="B25" s="69">
        <v>46070</v>
      </c>
      <c r="C25" s="12" t="s">
        <v>940</v>
      </c>
      <c r="D25" s="22" t="s">
        <v>51</v>
      </c>
      <c r="E25" s="22" t="str">
        <f>IF(SALIDAS[[#This Row],[CODIGO]]="", "", VLOOKUP(SALIDAS[[#This Row],[CODIGO]], PRODUCTOS[#All], 2, FALSE))</f>
        <v>Tornillo hexagonal pavonado 7/16" 3 1/2"</v>
      </c>
      <c r="F25" s="32">
        <v>3</v>
      </c>
    </row>
    <row r="26" spans="2:6" s="8" customFormat="1" ht="30" customHeight="1" x14ac:dyDescent="0.25">
      <c r="B26" s="68">
        <v>46071</v>
      </c>
      <c r="C26" s="6" t="s">
        <v>940</v>
      </c>
      <c r="D26" s="20" t="s">
        <v>628</v>
      </c>
      <c r="E26" s="20" t="str">
        <f>IF(SALIDAS[[#This Row],[CODIGO]]="", "", VLOOKUP(SALIDAS[[#This Row],[CODIGO]], PRODUCTOS[#All], 2, FALSE))</f>
        <v xml:space="preserve">Conector tope 4/0 AWG Burndy corto </v>
      </c>
      <c r="F26" s="32">
        <v>6</v>
      </c>
    </row>
    <row r="27" spans="2:6" s="8" customFormat="1" ht="30" customHeight="1" x14ac:dyDescent="0.25">
      <c r="B27" s="69">
        <v>46071</v>
      </c>
      <c r="C27" s="12" t="s">
        <v>940</v>
      </c>
      <c r="D27" s="22" t="s">
        <v>684</v>
      </c>
      <c r="E27" s="22" t="str">
        <f>IF(SALIDAS[[#This Row],[CODIGO]]="", "", VLOOKUP(SALIDAS[[#This Row],[CODIGO]], PRODUCTOS[#All], 2, FALSE))</f>
        <v xml:space="preserve">Conec. Ojo 4/0 </v>
      </c>
      <c r="F27" s="32">
        <v>3</v>
      </c>
    </row>
    <row r="28" spans="2:6" s="8" customFormat="1" ht="30" customHeight="1" x14ac:dyDescent="0.25">
      <c r="B28" s="69">
        <v>46071</v>
      </c>
      <c r="C28" s="12" t="s">
        <v>940</v>
      </c>
      <c r="D28" s="22" t="s">
        <v>57</v>
      </c>
      <c r="E28" s="22" t="str">
        <f>IF(SALIDAS[[#This Row],[CODIGO]]="", "", VLOOKUP(SALIDAS[[#This Row],[CODIGO]], PRODUCTOS[#All], 2, FALSE))</f>
        <v>Cinta aislante Super 33</v>
      </c>
      <c r="F28" s="32">
        <v>2</v>
      </c>
    </row>
    <row r="29" spans="2:6" s="8" customFormat="1" ht="30" customHeight="1" x14ac:dyDescent="0.25">
      <c r="B29" s="69">
        <v>46071</v>
      </c>
      <c r="C29" s="12" t="s">
        <v>940</v>
      </c>
      <c r="D29" s="22" t="s">
        <v>69</v>
      </c>
      <c r="E29" s="22" t="str">
        <f>IF(SALIDAS[[#This Row],[CODIGO]]="", "", VLOOKUP(SALIDAS[[#This Row],[CODIGO]], PRODUCTOS[#All], 2, FALSE))</f>
        <v>Cinta  130C</v>
      </c>
      <c r="F29" s="32">
        <v>1</v>
      </c>
    </row>
    <row r="30" spans="2:6" s="8" customFormat="1" ht="30" customHeight="1" x14ac:dyDescent="0.25">
      <c r="B30" s="69">
        <v>46071</v>
      </c>
      <c r="C30" s="12" t="s">
        <v>940</v>
      </c>
      <c r="D30" s="22" t="s">
        <v>65</v>
      </c>
      <c r="E30" s="22" t="str">
        <f>IF(SALIDAS[[#This Row],[CODIGO]]="", "", VLOOKUP(SALIDAS[[#This Row],[CODIGO]], PRODUCTOS[#All], 2, FALSE))</f>
        <v>Cinta masilla (3M)</v>
      </c>
      <c r="F30" s="32">
        <v>1</v>
      </c>
    </row>
    <row r="31" spans="2:6" s="8" customFormat="1" ht="30" customHeight="1" x14ac:dyDescent="0.25">
      <c r="B31" s="69">
        <v>46071</v>
      </c>
      <c r="C31" s="12" t="s">
        <v>940</v>
      </c>
      <c r="D31" s="22" t="s">
        <v>486</v>
      </c>
      <c r="E31" s="22" t="str">
        <f>IF(SALIDAS[[#This Row],[CODIGO]]="", "", VLOOKUP(SALIDAS[[#This Row],[CODIGO]], PRODUCTOS[#All], 2, FALSE))</f>
        <v>Manga 1 - 4/0 AWG</v>
      </c>
      <c r="F31" s="32">
        <v>120</v>
      </c>
    </row>
    <row r="32" spans="2:6" s="8" customFormat="1" ht="30" customHeight="1" x14ac:dyDescent="0.25">
      <c r="B32" s="69">
        <v>46071</v>
      </c>
      <c r="C32" s="12" t="s">
        <v>940</v>
      </c>
      <c r="D32" s="22" t="s">
        <v>488</v>
      </c>
      <c r="E32" s="22" t="str">
        <f>IF(SALIDAS[[#This Row],[CODIGO]]="", "", VLOOKUP(SALIDAS[[#This Row],[CODIGO]], PRODUCTOS[#All], 2, FALSE))</f>
        <v>manga 300 - 500 KCMIL</v>
      </c>
      <c r="F32" s="32">
        <v>60</v>
      </c>
    </row>
    <row r="33" spans="2:6" s="8" customFormat="1" ht="30" customHeight="1" x14ac:dyDescent="0.25">
      <c r="B33" s="69">
        <v>46071</v>
      </c>
      <c r="C33" s="12" t="s">
        <v>940</v>
      </c>
      <c r="D33" s="22" t="s">
        <v>836</v>
      </c>
      <c r="E33" s="22" t="str">
        <f>IF(SALIDAS[[#This Row],[CODIGO]]="", "", VLOOKUP(SALIDAS[[#This Row],[CODIGO]], PRODUCTOS[#All], 2, FALSE))</f>
        <v>Reducción 6" x 8" long 19"</v>
      </c>
      <c r="F33" s="32">
        <v>1</v>
      </c>
    </row>
    <row r="34" spans="2:6" s="8" customFormat="1" ht="30" customHeight="1" x14ac:dyDescent="0.25">
      <c r="B34" s="69">
        <v>46072</v>
      </c>
      <c r="C34" s="12" t="s">
        <v>940</v>
      </c>
      <c r="D34" s="22" t="s">
        <v>43</v>
      </c>
      <c r="E34" s="22" t="str">
        <f>IF(SALIDAS[[#This Row],[CODIGO]]="", "", VLOOKUP(SALIDAS[[#This Row],[CODIGO]], PRODUCTOS[#All], 2, FALSE))</f>
        <v>Cinta 3M 165 (Equipamiento)</v>
      </c>
      <c r="F34" s="32">
        <v>10</v>
      </c>
    </row>
    <row r="35" spans="2:6" s="8" customFormat="1" ht="30" customHeight="1" x14ac:dyDescent="0.25">
      <c r="B35" s="69">
        <v>46072</v>
      </c>
      <c r="C35" s="12" t="s">
        <v>940</v>
      </c>
      <c r="D35" s="22" t="s">
        <v>360</v>
      </c>
      <c r="E35" s="22" t="str">
        <f>IF(SALIDAS[[#This Row],[CODIGO]]="", "", VLOOKUP(SALIDAS[[#This Row],[CODIGO]], PRODUCTOS[#All], 2, FALSE))</f>
        <v>Tornillo acero inoxidable 5/16" x 1 1/2"</v>
      </c>
      <c r="F35" s="32">
        <v>3</v>
      </c>
    </row>
    <row r="36" spans="2:6" s="8" customFormat="1" ht="30" customHeight="1" x14ac:dyDescent="0.25">
      <c r="B36" s="69">
        <v>46072</v>
      </c>
      <c r="C36" s="12" t="s">
        <v>940</v>
      </c>
      <c r="D36" s="22" t="s">
        <v>107</v>
      </c>
      <c r="E36" s="22" t="str">
        <f>IF(SALIDAS[[#This Row],[CODIGO]]="", "", VLOOKUP(SALIDAS[[#This Row],[CODIGO]], PRODUCTOS[#All], 2, FALSE))</f>
        <v>Tornillo hexagonal galvanizado 3/8" - 10</v>
      </c>
      <c r="F36" s="32">
        <v>3</v>
      </c>
    </row>
    <row r="37" spans="2:6" s="8" customFormat="1" ht="30" customHeight="1" x14ac:dyDescent="0.25">
      <c r="B37" s="69">
        <v>46072</v>
      </c>
      <c r="C37" s="12" t="s">
        <v>940</v>
      </c>
      <c r="D37" s="22" t="s">
        <v>358</v>
      </c>
      <c r="E37" s="22" t="str">
        <f>IF(SALIDAS[[#This Row],[CODIGO]]="", "", VLOOKUP(SALIDAS[[#This Row],[CODIGO]], PRODUCTOS[#All], 2, FALSE))</f>
        <v xml:space="preserve">Tornillo galvanizado 1/2" x 2 1/2" </v>
      </c>
      <c r="F37" s="32">
        <v>3</v>
      </c>
    </row>
    <row r="38" spans="2:6" s="8" customFormat="1" ht="30" customHeight="1" x14ac:dyDescent="0.25">
      <c r="B38" s="69">
        <v>46072</v>
      </c>
      <c r="C38" s="12" t="s">
        <v>940</v>
      </c>
      <c r="D38" s="22" t="s">
        <v>372</v>
      </c>
      <c r="E38" s="22" t="str">
        <f>IF(SALIDAS[[#This Row],[CODIGO]]="", "", VLOOKUP(SALIDAS[[#This Row],[CODIGO]], PRODUCTOS[#All], 2, FALSE))</f>
        <v>Tuerca acero inoxidable 5/16"</v>
      </c>
      <c r="F38" s="32">
        <v>3</v>
      </c>
    </row>
    <row r="39" spans="2:6" s="8" customFormat="1" ht="30" customHeight="1" x14ac:dyDescent="0.25">
      <c r="B39" s="69">
        <v>46072</v>
      </c>
      <c r="C39" s="12" t="s">
        <v>940</v>
      </c>
      <c r="D39" s="22" t="s">
        <v>101</v>
      </c>
      <c r="E39" s="22" t="str">
        <f>IF(SALIDAS[[#This Row],[CODIGO]]="", "", VLOOKUP(SALIDAS[[#This Row],[CODIGO]], PRODUCTOS[#All], 2, FALSE))</f>
        <v xml:space="preserve">Aflojatodo 400ml </v>
      </c>
      <c r="F39" s="32">
        <v>1</v>
      </c>
    </row>
    <row r="40" spans="2:6" s="8" customFormat="1" ht="30" customHeight="1" x14ac:dyDescent="0.25">
      <c r="B40" s="69">
        <v>46072</v>
      </c>
      <c r="C40" s="12" t="s">
        <v>940</v>
      </c>
      <c r="D40" s="22" t="s">
        <v>79</v>
      </c>
      <c r="E40" s="22" t="str">
        <f>IF(SALIDAS[[#This Row],[CODIGO]]="", "", VLOOKUP(SALIDAS[[#This Row],[CODIGO]], PRODUCTOS[#All], 2, FALSE))</f>
        <v>Rollo alambre cal. 10</v>
      </c>
      <c r="F40" s="32">
        <v>1</v>
      </c>
    </row>
    <row r="41" spans="2:6" s="8" customFormat="1" ht="30" customHeight="1" x14ac:dyDescent="0.25">
      <c r="B41" s="69">
        <v>46074</v>
      </c>
      <c r="C41" s="12" t="s">
        <v>940</v>
      </c>
      <c r="D41" s="22" t="s">
        <v>692</v>
      </c>
      <c r="E41" s="22" t="str">
        <f>IF(SALIDAS[[#This Row],[CODIGO]]="", "", VLOOKUP(SALIDAS[[#This Row],[CODIGO]], PRODUCTOS[#All], 2, FALSE))</f>
        <v>Conec. Ojo 3/0</v>
      </c>
      <c r="F41" s="32">
        <v>1</v>
      </c>
    </row>
    <row r="42" spans="2:6" s="8" customFormat="1" ht="30" customHeight="1" x14ac:dyDescent="0.25">
      <c r="B42" s="69">
        <v>46077</v>
      </c>
      <c r="C42" s="12" t="s">
        <v>940</v>
      </c>
      <c r="D42" s="22" t="s">
        <v>362</v>
      </c>
      <c r="E42" s="22" t="str">
        <f>IF(SALIDAS[[#This Row],[CODIGO]]="", "", VLOOKUP(SALIDAS[[#This Row],[CODIGO]], PRODUCTOS[#All], 2, FALSE))</f>
        <v>Tornillo hexagonal galvanizado 3/4" x 3 1/2"</v>
      </c>
      <c r="F42" s="32">
        <v>21</v>
      </c>
    </row>
    <row r="43" spans="2:6" s="8" customFormat="1" ht="30" customHeight="1" x14ac:dyDescent="0.25">
      <c r="B43" s="69">
        <v>46077</v>
      </c>
      <c r="C43" s="12" t="s">
        <v>940</v>
      </c>
      <c r="D43" s="22" t="s">
        <v>109</v>
      </c>
      <c r="E43" s="22" t="str">
        <f>IF(SALIDAS[[#This Row],[CODIGO]]="", "", VLOOKUP(SALIDAS[[#This Row],[CODIGO]], PRODUCTOS[#All], 2, FALSE))</f>
        <v>Tuerca hexagonal galvanizada 3/4"</v>
      </c>
      <c r="F43" s="32">
        <v>21</v>
      </c>
    </row>
    <row r="44" spans="2:6" s="8" customFormat="1" ht="30" customHeight="1" x14ac:dyDescent="0.25">
      <c r="B44" s="69">
        <v>46077</v>
      </c>
      <c r="C44" s="12" t="s">
        <v>940</v>
      </c>
      <c r="D44" s="22" t="s">
        <v>776</v>
      </c>
      <c r="E44" s="22" t="str">
        <f>IF(SALIDAS[[#This Row],[CODIGO]]="", "", VLOOKUP(SALIDAS[[#This Row],[CODIGO]], PRODUCTOS[#All], 2, FALSE))</f>
        <v>Manometro 200 psi</v>
      </c>
      <c r="F44" s="32">
        <v>1</v>
      </c>
    </row>
    <row r="45" spans="2:6" s="8" customFormat="1" ht="30" customHeight="1" x14ac:dyDescent="0.25">
      <c r="B45" s="69">
        <v>46077</v>
      </c>
      <c r="C45" s="12" t="s">
        <v>940</v>
      </c>
      <c r="D45" s="22" t="s">
        <v>634</v>
      </c>
      <c r="E45" s="22" t="str">
        <f>IF(SALIDAS[[#This Row],[CODIGO]]="", "", VLOOKUP(SALIDAS[[#This Row],[CODIGO]], PRODUCTOS[#All], 2, FALSE))</f>
        <v xml:space="preserve">Conector tope 2 Burndy corto </v>
      </c>
      <c r="F45" s="32">
        <v>1</v>
      </c>
    </row>
    <row r="46" spans="2:6" s="8" customFormat="1" ht="30" customHeight="1" x14ac:dyDescent="0.25">
      <c r="B46" s="69">
        <v>46077</v>
      </c>
      <c r="C46" s="12" t="s">
        <v>940</v>
      </c>
      <c r="D46" s="22" t="s">
        <v>660</v>
      </c>
      <c r="E46" s="22" t="str">
        <f>IF(SALIDAS[[#This Row],[CODIGO]]="", "", VLOOKUP(SALIDAS[[#This Row],[CODIGO]], PRODUCTOS[#All], 2, FALSE))</f>
        <v xml:space="preserve">Conector ojo 2 Burndy corto </v>
      </c>
      <c r="F46" s="32">
        <v>1</v>
      </c>
    </row>
    <row r="47" spans="2:6" s="8" customFormat="1" ht="30" customHeight="1" x14ac:dyDescent="0.25">
      <c r="B47" s="69">
        <v>46078</v>
      </c>
      <c r="C47" s="12" t="s">
        <v>940</v>
      </c>
      <c r="D47" s="22" t="s">
        <v>143</v>
      </c>
      <c r="E47" s="22" t="str">
        <f>IF(SALIDAS[[#This Row],[CODIGO]]="", "", VLOOKUP(SALIDAS[[#This Row],[CODIGO]], PRODUCTOS[#All], 2, FALSE))</f>
        <v>Llave hexágonal (juego 9pzs)</v>
      </c>
      <c r="F47" s="32">
        <v>1</v>
      </c>
    </row>
    <row r="48" spans="2:6" s="8" customFormat="1" ht="30" customHeight="1" x14ac:dyDescent="0.25">
      <c r="B48" s="69">
        <v>46080</v>
      </c>
      <c r="C48" s="12" t="s">
        <v>940</v>
      </c>
      <c r="D48" s="22" t="s">
        <v>670</v>
      </c>
      <c r="E48" s="22" t="str">
        <f>IF(SALIDAS[[#This Row],[CODIGO]]="", "", VLOOKUP(SALIDAS[[#This Row],[CODIGO]], PRODUCTOS[#All], 2, FALSE))</f>
        <v>Conector tope 4/0</v>
      </c>
      <c r="F48" s="32">
        <v>9</v>
      </c>
    </row>
    <row r="49" spans="2:6" s="8" customFormat="1" ht="30" customHeight="1" x14ac:dyDescent="0.25">
      <c r="B49" s="68">
        <v>46080</v>
      </c>
      <c r="C49" s="6" t="s">
        <v>940</v>
      </c>
      <c r="D49" s="20" t="s">
        <v>628</v>
      </c>
      <c r="E49" s="20" t="str">
        <f>IF(SALIDAS[[#This Row],[CODIGO]]="", "", VLOOKUP(SALIDAS[[#This Row],[CODIGO]], PRODUCTOS[#All], 2, FALSE))</f>
        <v xml:space="preserve">Conector tope 4/0 AWG Burndy corto </v>
      </c>
      <c r="F49" s="32">
        <v>9</v>
      </c>
    </row>
    <row r="50" spans="2:6" s="8" customFormat="1" ht="30" customHeight="1" x14ac:dyDescent="0.25">
      <c r="B50" s="68">
        <v>46080</v>
      </c>
      <c r="C50" s="6" t="s">
        <v>940</v>
      </c>
      <c r="D50" s="20" t="s">
        <v>57</v>
      </c>
      <c r="E50" s="20" t="str">
        <f>IF(SALIDAS[[#This Row],[CODIGO]]="", "", VLOOKUP(SALIDAS[[#This Row],[CODIGO]], PRODUCTOS[#All], 2, FALSE))</f>
        <v>Cinta aislante Super 33</v>
      </c>
      <c r="F50" s="32">
        <v>2</v>
      </c>
    </row>
    <row r="51" spans="2:6" s="8" customFormat="1" ht="30" customHeight="1" x14ac:dyDescent="0.25">
      <c r="B51" s="68">
        <v>46080</v>
      </c>
      <c r="C51" s="6" t="s">
        <v>940</v>
      </c>
      <c r="D51" s="20" t="s">
        <v>486</v>
      </c>
      <c r="E51" s="20" t="str">
        <f>IF(SALIDAS[[#This Row],[CODIGO]]="", "", VLOOKUP(SALIDAS[[#This Row],[CODIGO]], PRODUCTOS[#All], 2, FALSE))</f>
        <v>Manga 1 - 4/0 AWG</v>
      </c>
      <c r="F51" s="32">
        <v>240</v>
      </c>
    </row>
    <row r="52" spans="2:6" s="8" customFormat="1" ht="30" customHeight="1" x14ac:dyDescent="0.25">
      <c r="B52" s="68">
        <v>46080</v>
      </c>
      <c r="C52" s="6" t="s">
        <v>940</v>
      </c>
      <c r="D52" s="20" t="s">
        <v>35</v>
      </c>
      <c r="E52" s="20" t="str">
        <f>IF(SALIDAS[[#This Row],[CODIGO]]="", "", VLOOKUP(SALIDAS[[#This Row],[CODIGO]], PRODUCTOS[#All], 2, FALSE))</f>
        <v>Electrodo (MW-E6013-3/32)</v>
      </c>
      <c r="F52" s="32">
        <v>30</v>
      </c>
    </row>
    <row r="53" spans="2:6" s="8" customFormat="1" ht="30" customHeight="1" x14ac:dyDescent="0.25">
      <c r="B53" s="68">
        <v>46080</v>
      </c>
      <c r="C53" s="6" t="s">
        <v>940</v>
      </c>
      <c r="D53" s="20" t="s">
        <v>57</v>
      </c>
      <c r="E53" s="20" t="str">
        <f>IF(SALIDAS[[#This Row],[CODIGO]]="", "", VLOOKUP(SALIDAS[[#This Row],[CODIGO]], PRODUCTOS[#All], 2, FALSE))</f>
        <v>Cinta aislante Super 33</v>
      </c>
      <c r="F53" s="32">
        <v>1</v>
      </c>
    </row>
    <row r="54" spans="2:6" s="8" customFormat="1" ht="30" customHeight="1" x14ac:dyDescent="0.25">
      <c r="B54" s="68">
        <v>46080</v>
      </c>
      <c r="C54" s="6" t="s">
        <v>940</v>
      </c>
      <c r="D54" s="20" t="s">
        <v>43</v>
      </c>
      <c r="E54" s="20" t="str">
        <f>IF(SALIDAS[[#This Row],[CODIGO]]="", "", VLOOKUP(SALIDAS[[#This Row],[CODIGO]], PRODUCTOS[#All], 2, FALSE))</f>
        <v>Cinta 3M 165 (Equipamiento)</v>
      </c>
      <c r="F54" s="32">
        <v>3</v>
      </c>
    </row>
    <row r="55" spans="2:6" s="8" customFormat="1" ht="30" customHeight="1" x14ac:dyDescent="0.25">
      <c r="B55" s="68">
        <v>46080</v>
      </c>
      <c r="C55" s="6" t="s">
        <v>940</v>
      </c>
      <c r="D55" s="20" t="s">
        <v>65</v>
      </c>
      <c r="E55" s="20" t="str">
        <f>IF(SALIDAS[[#This Row],[CODIGO]]="", "", VLOOKUP(SALIDAS[[#This Row],[CODIGO]], PRODUCTOS[#All], 2, FALSE))</f>
        <v>Cinta masilla (3M)</v>
      </c>
      <c r="F55" s="32">
        <v>1</v>
      </c>
    </row>
    <row r="56" spans="2:6" s="8" customFormat="1" ht="30" customHeight="1" x14ac:dyDescent="0.25">
      <c r="B56" s="68">
        <v>46080</v>
      </c>
      <c r="C56" s="6" t="s">
        <v>940</v>
      </c>
      <c r="D56" s="20" t="s">
        <v>638</v>
      </c>
      <c r="E56" s="20" t="str">
        <f>IF(SALIDAS[[#This Row],[CODIGO]]="", "", VLOOKUP(SALIDAS[[#This Row],[CODIGO]], PRODUCTOS[#All], 2, FALSE))</f>
        <v>Conector tope 500 KCMIL Burndy</v>
      </c>
      <c r="F56" s="32">
        <v>2</v>
      </c>
    </row>
    <row r="57" spans="2:6" s="8" customFormat="1" ht="30" customHeight="1" x14ac:dyDescent="0.25">
      <c r="B57" s="68">
        <v>46080</v>
      </c>
      <c r="C57" s="6" t="s">
        <v>940</v>
      </c>
      <c r="D57" s="20" t="s">
        <v>546</v>
      </c>
      <c r="E57" s="20" t="str">
        <f>IF(SALIDAS[[#This Row],[CODIGO]]="", "", VLOOKUP(SALIDAS[[#This Row],[CODIGO]], PRODUCTOS[#All], 2, FALSE))</f>
        <v>Manga 600 - 1250 KCMIL</v>
      </c>
      <c r="F57" s="32">
        <v>60</v>
      </c>
    </row>
    <row r="58" spans="2:6" s="8" customFormat="1" ht="30" customHeight="1" x14ac:dyDescent="0.25">
      <c r="B58" s="69">
        <v>46083</v>
      </c>
      <c r="C58" s="12" t="s">
        <v>940</v>
      </c>
      <c r="D58" s="22" t="s">
        <v>874</v>
      </c>
      <c r="E58" s="22" t="str">
        <f>IF(SALIDAS[[#This Row],[CODIGO]]="", "", VLOOKUP(SALIDAS[[#This Row],[CODIGO]], PRODUCTOS[#All], 2, FALSE))</f>
        <v xml:space="preserve">Lapiceras fosforescentes </v>
      </c>
      <c r="F58" s="32">
        <v>15</v>
      </c>
    </row>
    <row r="59" spans="2:6" s="8" customFormat="1" ht="30" customHeight="1" x14ac:dyDescent="0.25">
      <c r="B59" s="69">
        <v>46083</v>
      </c>
      <c r="C59" s="12" t="s">
        <v>940</v>
      </c>
      <c r="D59" s="22" t="s">
        <v>906</v>
      </c>
      <c r="E59" s="22" t="str">
        <f>IF(SALIDAS[[#This Row],[CODIGO]]="", "", VLOOKUP(SALIDAS[[#This Row],[CODIGO]], PRODUCTOS[#All], 2, FALSE))</f>
        <v>Gorras gris malla</v>
      </c>
      <c r="F59" s="32">
        <v>5</v>
      </c>
    </row>
    <row r="60" spans="2:6" s="8" customFormat="1" ht="30" customHeight="1" x14ac:dyDescent="0.25">
      <c r="B60" s="69">
        <v>46083</v>
      </c>
      <c r="C60" s="12" t="s">
        <v>940</v>
      </c>
      <c r="D60" s="22" t="s">
        <v>888</v>
      </c>
      <c r="E60" s="22" t="str">
        <f>IF(SALIDAS[[#This Row],[CODIGO]]="", "", VLOOKUP(SALIDAS[[#This Row],[CODIGO]], PRODUCTOS[#All], 2, FALSE))</f>
        <v>Gorra azul malla</v>
      </c>
      <c r="F60" s="32">
        <v>3</v>
      </c>
    </row>
    <row r="61" spans="2:6" s="8" customFormat="1" ht="30" customHeight="1" x14ac:dyDescent="0.25">
      <c r="B61" s="69">
        <v>46083</v>
      </c>
      <c r="C61" s="12" t="s">
        <v>940</v>
      </c>
      <c r="D61" s="22" t="s">
        <v>928</v>
      </c>
      <c r="E61" s="22" t="str">
        <f>IF(SALIDAS[[#This Row],[CODIGO]]="", "", VLOOKUP(SALIDAS[[#This Row],[CODIGO]], PRODUCTOS[#All], 2, FALSE))</f>
        <v xml:space="preserve">gorra negra dama </v>
      </c>
      <c r="F61" s="32">
        <v>2</v>
      </c>
    </row>
    <row r="62" spans="2:6" s="8" customFormat="1" ht="30" customHeight="1" x14ac:dyDescent="0.25">
      <c r="B62" s="68">
        <v>46084</v>
      </c>
      <c r="C62" s="6" t="s">
        <v>940</v>
      </c>
      <c r="D62" s="20" t="s">
        <v>79</v>
      </c>
      <c r="E62" s="20" t="str">
        <f>IF(SALIDAS[[#This Row],[CODIGO]]="", "", VLOOKUP(SALIDAS[[#This Row],[CODIGO]], PRODUCTOS[#All], 2, FALSE))</f>
        <v>Rollo alambre cal. 10</v>
      </c>
      <c r="F62" s="32">
        <v>1</v>
      </c>
    </row>
    <row r="63" spans="2:6" s="8" customFormat="1" ht="30" customHeight="1" x14ac:dyDescent="0.25">
      <c r="B63" s="68">
        <v>46084</v>
      </c>
      <c r="C63" s="6" t="s">
        <v>940</v>
      </c>
      <c r="D63" s="20" t="s">
        <v>43</v>
      </c>
      <c r="E63" s="20" t="str">
        <f>IF(SALIDAS[[#This Row],[CODIGO]]="", "", VLOOKUP(SALIDAS[[#This Row],[CODIGO]], PRODUCTOS[#All], 2, FALSE))</f>
        <v>Cinta 3M 165 (Equipamiento)</v>
      </c>
      <c r="F63" s="32">
        <v>2</v>
      </c>
    </row>
    <row r="64" spans="2:6" s="8" customFormat="1" ht="30" customHeight="1" x14ac:dyDescent="0.25">
      <c r="B64" s="69">
        <v>46084</v>
      </c>
      <c r="C64" s="12" t="s">
        <v>940</v>
      </c>
      <c r="D64" s="22" t="s">
        <v>35</v>
      </c>
      <c r="E64" s="22" t="str">
        <f>IF(SALIDAS[[#This Row],[CODIGO]]="", "", VLOOKUP(SALIDAS[[#This Row],[CODIGO]], PRODUCTOS[#All], 2, FALSE))</f>
        <v>Electrodo (MW-E6013-3/32)</v>
      </c>
      <c r="F64" s="32">
        <v>20</v>
      </c>
    </row>
    <row r="65" spans="2:6" s="8" customFormat="1" ht="30" customHeight="1" x14ac:dyDescent="0.25">
      <c r="B65" s="68">
        <v>46084</v>
      </c>
      <c r="C65" s="6" t="s">
        <v>940</v>
      </c>
      <c r="D65" s="20" t="s">
        <v>39</v>
      </c>
      <c r="E65" s="20" t="str">
        <f>IF(SALIDAS[[#This Row],[CODIGO]]="", "", VLOOKUP(SALIDAS[[#This Row],[CODIGO]], PRODUCTOS[#All], 2, FALSE))</f>
        <v>Disc. De corte  4-1/2"</v>
      </c>
      <c r="F65" s="32">
        <v>5</v>
      </c>
    </row>
    <row r="66" spans="2:6" s="8" customFormat="1" ht="30" customHeight="1" x14ac:dyDescent="0.25">
      <c r="B66" s="68">
        <v>46084</v>
      </c>
      <c r="C66" s="6" t="s">
        <v>940</v>
      </c>
      <c r="D66" s="20" t="s">
        <v>696</v>
      </c>
      <c r="E66" s="20" t="str">
        <f>IF(SALIDAS[[#This Row],[CODIGO]]="", "", VLOOKUP(SALIDAS[[#This Row],[CODIGO]], PRODUCTOS[#All], 2, FALSE))</f>
        <v>Guantes de carnaza</v>
      </c>
      <c r="F66" s="32">
        <v>1</v>
      </c>
    </row>
    <row r="67" spans="2:6" s="8" customFormat="1" ht="30" customHeight="1" x14ac:dyDescent="0.25">
      <c r="B67" s="68">
        <v>46083</v>
      </c>
      <c r="C67" s="6" t="s">
        <v>940</v>
      </c>
      <c r="D67" s="20" t="s">
        <v>43</v>
      </c>
      <c r="E67" s="20" t="str">
        <f>IF(SALIDAS[[#This Row],[CODIGO]]="", "", VLOOKUP(SALIDAS[[#This Row],[CODIGO]], PRODUCTOS[#All], 2, FALSE))</f>
        <v>Cinta 3M 165 (Equipamiento)</v>
      </c>
      <c r="F67" s="32">
        <v>10</v>
      </c>
    </row>
    <row r="68" spans="2:6" s="8" customFormat="1" ht="30" customHeight="1" x14ac:dyDescent="0.25">
      <c r="B68" s="68">
        <v>46083</v>
      </c>
      <c r="C68" s="6" t="s">
        <v>940</v>
      </c>
      <c r="D68" s="20" t="s">
        <v>79</v>
      </c>
      <c r="E68" s="20" t="str">
        <f>IF(SALIDAS[[#This Row],[CODIGO]]="", "", VLOOKUP(SALIDAS[[#This Row],[CODIGO]], PRODUCTOS[#All], 2, FALSE))</f>
        <v>Rollo alambre cal. 10</v>
      </c>
      <c r="F68" s="32">
        <v>2</v>
      </c>
    </row>
    <row r="69" spans="2:6" s="8" customFormat="1" ht="30" customHeight="1" x14ac:dyDescent="0.25">
      <c r="B69" s="68">
        <v>46086</v>
      </c>
      <c r="C69" s="6" t="s">
        <v>940</v>
      </c>
      <c r="D69" s="20" t="s">
        <v>696</v>
      </c>
      <c r="E69" s="20" t="str">
        <f>IF(SALIDAS[[#This Row],[CODIGO]]="", "", VLOOKUP(SALIDAS[[#This Row],[CODIGO]], PRODUCTOS[#All], 2, FALSE))</f>
        <v>Guantes de carnaza</v>
      </c>
      <c r="F69" s="32">
        <v>5</v>
      </c>
    </row>
    <row r="70" spans="2:6" s="8" customFormat="1" ht="30" customHeight="1" x14ac:dyDescent="0.25">
      <c r="B70" s="68">
        <v>46086</v>
      </c>
      <c r="C70" s="6" t="s">
        <v>940</v>
      </c>
      <c r="D70" s="20" t="s">
        <v>698</v>
      </c>
      <c r="E70" s="20" t="str">
        <f>IF(SALIDAS[[#This Row],[CODIGO]]="", "", VLOOKUP(SALIDAS[[#This Row],[CODIGO]], PRODUCTOS[#All], 2, FALSE))</f>
        <v>Guante de nitrilo T.8</v>
      </c>
      <c r="F70" s="32">
        <v>2</v>
      </c>
    </row>
    <row r="71" spans="2:6" s="8" customFormat="1" ht="30" customHeight="1" x14ac:dyDescent="0.25">
      <c r="B71" s="68">
        <v>46090</v>
      </c>
      <c r="C71" s="6" t="s">
        <v>940</v>
      </c>
      <c r="D71" s="20" t="s">
        <v>79</v>
      </c>
      <c r="E71" s="20" t="str">
        <f>IF(SALIDAS[[#This Row],[CODIGO]]="", "", VLOOKUP(SALIDAS[[#This Row],[CODIGO]], PRODUCTOS[#All], 2, FALSE))</f>
        <v>Rollo alambre cal. 10</v>
      </c>
      <c r="F71" s="32">
        <v>1</v>
      </c>
    </row>
    <row r="72" spans="2:6" s="8" customFormat="1" ht="30" customHeight="1" x14ac:dyDescent="0.25">
      <c r="B72" s="68">
        <v>46090</v>
      </c>
      <c r="C72" s="6" t="s">
        <v>940</v>
      </c>
      <c r="D72" s="20" t="s">
        <v>43</v>
      </c>
      <c r="E72" s="20" t="str">
        <f>IF(SALIDAS[[#This Row],[CODIGO]]="", "", VLOOKUP(SALIDAS[[#This Row],[CODIGO]], PRODUCTOS[#All], 2, FALSE))</f>
        <v>Cinta 3M 165 (Equipamiento)</v>
      </c>
      <c r="F72" s="32">
        <v>6</v>
      </c>
    </row>
    <row r="73" spans="2:6" s="8" customFormat="1" ht="30" customHeight="1" x14ac:dyDescent="0.25">
      <c r="B73" s="68">
        <v>46090</v>
      </c>
      <c r="C73" s="6" t="s">
        <v>940</v>
      </c>
      <c r="D73" s="20" t="s">
        <v>57</v>
      </c>
      <c r="E73" s="20" t="str">
        <f>IF(SALIDAS[[#This Row],[CODIGO]]="", "", VLOOKUP(SALIDAS[[#This Row],[CODIGO]], PRODUCTOS[#All], 2, FALSE))</f>
        <v>Cinta aislante Super 33</v>
      </c>
      <c r="F73" s="32">
        <v>1</v>
      </c>
    </row>
    <row r="74" spans="2:6" s="8" customFormat="1" ht="30" customHeight="1" x14ac:dyDescent="0.25">
      <c r="B74" s="68">
        <v>46090</v>
      </c>
      <c r="C74" s="6" t="s">
        <v>940</v>
      </c>
      <c r="D74" s="20" t="s">
        <v>642</v>
      </c>
      <c r="E74" s="20" t="str">
        <f>IF(SALIDAS[[#This Row],[CODIGO]]="", "", VLOOKUP(SALIDAS[[#This Row],[CODIGO]], PRODUCTOS[#All], 2, FALSE))</f>
        <v>Conector tope 250 KCMIL Burndy largo</v>
      </c>
      <c r="F74" s="32">
        <v>3</v>
      </c>
    </row>
    <row r="75" spans="2:6" s="8" customFormat="1" ht="30" customHeight="1" x14ac:dyDescent="0.25">
      <c r="B75" s="68">
        <v>46090</v>
      </c>
      <c r="C75" s="6" t="s">
        <v>940</v>
      </c>
      <c r="D75" s="20" t="s">
        <v>488</v>
      </c>
      <c r="E75" s="20" t="str">
        <f>IF(SALIDAS[[#This Row],[CODIGO]]="", "", VLOOKUP(SALIDAS[[#This Row],[CODIGO]], PRODUCTOS[#All], 2, FALSE))</f>
        <v>manga 300 - 500 KCMIL</v>
      </c>
      <c r="F75" s="32">
        <v>60</v>
      </c>
    </row>
    <row r="76" spans="2:6" s="8" customFormat="1" ht="30" customHeight="1" x14ac:dyDescent="0.25">
      <c r="B76" s="68">
        <v>46090</v>
      </c>
      <c r="C76" s="6" t="s">
        <v>940</v>
      </c>
      <c r="D76" s="20" t="s">
        <v>486</v>
      </c>
      <c r="E76" s="20" t="str">
        <f>IF(SALIDAS[[#This Row],[CODIGO]]="", "", VLOOKUP(SALIDAS[[#This Row],[CODIGO]], PRODUCTOS[#All], 2, FALSE))</f>
        <v>Manga 1 - 4/0 AWG</v>
      </c>
      <c r="F76" s="32">
        <v>60</v>
      </c>
    </row>
    <row r="77" spans="2:6" s="8" customFormat="1" ht="30" customHeight="1" x14ac:dyDescent="0.25">
      <c r="B77" s="68">
        <v>46090</v>
      </c>
      <c r="C77" s="6" t="s">
        <v>940</v>
      </c>
      <c r="D77" s="20" t="s">
        <v>870</v>
      </c>
      <c r="E77" s="20" t="str">
        <f>IF(SALIDAS[[#This Row],[CODIGO]]="", "", VLOOKUP(SALIDAS[[#This Row],[CODIGO]], PRODUCTOS[#All], 2, FALSE))</f>
        <v>Submonitor 600V</v>
      </c>
      <c r="F77" s="32">
        <v>1</v>
      </c>
    </row>
    <row r="78" spans="2:6" s="8" customFormat="1" ht="30" customHeight="1" x14ac:dyDescent="0.25">
      <c r="B78" s="68">
        <v>46090</v>
      </c>
      <c r="C78" s="6" t="s">
        <v>940</v>
      </c>
      <c r="D78" s="20" t="s">
        <v>37</v>
      </c>
      <c r="E78" s="20" t="str">
        <f>IF(SALIDAS[[#This Row],[CODIGO]]="", "", VLOOKUP(SALIDAS[[#This Row],[CODIGO]], PRODUCTOS[#All], 2, FALSE))</f>
        <v>Electrodo (MW-E6013-1/8)</v>
      </c>
      <c r="F78" s="32">
        <v>20</v>
      </c>
    </row>
    <row r="79" spans="2:6" s="8" customFormat="1" ht="30" customHeight="1" x14ac:dyDescent="0.25">
      <c r="B79" s="68">
        <v>46090</v>
      </c>
      <c r="C79" s="6" t="s">
        <v>940</v>
      </c>
      <c r="D79" s="20" t="s">
        <v>37</v>
      </c>
      <c r="E79" s="20" t="str">
        <f>IF(SALIDAS[[#This Row],[CODIGO]]="", "", VLOOKUP(SALIDAS[[#This Row],[CODIGO]], PRODUCTOS[#All], 2, FALSE))</f>
        <v>Electrodo (MW-E6013-1/8)</v>
      </c>
      <c r="F79" s="32">
        <v>20</v>
      </c>
    </row>
    <row r="80" spans="2:6" s="8" customFormat="1" ht="30" customHeight="1" x14ac:dyDescent="0.25">
      <c r="B80" s="68">
        <v>38785</v>
      </c>
      <c r="C80" s="6" t="s">
        <v>940</v>
      </c>
      <c r="D80" s="20" t="s">
        <v>39</v>
      </c>
      <c r="E80" s="20" t="str">
        <f>IF(SALIDAS[[#This Row],[CODIGO]]="", "", VLOOKUP(SALIDAS[[#This Row],[CODIGO]], PRODUCTOS[#All], 2, FALSE))</f>
        <v>Disc. De corte  4-1/2"</v>
      </c>
      <c r="F80" s="32">
        <v>10</v>
      </c>
    </row>
    <row r="81" spans="2:6" s="8" customFormat="1" ht="30" customHeight="1" x14ac:dyDescent="0.25">
      <c r="B81" s="68">
        <v>46091</v>
      </c>
      <c r="C81" s="6" t="s">
        <v>940</v>
      </c>
      <c r="D81" s="20" t="s">
        <v>874</v>
      </c>
      <c r="E81" s="20" t="str">
        <f>IF(SALIDAS[[#This Row],[CODIGO]]="", "", VLOOKUP(SALIDAS[[#This Row],[CODIGO]], PRODUCTOS[#All], 2, FALSE))</f>
        <v xml:space="preserve">Lapiceras fosforescentes </v>
      </c>
      <c r="F81" s="32">
        <v>10</v>
      </c>
    </row>
    <row r="82" spans="2:6" s="8" customFormat="1" ht="30" customHeight="1" x14ac:dyDescent="0.25">
      <c r="B82" s="68">
        <v>46091</v>
      </c>
      <c r="C82" s="6" t="s">
        <v>940</v>
      </c>
      <c r="D82" s="20" t="s">
        <v>1995</v>
      </c>
      <c r="E82" s="20" t="str">
        <f>IF(SALIDAS[[#This Row],[CODIGO]]="", "", VLOOKUP(SALIDAS[[#This Row],[CODIGO]], PRODUCTOS[#All], 2, FALSE))</f>
        <v xml:space="preserve">Gorras trucker </v>
      </c>
      <c r="F82" s="32">
        <v>2</v>
      </c>
    </row>
    <row r="83" spans="2:6" s="8" customFormat="1" ht="30" customHeight="1" x14ac:dyDescent="0.25">
      <c r="B83" s="69">
        <v>46183</v>
      </c>
      <c r="C83" s="12" t="s">
        <v>940</v>
      </c>
      <c r="D83" s="22" t="s">
        <v>890</v>
      </c>
      <c r="E83" s="22" t="str">
        <f>IF(SALIDAS[[#This Row],[CODIGO]]="", "", VLOOKUP(SALIDAS[[#This Row],[CODIGO]], PRODUCTOS[#All], 2, FALSE))</f>
        <v>Gorra Tornasol</v>
      </c>
      <c r="F83" s="32">
        <v>2</v>
      </c>
    </row>
    <row r="84" spans="2:6" s="8" customFormat="1" ht="30" customHeight="1" x14ac:dyDescent="0.25">
      <c r="B84" s="68">
        <v>46091</v>
      </c>
      <c r="C84" s="6" t="s">
        <v>940</v>
      </c>
      <c r="D84" s="20" t="s">
        <v>886</v>
      </c>
      <c r="E84" s="20" t="str">
        <f>IF(SALIDAS[[#This Row],[CODIGO]]="", "", VLOOKUP(SALIDAS[[#This Row],[CODIGO]], PRODUCTOS[#All], 2, FALSE))</f>
        <v xml:space="preserve">Gorra gris jaspeado </v>
      </c>
      <c r="F84" s="32">
        <v>1</v>
      </c>
    </row>
    <row r="85" spans="2:6" s="8" customFormat="1" ht="30" customHeight="1" x14ac:dyDescent="0.25">
      <c r="B85" s="68">
        <v>46091</v>
      </c>
      <c r="C85" s="6" t="s">
        <v>940</v>
      </c>
      <c r="D85" s="20" t="s">
        <v>884</v>
      </c>
      <c r="E85" s="20" t="str">
        <f>IF(SALIDAS[[#This Row],[CODIGO]]="", "", VLOOKUP(SALIDAS[[#This Row],[CODIGO]], PRODUCTOS[#All], 2, FALSE))</f>
        <v xml:space="preserve">Bolsas azules </v>
      </c>
      <c r="F85" s="32">
        <v>5</v>
      </c>
    </row>
    <row r="86" spans="2:6" s="8" customFormat="1" ht="30" customHeight="1" x14ac:dyDescent="0.25">
      <c r="B86" s="68">
        <v>46092</v>
      </c>
      <c r="C86" s="6" t="s">
        <v>940</v>
      </c>
      <c r="D86" s="20" t="s">
        <v>37</v>
      </c>
      <c r="E86" s="20" t="str">
        <f>IF(SALIDAS[[#This Row],[CODIGO]]="", "", VLOOKUP(SALIDAS[[#This Row],[CODIGO]], PRODUCTOS[#All], 2, FALSE))</f>
        <v>Electrodo (MW-E6013-1/8)</v>
      </c>
      <c r="F86" s="32">
        <v>30</v>
      </c>
    </row>
    <row r="87" spans="2:6" s="8" customFormat="1" ht="30" customHeight="1" x14ac:dyDescent="0.25">
      <c r="B87" s="68">
        <v>46092</v>
      </c>
      <c r="C87" s="6" t="s">
        <v>940</v>
      </c>
      <c r="D87" s="20" t="s">
        <v>35</v>
      </c>
      <c r="E87" s="20" t="str">
        <f>IF(SALIDAS[[#This Row],[CODIGO]]="", "", VLOOKUP(SALIDAS[[#This Row],[CODIGO]], PRODUCTOS[#All], 2, FALSE))</f>
        <v>Electrodo (MW-E6013-3/32)</v>
      </c>
      <c r="F87" s="32">
        <v>40</v>
      </c>
    </row>
    <row r="88" spans="2:6" s="8" customFormat="1" ht="30" customHeight="1" x14ac:dyDescent="0.25">
      <c r="B88" s="68">
        <v>46092</v>
      </c>
      <c r="C88" s="6" t="s">
        <v>940</v>
      </c>
      <c r="D88" s="20" t="s">
        <v>473</v>
      </c>
      <c r="E88" s="20" t="str">
        <f>IF(SALIDAS[[#This Row],[CODIGO]]="", "", VLOOKUP(SALIDAS[[#This Row],[CODIGO]], PRODUCTOS[#All], 2, FALSE))</f>
        <v xml:space="preserve">Juego de piedras montadas truper </v>
      </c>
      <c r="F88" s="32">
        <v>1</v>
      </c>
    </row>
    <row r="89" spans="2:6" s="8" customFormat="1" ht="30" customHeight="1" x14ac:dyDescent="0.25">
      <c r="B89" s="68">
        <v>46093</v>
      </c>
      <c r="C89" s="6" t="s">
        <v>940</v>
      </c>
      <c r="D89" s="20" t="s">
        <v>439</v>
      </c>
      <c r="E89" s="20" t="str">
        <f>IF(SALIDAS[[#This Row],[CODIGO]]="", "", VLOOKUP(SALIDAS[[#This Row],[CODIGO]], PRODUCTOS[#All], 2, FALSE))</f>
        <v>Ruedas de 6"</v>
      </c>
      <c r="F89" s="32">
        <v>2</v>
      </c>
    </row>
    <row r="90" spans="2:6" s="8" customFormat="1" ht="30" customHeight="1" x14ac:dyDescent="0.25">
      <c r="B90" s="68">
        <v>46097</v>
      </c>
      <c r="C90" s="6" t="s">
        <v>940</v>
      </c>
      <c r="D90" s="20" t="s">
        <v>630</v>
      </c>
      <c r="E90" s="20" t="str">
        <f>IF(SALIDAS[[#This Row],[CODIGO]]="", "", VLOOKUP(SALIDAS[[#This Row],[CODIGO]], PRODUCTOS[#All], 2, FALSE))</f>
        <v xml:space="preserve">Conector tope 250 KCMIL Burndy corto </v>
      </c>
      <c r="F90" s="32">
        <v>9</v>
      </c>
    </row>
    <row r="91" spans="2:6" s="8" customFormat="1" ht="30" customHeight="1" x14ac:dyDescent="0.25">
      <c r="B91" s="68">
        <v>46097</v>
      </c>
      <c r="C91" s="6" t="s">
        <v>940</v>
      </c>
      <c r="D91" s="20" t="s">
        <v>65</v>
      </c>
      <c r="E91" s="20" t="str">
        <f>IF(SALIDAS[[#This Row],[CODIGO]]="", "", VLOOKUP(SALIDAS[[#This Row],[CODIGO]], PRODUCTOS[#All], 2, FALSE))</f>
        <v>Cinta masilla (3M)</v>
      </c>
      <c r="F91" s="32">
        <v>2</v>
      </c>
    </row>
    <row r="92" spans="2:6" s="8" customFormat="1" ht="30" customHeight="1" x14ac:dyDescent="0.25">
      <c r="B92" s="68">
        <v>46097</v>
      </c>
      <c r="C92" s="6" t="s">
        <v>940</v>
      </c>
      <c r="D92" s="20" t="s">
        <v>69</v>
      </c>
      <c r="E92" s="20" t="str">
        <f>IF(SALIDAS[[#This Row],[CODIGO]]="", "", VLOOKUP(SALIDAS[[#This Row],[CODIGO]], PRODUCTOS[#All], 2, FALSE))</f>
        <v>Cinta  130C</v>
      </c>
      <c r="F92" s="32">
        <v>1</v>
      </c>
    </row>
    <row r="93" spans="2:6" s="8" customFormat="1" ht="30" customHeight="1" x14ac:dyDescent="0.25">
      <c r="B93" s="68">
        <v>46097</v>
      </c>
      <c r="C93" s="12" t="s">
        <v>940</v>
      </c>
      <c r="D93" s="22" t="s">
        <v>57</v>
      </c>
      <c r="E93" s="22" t="str">
        <f>IF(SALIDAS[[#This Row],[CODIGO]]="", "", VLOOKUP(SALIDAS[[#This Row],[CODIGO]], PRODUCTOS[#All], 2, FALSE))</f>
        <v>Cinta aislante Super 33</v>
      </c>
      <c r="F93" s="32">
        <v>5</v>
      </c>
    </row>
    <row r="94" spans="2:6" s="8" customFormat="1" ht="30" customHeight="1" x14ac:dyDescent="0.25">
      <c r="B94" s="68">
        <v>46097</v>
      </c>
      <c r="C94" s="6" t="s">
        <v>940</v>
      </c>
      <c r="D94" s="20" t="s">
        <v>546</v>
      </c>
      <c r="E94" s="20" t="str">
        <f>IF(SALIDAS[[#This Row],[CODIGO]]="", "", VLOOKUP(SALIDAS[[#This Row],[CODIGO]], PRODUCTOS[#All], 2, FALSE))</f>
        <v>Manga 600 - 1250 KCMIL</v>
      </c>
      <c r="F94" s="32">
        <v>240</v>
      </c>
    </row>
    <row r="95" spans="2:6" s="8" customFormat="1" ht="30" customHeight="1" x14ac:dyDescent="0.25">
      <c r="B95" s="68">
        <v>46097</v>
      </c>
      <c r="C95" s="6" t="s">
        <v>940</v>
      </c>
      <c r="D95" s="20" t="s">
        <v>486</v>
      </c>
      <c r="E95" s="20" t="str">
        <f>IF(SALIDAS[[#This Row],[CODIGO]]="", "", VLOOKUP(SALIDAS[[#This Row],[CODIGO]], PRODUCTOS[#All], 2, FALSE))</f>
        <v>Manga 1 - 4/0 AWG</v>
      </c>
      <c r="F95" s="32">
        <v>200</v>
      </c>
    </row>
    <row r="96" spans="2:6" s="8" customFormat="1" ht="30" customHeight="1" x14ac:dyDescent="0.25">
      <c r="B96" s="68">
        <v>46097</v>
      </c>
      <c r="C96" s="6" t="s">
        <v>940</v>
      </c>
      <c r="D96" s="20" t="s">
        <v>43</v>
      </c>
      <c r="E96" s="20" t="str">
        <f>IF(SALIDAS[[#This Row],[CODIGO]]="", "", VLOOKUP(SALIDAS[[#This Row],[CODIGO]], PRODUCTOS[#All], 2, FALSE))</f>
        <v>Cinta 3M 165 (Equipamiento)</v>
      </c>
      <c r="F96" s="32">
        <v>2</v>
      </c>
    </row>
    <row r="97" spans="2:6" s="8" customFormat="1" ht="30" customHeight="1" x14ac:dyDescent="0.25">
      <c r="B97" s="68">
        <v>46098</v>
      </c>
      <c r="C97" s="6" t="s">
        <v>940</v>
      </c>
      <c r="D97" s="20" t="s">
        <v>43</v>
      </c>
      <c r="E97" s="20" t="str">
        <f>IF(SALIDAS[[#This Row],[CODIGO]]="", "", VLOOKUP(SALIDAS[[#This Row],[CODIGO]], PRODUCTOS[#All], 2, FALSE))</f>
        <v>Cinta 3M 165 (Equipamiento)</v>
      </c>
      <c r="F97" s="32">
        <v>4</v>
      </c>
    </row>
    <row r="98" spans="2:6" s="8" customFormat="1" ht="30" customHeight="1" x14ac:dyDescent="0.25">
      <c r="B98" s="69">
        <v>46099</v>
      </c>
      <c r="C98" s="12" t="s">
        <v>940</v>
      </c>
      <c r="D98" s="22" t="s">
        <v>107</v>
      </c>
      <c r="E98" s="22" t="str">
        <f>IF(SALIDAS[[#This Row],[CODIGO]]="", "", VLOOKUP(SALIDAS[[#This Row],[CODIGO]], PRODUCTOS[#All], 2, FALSE))</f>
        <v>Tornillo hexagonal galvanizado 3/8" - 10</v>
      </c>
      <c r="F98" s="32">
        <v>3</v>
      </c>
    </row>
    <row r="99" spans="2:6" s="8" customFormat="1" ht="30" customHeight="1" x14ac:dyDescent="0.25">
      <c r="B99" s="68">
        <v>46099</v>
      </c>
      <c r="C99" s="6" t="s">
        <v>940</v>
      </c>
      <c r="D99" s="20" t="s">
        <v>386</v>
      </c>
      <c r="E99" s="20" t="str">
        <f>IF(SALIDAS[[#This Row],[CODIGO]]="", "", VLOOKUP(SALIDAS[[#This Row],[CODIGO]], PRODUCTOS[#All], 2, FALSE))</f>
        <v>Rondana plana 3/8"</v>
      </c>
      <c r="F99" s="32">
        <v>3</v>
      </c>
    </row>
    <row r="100" spans="2:6" s="8" customFormat="1" ht="30" customHeight="1" x14ac:dyDescent="0.25">
      <c r="B100" s="68">
        <v>46100</v>
      </c>
      <c r="C100" s="6" t="s">
        <v>940</v>
      </c>
      <c r="D100" s="20" t="s">
        <v>35</v>
      </c>
      <c r="E100" s="20" t="str">
        <f>IF(SALIDAS[[#This Row],[CODIGO]]="", "", VLOOKUP(SALIDAS[[#This Row],[CODIGO]], PRODUCTOS[#All], 2, FALSE))</f>
        <v>Electrodo (MW-E6013-3/32)</v>
      </c>
      <c r="F100" s="32">
        <v>20</v>
      </c>
    </row>
    <row r="101" spans="2:6" x14ac:dyDescent="0.2">
      <c r="B101" s="68">
        <v>46100</v>
      </c>
      <c r="C101" s="6" t="s">
        <v>940</v>
      </c>
      <c r="D101" s="20" t="s">
        <v>37</v>
      </c>
      <c r="E101" s="20" t="str">
        <f>IF(SALIDAS[[#This Row],[CODIGO]]="", "", VLOOKUP(SALIDAS[[#This Row],[CODIGO]], PRODUCTOS[#All], 2, FALSE))</f>
        <v>Electrodo (MW-E6013-1/8)</v>
      </c>
      <c r="F101" s="32">
        <v>30</v>
      </c>
    </row>
    <row r="102" spans="2:6" x14ac:dyDescent="0.2">
      <c r="B102" s="68">
        <v>46100</v>
      </c>
      <c r="C102" s="6" t="s">
        <v>940</v>
      </c>
      <c r="D102" s="20" t="s">
        <v>39</v>
      </c>
      <c r="E102" s="20" t="str">
        <f>IF(SALIDAS[[#This Row],[CODIGO]]="", "", VLOOKUP(SALIDAS[[#This Row],[CODIGO]], PRODUCTOS[#All], 2, FALSE))</f>
        <v>Disc. De corte  4-1/2"</v>
      </c>
      <c r="F102" s="32">
        <v>10</v>
      </c>
    </row>
    <row r="103" spans="2:6" x14ac:dyDescent="0.2">
      <c r="B103" s="68">
        <v>46100</v>
      </c>
      <c r="C103" s="6" t="s">
        <v>940</v>
      </c>
      <c r="D103" s="20" t="s">
        <v>43</v>
      </c>
      <c r="E103" s="20" t="str">
        <f>IF(SALIDAS[[#This Row],[CODIGO]]="", "", VLOOKUP(SALIDAS[[#This Row],[CODIGO]], PRODUCTOS[#All], 2, FALSE))</f>
        <v>Cinta 3M 165 (Equipamiento)</v>
      </c>
      <c r="F103" s="32">
        <v>5</v>
      </c>
    </row>
    <row r="104" spans="2:6" x14ac:dyDescent="0.2">
      <c r="B104" s="68">
        <v>46100</v>
      </c>
      <c r="C104" s="6" t="s">
        <v>940</v>
      </c>
      <c r="D104" s="20" t="s">
        <v>69</v>
      </c>
      <c r="E104" s="20" t="str">
        <f>IF(SALIDAS[[#This Row],[CODIGO]]="", "", VLOOKUP(SALIDAS[[#This Row],[CODIGO]], PRODUCTOS[#All], 2, FALSE))</f>
        <v>Cinta  130C</v>
      </c>
      <c r="F104" s="32">
        <v>1</v>
      </c>
    </row>
    <row r="105" spans="2:6" x14ac:dyDescent="0.2">
      <c r="B105" s="68">
        <v>46100</v>
      </c>
      <c r="C105" s="6" t="s">
        <v>940</v>
      </c>
      <c r="D105" s="20" t="s">
        <v>65</v>
      </c>
      <c r="E105" s="20" t="str">
        <f>IF(SALIDAS[[#This Row],[CODIGO]]="", "", VLOOKUP(SALIDAS[[#This Row],[CODIGO]], PRODUCTOS[#All], 2, FALSE))</f>
        <v>Cinta masilla (3M)</v>
      </c>
      <c r="F105" s="32">
        <v>1</v>
      </c>
    </row>
    <row r="106" spans="2:6" x14ac:dyDescent="0.2">
      <c r="B106" s="68">
        <v>46100</v>
      </c>
      <c r="C106" s="6" t="s">
        <v>940</v>
      </c>
      <c r="D106" s="20" t="s">
        <v>486</v>
      </c>
      <c r="E106" s="20" t="str">
        <f>IF(SALIDAS[[#This Row],[CODIGO]]="", "", VLOOKUP(SALIDAS[[#This Row],[CODIGO]], PRODUCTOS[#All], 2, FALSE))</f>
        <v>Manga 1 - 4/0 AWG</v>
      </c>
      <c r="F106" s="32">
        <v>60</v>
      </c>
    </row>
    <row r="107" spans="2:6" x14ac:dyDescent="0.2">
      <c r="B107" s="68">
        <v>46100</v>
      </c>
      <c r="C107" s="6" t="s">
        <v>940</v>
      </c>
      <c r="D107" s="20" t="s">
        <v>488</v>
      </c>
      <c r="E107" s="20" t="str">
        <f>IF(SALIDAS[[#This Row],[CODIGO]]="", "", VLOOKUP(SALIDAS[[#This Row],[CODIGO]], PRODUCTOS[#All], 2, FALSE))</f>
        <v>manga 300 - 500 KCMIL</v>
      </c>
      <c r="F107" s="32">
        <v>60</v>
      </c>
    </row>
    <row r="108" spans="2:6" x14ac:dyDescent="0.2">
      <c r="B108" s="68">
        <v>46100</v>
      </c>
      <c r="C108" s="6" t="s">
        <v>940</v>
      </c>
      <c r="D108" s="20" t="s">
        <v>57</v>
      </c>
      <c r="E108" s="20" t="str">
        <f>IF(SALIDAS[[#This Row],[CODIGO]]="", "", VLOOKUP(SALIDAS[[#This Row],[CODIGO]], PRODUCTOS[#All], 2, FALSE))</f>
        <v>Cinta aislante Super 33</v>
      </c>
      <c r="F108" s="32">
        <v>1</v>
      </c>
    </row>
    <row r="109" spans="2:6" x14ac:dyDescent="0.2">
      <c r="B109" s="68">
        <v>46100</v>
      </c>
      <c r="C109" s="6" t="s">
        <v>940</v>
      </c>
      <c r="D109" s="20" t="s">
        <v>632</v>
      </c>
      <c r="E109" s="20" t="str">
        <f>IF(SALIDAS[[#This Row],[CODIGO]]="", "", VLOOKUP(SALIDAS[[#This Row],[CODIGO]], PRODUCTOS[#All], 2, FALSE))</f>
        <v xml:space="preserve">Conector tope 3/0 Burndy corto </v>
      </c>
      <c r="F109" s="32">
        <v>3</v>
      </c>
    </row>
    <row r="110" spans="2:6" x14ac:dyDescent="0.2">
      <c r="B110" s="68">
        <v>46100</v>
      </c>
      <c r="C110" s="6" t="s">
        <v>940</v>
      </c>
      <c r="D110" s="20" t="s">
        <v>362</v>
      </c>
      <c r="E110" s="20" t="str">
        <f>IF(SALIDAS[[#This Row],[CODIGO]]="", "", VLOOKUP(SALIDAS[[#This Row],[CODIGO]], PRODUCTOS[#All], 2, FALSE))</f>
        <v>Tornillo hexagonal galvanizado 3/4" x 3 1/2"</v>
      </c>
      <c r="F110" s="32">
        <v>8</v>
      </c>
    </row>
    <row r="111" spans="2:6" x14ac:dyDescent="0.2">
      <c r="B111" s="68">
        <v>46101</v>
      </c>
      <c r="C111" s="6" t="s">
        <v>940</v>
      </c>
      <c r="D111" s="20" t="s">
        <v>109</v>
      </c>
      <c r="E111" s="20" t="str">
        <f>IF(SALIDAS[[#This Row],[CODIGO]]="", "", VLOOKUP(SALIDAS[[#This Row],[CODIGO]], PRODUCTOS[#All], 2, FALSE))</f>
        <v>Tuerca hexagonal galvanizada 3/4"</v>
      </c>
      <c r="F111" s="32">
        <v>8</v>
      </c>
    </row>
    <row r="112" spans="2:6" x14ac:dyDescent="0.2">
      <c r="B112" s="68">
        <v>46101</v>
      </c>
      <c r="C112" s="6" t="s">
        <v>940</v>
      </c>
      <c r="D112" s="20" t="s">
        <v>790</v>
      </c>
      <c r="E112" s="20" t="str">
        <f>IF(SALIDAS[[#This Row],[CODIGO]]="", "", VLOOKUP(SALIDAS[[#This Row],[CODIGO]], PRODUCTOS[#All], 2, FALSE))</f>
        <v>Empaque 4"</v>
      </c>
      <c r="F112" s="32">
        <v>2</v>
      </c>
    </row>
    <row r="113" spans="2:6" x14ac:dyDescent="0.2">
      <c r="B113" s="68">
        <v>46101</v>
      </c>
      <c r="C113" s="6" t="s">
        <v>940</v>
      </c>
      <c r="D113" s="20" t="s">
        <v>794</v>
      </c>
      <c r="E113" s="20" t="str">
        <f>IF(SALIDAS[[#This Row],[CODIGO]]="", "", VLOOKUP(SALIDAS[[#This Row],[CODIGO]], PRODUCTOS[#All], 2, FALSE))</f>
        <v>Empaque 8"</v>
      </c>
      <c r="F113" s="32">
        <v>1</v>
      </c>
    </row>
    <row r="114" spans="2:6" x14ac:dyDescent="0.2">
      <c r="B114" s="68">
        <v>46104</v>
      </c>
      <c r="C114" s="6" t="s">
        <v>940</v>
      </c>
      <c r="D114" s="20" t="s">
        <v>688</v>
      </c>
      <c r="E114" s="20" t="str">
        <f>IF(SALIDAS[[#This Row],[CODIGO]]="", "", VLOOKUP(SALIDAS[[#This Row],[CODIGO]], PRODUCTOS[#All], 2, FALSE))</f>
        <v>Conec. Ojo 2/0</v>
      </c>
      <c r="F114" s="32">
        <v>1</v>
      </c>
    </row>
    <row r="115" spans="2:6" x14ac:dyDescent="0.2">
      <c r="B115" s="68">
        <v>46104</v>
      </c>
      <c r="C115" s="6" t="s">
        <v>940</v>
      </c>
      <c r="D115" s="20" t="s">
        <v>37</v>
      </c>
      <c r="E115" s="20" t="str">
        <f>IF(SALIDAS[[#This Row],[CODIGO]]="", "", VLOOKUP(SALIDAS[[#This Row],[CODIGO]], PRODUCTOS[#All], 2, FALSE))</f>
        <v>Electrodo (MW-E6013-1/8)</v>
      </c>
      <c r="F115" s="32">
        <v>50</v>
      </c>
    </row>
    <row r="116" spans="2:6" x14ac:dyDescent="0.2">
      <c r="B116" s="68">
        <v>46104</v>
      </c>
      <c r="C116" s="6" t="s">
        <v>940</v>
      </c>
      <c r="D116" s="20" t="s">
        <v>35</v>
      </c>
      <c r="E116" s="20" t="str">
        <f>IF(SALIDAS[[#This Row],[CODIGO]]="", "", VLOOKUP(SALIDAS[[#This Row],[CODIGO]], PRODUCTOS[#All], 2, FALSE))</f>
        <v>Electrodo (MW-E6013-3/32)</v>
      </c>
      <c r="F116" s="32">
        <v>20</v>
      </c>
    </row>
    <row r="117" spans="2:6" x14ac:dyDescent="0.2">
      <c r="B117" s="68">
        <v>46104</v>
      </c>
      <c r="C117" s="6" t="s">
        <v>940</v>
      </c>
      <c r="D117" s="20" t="s">
        <v>358</v>
      </c>
      <c r="E117" s="20" t="str">
        <f>IF(SALIDAS[[#This Row],[CODIGO]]="", "", VLOOKUP(SALIDAS[[#This Row],[CODIGO]], PRODUCTOS[#All], 2, FALSE))</f>
        <v xml:space="preserve">Tornillo galvanizado 1/2" x 2 1/2" </v>
      </c>
      <c r="F117" s="32">
        <v>2</v>
      </c>
    </row>
    <row r="118" spans="2:6" x14ac:dyDescent="0.2">
      <c r="B118" s="68">
        <v>46108</v>
      </c>
      <c r="C118" s="6" t="s">
        <v>940</v>
      </c>
      <c r="D118" s="20" t="s">
        <v>37</v>
      </c>
      <c r="E118" s="20" t="str">
        <f>IF(SALIDAS[[#This Row],[CODIGO]]="", "", VLOOKUP(SALIDAS[[#This Row],[CODIGO]], PRODUCTOS[#All], 2, FALSE))</f>
        <v>Electrodo (MW-E6013-1/8)</v>
      </c>
      <c r="F118" s="32">
        <v>20</v>
      </c>
    </row>
    <row r="119" spans="2:6" x14ac:dyDescent="0.2">
      <c r="B119" s="68">
        <v>46108</v>
      </c>
      <c r="C119" s="6" t="s">
        <v>940</v>
      </c>
      <c r="D119" s="20" t="s">
        <v>35</v>
      </c>
      <c r="E119" s="20" t="str">
        <f>IF(SALIDAS[[#This Row],[CODIGO]]="", "", VLOOKUP(SALIDAS[[#This Row],[CODIGO]], PRODUCTOS[#All], 2, FALSE))</f>
        <v>Electrodo (MW-E6013-3/32)</v>
      </c>
      <c r="F119" s="32">
        <v>20</v>
      </c>
    </row>
    <row r="120" spans="2:6" x14ac:dyDescent="0.2">
      <c r="B120" s="68">
        <v>46111</v>
      </c>
      <c r="C120" s="6" t="s">
        <v>940</v>
      </c>
      <c r="D120" s="20" t="s">
        <v>205</v>
      </c>
      <c r="E120" s="20" t="str">
        <f>IF(SALIDAS[[#This Row],[CODIGO]]="", "", VLOOKUP(SALIDAS[[#This Row],[CODIGO]], PRODUCTOS[#All], 2, FALSE))</f>
        <v>Carda tipo conico almabre trenzado 5/8"</v>
      </c>
      <c r="F120" s="32">
        <v>1</v>
      </c>
    </row>
    <row r="121" spans="2:6" x14ac:dyDescent="0.2">
      <c r="B121" s="68">
        <v>46111</v>
      </c>
      <c r="C121" s="6" t="s">
        <v>940</v>
      </c>
      <c r="D121" s="20" t="s">
        <v>35</v>
      </c>
      <c r="E121" s="20" t="str">
        <f>IF(SALIDAS[[#This Row],[CODIGO]]="", "", VLOOKUP(SALIDAS[[#This Row],[CODIGO]], PRODUCTOS[#All], 2, FALSE))</f>
        <v>Electrodo (MW-E6013-3/32)</v>
      </c>
      <c r="F121" s="32">
        <v>40</v>
      </c>
    </row>
    <row r="122" spans="2:6" x14ac:dyDescent="0.2">
      <c r="B122" s="68">
        <v>46111</v>
      </c>
      <c r="C122" s="6" t="s">
        <v>940</v>
      </c>
      <c r="D122" s="20" t="s">
        <v>37</v>
      </c>
      <c r="E122" s="20" t="str">
        <f>IF(SALIDAS[[#This Row],[CODIGO]]="", "", VLOOKUP(SALIDAS[[#This Row],[CODIGO]], PRODUCTOS[#All], 2, FALSE))</f>
        <v>Electrodo (MW-E6013-1/8)</v>
      </c>
      <c r="F122" s="32">
        <v>40</v>
      </c>
    </row>
    <row r="123" spans="2:6" x14ac:dyDescent="0.2">
      <c r="B123" s="68">
        <v>46112</v>
      </c>
      <c r="C123" s="6" t="s">
        <v>940</v>
      </c>
      <c r="D123" s="20" t="s">
        <v>47</v>
      </c>
      <c r="E123" s="20" t="str">
        <f>IF(SALIDAS[[#This Row],[CODIGO]]="", "", VLOOKUP(SALIDAS[[#This Row],[CODIGO]], PRODUCTOS[#All], 2, FALSE))</f>
        <v>Cinta 3M 155 (Aforo)</v>
      </c>
      <c r="F123" s="32">
        <v>3</v>
      </c>
    </row>
    <row r="124" spans="2:6" x14ac:dyDescent="0.2">
      <c r="B124" s="69">
        <v>46112</v>
      </c>
      <c r="C124" s="12" t="s">
        <v>940</v>
      </c>
      <c r="D124" s="22" t="s">
        <v>486</v>
      </c>
      <c r="E124" s="22" t="str">
        <f>IF(SALIDAS[[#This Row],[CODIGO]]="", "", VLOOKUP(SALIDAS[[#This Row],[CODIGO]], PRODUCTOS[#All], 2, FALSE))</f>
        <v>Manga 1 - 4/0 AWG</v>
      </c>
      <c r="F124" s="32">
        <v>44</v>
      </c>
    </row>
    <row r="125" spans="2:6" x14ac:dyDescent="0.2">
      <c r="B125" s="69">
        <v>46112</v>
      </c>
      <c r="C125" s="12" t="s">
        <v>940</v>
      </c>
      <c r="D125" s="22" t="s">
        <v>2020</v>
      </c>
      <c r="E125" s="22" t="str">
        <f>IF(SALIDAS[[#This Row],[CODIGO]]="", "", VLOOKUP(SALIDAS[[#This Row],[CODIGO]], PRODUCTOS[#All], 2, FALSE))</f>
        <v>Kit de empate 4/0</v>
      </c>
      <c r="F125" s="32">
        <v>1</v>
      </c>
    </row>
    <row r="126" spans="2:6" x14ac:dyDescent="0.2">
      <c r="B126" s="68">
        <v>46120</v>
      </c>
      <c r="C126" s="6" t="s">
        <v>940</v>
      </c>
      <c r="D126" s="20" t="s">
        <v>37</v>
      </c>
      <c r="E126" s="20" t="str">
        <f>IF(SALIDAS[[#This Row],[CODIGO]]="", "", VLOOKUP(SALIDAS[[#This Row],[CODIGO]], PRODUCTOS[#All], 2, FALSE))</f>
        <v>Electrodo (MW-E6013-1/8)</v>
      </c>
      <c r="F126" s="32">
        <v>20</v>
      </c>
    </row>
    <row r="127" spans="2:6" x14ac:dyDescent="0.2">
      <c r="B127" s="68">
        <v>46120</v>
      </c>
      <c r="C127" s="6" t="s">
        <v>940</v>
      </c>
      <c r="D127" s="20" t="s">
        <v>35</v>
      </c>
      <c r="E127" s="20" t="str">
        <f>IF(SALIDAS[[#This Row],[CODIGO]]="", "", VLOOKUP(SALIDAS[[#This Row],[CODIGO]], PRODUCTOS[#All], 2, FALSE))</f>
        <v>Electrodo (MW-E6013-3/32)</v>
      </c>
      <c r="F127" s="32">
        <v>20</v>
      </c>
    </row>
    <row r="128" spans="2:6" x14ac:dyDescent="0.2">
      <c r="B128" s="68">
        <v>46120</v>
      </c>
      <c r="C128" s="6" t="s">
        <v>940</v>
      </c>
      <c r="D128" s="20" t="s">
        <v>39</v>
      </c>
      <c r="E128" s="20" t="str">
        <f>IF(SALIDAS[[#This Row],[CODIGO]]="", "", VLOOKUP(SALIDAS[[#This Row],[CODIGO]], PRODUCTOS[#All], 2, FALSE))</f>
        <v>Disc. De corte  4-1/2"</v>
      </c>
      <c r="F128" s="32">
        <v>1</v>
      </c>
    </row>
    <row r="129" spans="2:6" x14ac:dyDescent="0.2">
      <c r="B129" s="68">
        <v>46125</v>
      </c>
      <c r="C129" s="6" t="s">
        <v>940</v>
      </c>
      <c r="D129" s="20" t="s">
        <v>69</v>
      </c>
      <c r="E129" s="20" t="str">
        <f>IF(SALIDAS[[#This Row],[CODIGO]]="", "", VLOOKUP(SALIDAS[[#This Row],[CODIGO]], PRODUCTOS[#All], 2, FALSE))</f>
        <v>Cinta  130C</v>
      </c>
      <c r="F129" s="32">
        <v>1</v>
      </c>
    </row>
    <row r="130" spans="2:6" x14ac:dyDescent="0.2">
      <c r="B130" s="68">
        <v>46125</v>
      </c>
      <c r="C130" s="6" t="s">
        <v>940</v>
      </c>
      <c r="D130" s="20" t="s">
        <v>65</v>
      </c>
      <c r="E130" s="20" t="str">
        <f>IF(SALIDAS[[#This Row],[CODIGO]]="", "", VLOOKUP(SALIDAS[[#This Row],[CODIGO]], PRODUCTOS[#All], 2, FALSE))</f>
        <v>Cinta masilla (3M)</v>
      </c>
      <c r="F130" s="32">
        <v>1</v>
      </c>
    </row>
    <row r="131" spans="2:6" x14ac:dyDescent="0.2">
      <c r="B131" s="68">
        <v>46125</v>
      </c>
      <c r="C131" s="6" t="s">
        <v>940</v>
      </c>
      <c r="D131" s="20" t="s">
        <v>57</v>
      </c>
      <c r="E131" s="20" t="str">
        <f>IF(SALIDAS[[#This Row],[CODIGO]]="", "", VLOOKUP(SALIDAS[[#This Row],[CODIGO]], PRODUCTOS[#All], 2, FALSE))</f>
        <v>Cinta aislante Super 33</v>
      </c>
      <c r="F131" s="32">
        <v>1</v>
      </c>
    </row>
    <row r="132" spans="2:6" x14ac:dyDescent="0.2">
      <c r="B132" s="68">
        <v>46125</v>
      </c>
      <c r="C132" s="6" t="s">
        <v>940</v>
      </c>
      <c r="D132" s="20" t="s">
        <v>43</v>
      </c>
      <c r="E132" s="20" t="str">
        <f>IF(SALIDAS[[#This Row],[CODIGO]]="", "", VLOOKUP(SALIDAS[[#This Row],[CODIGO]], PRODUCTOS[#All], 2, FALSE))</f>
        <v>Cinta 3M 165 (Equipamiento)</v>
      </c>
      <c r="F132" s="32">
        <v>2</v>
      </c>
    </row>
    <row r="133" spans="2:6" x14ac:dyDescent="0.2">
      <c r="B133" s="68">
        <v>46125</v>
      </c>
      <c r="C133" s="6" t="s">
        <v>940</v>
      </c>
      <c r="D133" s="20" t="s">
        <v>666</v>
      </c>
      <c r="E133" s="20" t="str">
        <f>IF(SALIDAS[[#This Row],[CODIGO]]="", "", VLOOKUP(SALIDAS[[#This Row],[CODIGO]], PRODUCTOS[#All], 2, FALSE))</f>
        <v>Conector tope 2/0</v>
      </c>
      <c r="F133" s="32">
        <v>3</v>
      </c>
    </row>
    <row r="134" spans="2:6" x14ac:dyDescent="0.2">
      <c r="B134" s="68">
        <v>46125</v>
      </c>
      <c r="C134" s="6" t="s">
        <v>940</v>
      </c>
      <c r="D134" s="20" t="s">
        <v>674</v>
      </c>
      <c r="E134" s="20" t="str">
        <f>IF(SALIDAS[[#This Row],[CODIGO]]="", "", VLOOKUP(SALIDAS[[#This Row],[CODIGO]], PRODUCTOS[#All], 2, FALSE))</f>
        <v>Conector tope 1/0</v>
      </c>
      <c r="F134" s="32">
        <v>3</v>
      </c>
    </row>
    <row r="135" spans="2:6" x14ac:dyDescent="0.2">
      <c r="B135" s="68">
        <v>46125</v>
      </c>
      <c r="C135" s="6" t="s">
        <v>940</v>
      </c>
      <c r="D135" s="20" t="s">
        <v>666</v>
      </c>
      <c r="E135" s="20" t="str">
        <f>IF(SALIDAS[[#This Row],[CODIGO]]="", "", VLOOKUP(SALIDAS[[#This Row],[CODIGO]], PRODUCTOS[#All], 2, FALSE))</f>
        <v>Conector tope 2/0</v>
      </c>
      <c r="F135" s="32">
        <v>3</v>
      </c>
    </row>
    <row r="136" spans="2:6" x14ac:dyDescent="0.2">
      <c r="B136" s="68">
        <v>46125</v>
      </c>
      <c r="C136" s="6" t="s">
        <v>940</v>
      </c>
      <c r="D136" s="20" t="s">
        <v>486</v>
      </c>
      <c r="E136" s="20" t="str">
        <f>IF(SALIDAS[[#This Row],[CODIGO]]="", "", VLOOKUP(SALIDAS[[#This Row],[CODIGO]], PRODUCTOS[#All], 2, FALSE))</f>
        <v>Manga 1 - 4/0 AWG</v>
      </c>
      <c r="F136" s="32" t="s">
        <v>2026</v>
      </c>
    </row>
    <row r="137" spans="2:6" x14ac:dyDescent="0.2">
      <c r="B137" s="68">
        <v>46125</v>
      </c>
      <c r="C137" s="6" t="s">
        <v>940</v>
      </c>
      <c r="D137" s="20" t="s">
        <v>969</v>
      </c>
      <c r="E137" s="20" t="str">
        <f>IF(SALIDAS[[#This Row],[CODIGO]]="", "", VLOOKUP(SALIDAS[[#This Row],[CODIGO]], PRODUCTOS[#All], 2, FALSE))</f>
        <v>Cinta transparente</v>
      </c>
      <c r="F137" s="32">
        <v>1</v>
      </c>
    </row>
    <row r="138" spans="2:6" x14ac:dyDescent="0.2">
      <c r="B138" s="68" t="s">
        <v>2027</v>
      </c>
      <c r="C138" s="6" t="s">
        <v>940</v>
      </c>
      <c r="D138" s="20" t="s">
        <v>35</v>
      </c>
      <c r="E138" s="20" t="str">
        <f>IF(SALIDAS[[#This Row],[CODIGO]]="", "", VLOOKUP(SALIDAS[[#This Row],[CODIGO]], PRODUCTOS[#All], 2, FALSE))</f>
        <v>Electrodo (MW-E6013-3/32)</v>
      </c>
      <c r="F138" s="32">
        <v>10</v>
      </c>
    </row>
    <row r="139" spans="2:6" x14ac:dyDescent="0.2">
      <c r="B139" s="68">
        <v>46125</v>
      </c>
      <c r="C139" s="6" t="s">
        <v>940</v>
      </c>
      <c r="D139" s="20" t="s">
        <v>2028</v>
      </c>
      <c r="E139" s="20" t="str">
        <f>IF(SALIDAS[[#This Row],[CODIGO]]="", "", VLOOKUP(SALIDAS[[#This Row],[CODIGO]], PRODUCTOS[#All], 2, FALSE))</f>
        <v>Aceite para motor 4T 10w-.40</v>
      </c>
      <c r="F139" s="32">
        <v>4</v>
      </c>
    </row>
    <row r="140" spans="2:6" x14ac:dyDescent="0.2">
      <c r="B140" s="68"/>
      <c r="C140" s="6"/>
      <c r="D140" s="20"/>
      <c r="E140" s="20" t="str">
        <f>IF(SALIDAS[[#This Row],[CODIGO]]="", "", VLOOKUP(SALIDAS[[#This Row],[CODIGO]], PRODUCTOS[#All], 2, FALSE))</f>
        <v/>
      </c>
      <c r="F140" s="32"/>
    </row>
    <row r="141" spans="2:6" x14ac:dyDescent="0.2">
      <c r="B141" s="68"/>
      <c r="C141" s="6"/>
      <c r="D141" s="20"/>
      <c r="E141" s="20" t="str">
        <f>IF(SALIDAS[[#This Row],[CODIGO]]="", "", VLOOKUP(SALIDAS[[#This Row],[CODIGO]], PRODUCTOS[#All], 2, FALSE))</f>
        <v/>
      </c>
      <c r="F141" s="26"/>
    </row>
    <row r="142" spans="2:6" x14ac:dyDescent="0.2">
      <c r="B142" s="68"/>
      <c r="C142" s="6"/>
      <c r="D142" s="20"/>
      <c r="E142" s="20" t="str">
        <f>IF(SALIDAS[[#This Row],[CODIGO]]="", "", VLOOKUP(SALIDAS[[#This Row],[CODIGO]], PRODUCTOS[#All], 2, FALSE))</f>
        <v/>
      </c>
      <c r="F142" s="26"/>
    </row>
    <row r="143" spans="2:6" x14ac:dyDescent="0.2">
      <c r="B143" s="68"/>
      <c r="C143" s="6"/>
      <c r="D143" s="20"/>
      <c r="E143" s="20" t="str">
        <f>IF(SALIDAS[[#This Row],[CODIGO]]="", "", VLOOKUP(SALIDAS[[#This Row],[CODIGO]], PRODUCTOS[#All], 2, FALSE))</f>
        <v/>
      </c>
      <c r="F143" s="26"/>
    </row>
    <row r="144" spans="2:6" x14ac:dyDescent="0.2">
      <c r="B144" s="68"/>
      <c r="C144" s="6"/>
      <c r="D144" s="20"/>
      <c r="E144" s="20" t="str">
        <f>IF(SALIDAS[[#This Row],[CODIGO]]="", "", VLOOKUP(SALIDAS[[#This Row],[CODIGO]], PRODUCTOS[#All], 2, FALSE))</f>
        <v/>
      </c>
      <c r="F144" s="26"/>
    </row>
    <row r="145" spans="2:6" x14ac:dyDescent="0.2">
      <c r="B145" s="68"/>
      <c r="C145" s="6"/>
      <c r="D145" s="20"/>
      <c r="E145" s="20" t="str">
        <f>IF(SALIDAS[[#This Row],[CODIGO]]="", "", VLOOKUP(SALIDAS[[#This Row],[CODIGO]], PRODUCTOS[#All], 2, FALSE))</f>
        <v/>
      </c>
      <c r="F145" s="26"/>
    </row>
    <row r="146" spans="2:6" x14ac:dyDescent="0.2">
      <c r="B146" s="68"/>
      <c r="C146" s="6"/>
      <c r="D146" s="20"/>
      <c r="E146" s="20" t="str">
        <f>IF(SALIDAS[[#This Row],[CODIGO]]="", "", VLOOKUP(SALIDAS[[#This Row],[CODIGO]], PRODUCTOS[#All], 2, FALSE))</f>
        <v/>
      </c>
      <c r="F146" s="26"/>
    </row>
    <row r="147" spans="2:6" x14ac:dyDescent="0.2">
      <c r="B147" s="68"/>
      <c r="C147" s="6"/>
      <c r="D147" s="20"/>
      <c r="E147" s="20" t="str">
        <f>IF(SALIDAS[[#This Row],[CODIGO]]="", "", VLOOKUP(SALIDAS[[#This Row],[CODIGO]], PRODUCTOS[#All], 2, FALSE))</f>
        <v/>
      </c>
      <c r="F147" s="26"/>
    </row>
    <row r="148" spans="2:6" x14ac:dyDescent="0.2">
      <c r="B148" s="68"/>
      <c r="C148" s="6"/>
      <c r="D148" s="20"/>
      <c r="E148" s="20" t="str">
        <f>IF(SALIDAS[[#This Row],[CODIGO]]="", "", VLOOKUP(SALIDAS[[#This Row],[CODIGO]], PRODUCTOS[#All], 2, FALSE))</f>
        <v/>
      </c>
      <c r="F148" s="26"/>
    </row>
    <row r="149" spans="2:6" x14ac:dyDescent="0.2">
      <c r="B149" s="68"/>
      <c r="C149" s="6"/>
      <c r="D149" s="20"/>
      <c r="E149" s="20" t="str">
        <f>IF(SALIDAS[[#This Row],[CODIGO]]="", "", VLOOKUP(SALIDAS[[#This Row],[CODIGO]], PRODUCTOS[#All], 2, FALSE))</f>
        <v/>
      </c>
      <c r="F149" s="26"/>
    </row>
    <row r="150" spans="2:6" x14ac:dyDescent="0.2">
      <c r="B150" s="68"/>
      <c r="C150" s="6"/>
      <c r="D150" s="20"/>
      <c r="E150" s="20" t="str">
        <f>IF(SALIDAS[[#This Row],[CODIGO]]="", "", VLOOKUP(SALIDAS[[#This Row],[CODIGO]], PRODUCTOS[#All], 2, FALSE))</f>
        <v/>
      </c>
      <c r="F150" s="26"/>
    </row>
    <row r="151" spans="2:6" x14ac:dyDescent="0.2">
      <c r="B151" s="68"/>
      <c r="C151" s="6"/>
      <c r="D151" s="20"/>
      <c r="E151" s="20" t="str">
        <f>IF(SALIDAS[[#This Row],[CODIGO]]="", "", VLOOKUP(SALIDAS[[#This Row],[CODIGO]], PRODUCTOS[#All], 2, FALSE))</f>
        <v/>
      </c>
      <c r="F151" s="26"/>
    </row>
    <row r="152" spans="2:6" x14ac:dyDescent="0.2">
      <c r="B152" s="68"/>
      <c r="C152" s="6"/>
      <c r="D152" s="20"/>
      <c r="E152" s="20" t="str">
        <f>IF(SALIDAS[[#This Row],[CODIGO]]="", "", VLOOKUP(SALIDAS[[#This Row],[CODIGO]], PRODUCTOS[#All], 2, FALSE))</f>
        <v/>
      </c>
      <c r="F152" s="26"/>
    </row>
    <row r="153" spans="2:6" x14ac:dyDescent="0.2">
      <c r="B153" s="68"/>
      <c r="C153" s="6"/>
      <c r="D153" s="20"/>
      <c r="E153" s="20" t="str">
        <f>IF(SALIDAS[[#This Row],[CODIGO]]="", "", VLOOKUP(SALIDAS[[#This Row],[CODIGO]], PRODUCTOS[#All], 2, FALSE))</f>
        <v/>
      </c>
      <c r="F153" s="26"/>
    </row>
    <row r="154" spans="2:6" x14ac:dyDescent="0.2">
      <c r="B154" s="68"/>
      <c r="C154" s="6"/>
      <c r="D154" s="20"/>
      <c r="E154" s="20" t="str">
        <f>IF(SALIDAS[[#This Row],[CODIGO]]="", "", VLOOKUP(SALIDAS[[#This Row],[CODIGO]], PRODUCTOS[#All], 2, FALSE))</f>
        <v/>
      </c>
      <c r="F154" s="26"/>
    </row>
    <row r="155" spans="2:6" x14ac:dyDescent="0.2">
      <c r="B155" s="68"/>
      <c r="C155" s="6"/>
      <c r="D155" s="20"/>
      <c r="E155" s="20" t="str">
        <f>IF(SALIDAS[[#This Row],[CODIGO]]="", "", VLOOKUP(SALIDAS[[#This Row],[CODIGO]], PRODUCTOS[#All], 2, FALSE))</f>
        <v/>
      </c>
      <c r="F155" s="26"/>
    </row>
    <row r="156" spans="2:6" x14ac:dyDescent="0.2">
      <c r="B156" s="68"/>
      <c r="C156" s="6"/>
      <c r="D156" s="20"/>
      <c r="E156" s="20" t="str">
        <f>IF(SALIDAS[[#This Row],[CODIGO]]="", "", VLOOKUP(SALIDAS[[#This Row],[CODIGO]], PRODUCTOS[#All], 2, FALSE))</f>
        <v/>
      </c>
      <c r="F156" s="26"/>
    </row>
    <row r="157" spans="2:6" x14ac:dyDescent="0.2">
      <c r="B157" s="68"/>
      <c r="C157" s="6"/>
      <c r="D157" s="20"/>
      <c r="E157" s="20" t="str">
        <f>IF(SALIDAS[[#This Row],[CODIGO]]="", "", VLOOKUP(SALIDAS[[#This Row],[CODIGO]], PRODUCTOS[#All], 2, FALSE))</f>
        <v/>
      </c>
      <c r="F157" s="26"/>
    </row>
    <row r="158" spans="2:6" x14ac:dyDescent="0.2">
      <c r="B158" s="68"/>
      <c r="C158" s="6"/>
      <c r="D158" s="20"/>
      <c r="E158" s="20" t="str">
        <f>IF(SALIDAS[[#This Row],[CODIGO]]="", "", VLOOKUP(SALIDAS[[#This Row],[CODIGO]], PRODUCTOS[#All], 2, FALSE))</f>
        <v/>
      </c>
      <c r="F158" s="26"/>
    </row>
    <row r="159" spans="2:6" x14ac:dyDescent="0.2">
      <c r="B159" s="68"/>
      <c r="C159" s="6"/>
      <c r="D159" s="20"/>
      <c r="E159" s="20" t="str">
        <f>IF(SALIDAS[[#This Row],[CODIGO]]="", "", VLOOKUP(SALIDAS[[#This Row],[CODIGO]], PRODUCTOS[#All], 2, FALSE))</f>
        <v/>
      </c>
      <c r="F159" s="26"/>
    </row>
    <row r="160" spans="2:6" x14ac:dyDescent="0.2">
      <c r="B160" s="68"/>
      <c r="C160" s="6"/>
      <c r="D160" s="20"/>
      <c r="E160" s="20" t="str">
        <f>IF(SALIDAS[[#This Row],[CODIGO]]="", "", VLOOKUP(SALIDAS[[#This Row],[CODIGO]], PRODUCTOS[#All], 2, FALSE))</f>
        <v/>
      </c>
      <c r="F160" s="26"/>
    </row>
    <row r="161" spans="2:6" x14ac:dyDescent="0.2">
      <c r="B161" s="68"/>
      <c r="C161" s="6"/>
      <c r="D161" s="20"/>
      <c r="E161" s="20" t="str">
        <f>IF(SALIDAS[[#This Row],[CODIGO]]="", "", VLOOKUP(SALIDAS[[#This Row],[CODIGO]], PRODUCTOS[#All], 2, FALSE))</f>
        <v/>
      </c>
      <c r="F161" s="26"/>
    </row>
    <row r="162" spans="2:6" x14ac:dyDescent="0.2">
      <c r="B162" s="68"/>
      <c r="C162" s="6"/>
      <c r="D162" s="20"/>
      <c r="E162" s="20" t="str">
        <f>IF(SALIDAS[[#This Row],[CODIGO]]="", "", VLOOKUP(SALIDAS[[#This Row],[CODIGO]], PRODUCTOS[#All], 2, FALSE))</f>
        <v/>
      </c>
      <c r="F162" s="26"/>
    </row>
    <row r="163" spans="2:6" x14ac:dyDescent="0.2">
      <c r="B163" s="68"/>
      <c r="C163" s="6"/>
      <c r="D163" s="20"/>
      <c r="E163" s="20" t="str">
        <f>IF(SALIDAS[[#This Row],[CODIGO]]="", "", VLOOKUP(SALIDAS[[#This Row],[CODIGO]], PRODUCTOS[#All], 2, FALSE))</f>
        <v/>
      </c>
      <c r="F163" s="26"/>
    </row>
    <row r="164" spans="2:6" x14ac:dyDescent="0.2">
      <c r="B164" s="68"/>
      <c r="C164" s="6"/>
      <c r="D164" s="20"/>
      <c r="E164" s="20" t="str">
        <f>IF(SALIDAS[[#This Row],[CODIGO]]="", "", VLOOKUP(SALIDAS[[#This Row],[CODIGO]], PRODUCTOS[#All], 2, FALSE))</f>
        <v/>
      </c>
      <c r="F164" s="26"/>
    </row>
    <row r="165" spans="2:6" x14ac:dyDescent="0.2">
      <c r="B165" s="68"/>
      <c r="C165" s="6"/>
      <c r="D165" s="20"/>
      <c r="E165" s="20" t="str">
        <f>IF(SALIDAS[[#This Row],[CODIGO]]="", "", VLOOKUP(SALIDAS[[#This Row],[CODIGO]], PRODUCTOS[#All], 2, FALSE))</f>
        <v/>
      </c>
      <c r="F165" s="26"/>
    </row>
    <row r="166" spans="2:6" x14ac:dyDescent="0.2">
      <c r="B166" s="68"/>
      <c r="C166" s="6"/>
      <c r="D166" s="20"/>
      <c r="E166" s="20" t="str">
        <f>IF(SALIDAS[[#This Row],[CODIGO]]="", "", VLOOKUP(SALIDAS[[#This Row],[CODIGO]], PRODUCTOS[#All], 2, FALSE))</f>
        <v/>
      </c>
      <c r="F166" s="26"/>
    </row>
    <row r="167" spans="2:6" x14ac:dyDescent="0.2">
      <c r="B167" s="68"/>
      <c r="C167" s="6"/>
      <c r="D167" s="20"/>
      <c r="E167" s="20" t="str">
        <f>IF(SALIDAS[[#This Row],[CODIGO]]="", "", VLOOKUP(SALIDAS[[#This Row],[CODIGO]], PRODUCTOS[#All], 2, FALSE))</f>
        <v/>
      </c>
      <c r="F167" s="26"/>
    </row>
    <row r="168" spans="2:6" x14ac:dyDescent="0.2">
      <c r="B168" s="68"/>
      <c r="C168" s="6"/>
      <c r="D168" s="20"/>
      <c r="E168" s="20" t="str">
        <f>IF(SALIDAS[[#This Row],[CODIGO]]="", "", VLOOKUP(SALIDAS[[#This Row],[CODIGO]], PRODUCTOS[#All], 2, FALSE))</f>
        <v/>
      </c>
      <c r="F168" s="26"/>
    </row>
    <row r="169" spans="2:6" x14ac:dyDescent="0.2">
      <c r="B169" s="68"/>
      <c r="C169" s="6"/>
      <c r="D169" s="20"/>
      <c r="E169" s="20" t="str">
        <f>IF(SALIDAS[[#This Row],[CODIGO]]="", "", VLOOKUP(SALIDAS[[#This Row],[CODIGO]], PRODUCTOS[#All], 2, FALSE))</f>
        <v/>
      </c>
      <c r="F169" s="26"/>
    </row>
    <row r="170" spans="2:6" x14ac:dyDescent="0.2">
      <c r="B170" s="68"/>
      <c r="C170" s="6"/>
      <c r="D170" s="20"/>
      <c r="E170" s="20" t="str">
        <f>IF(SALIDAS[[#This Row],[CODIGO]]="", "", VLOOKUP(SALIDAS[[#This Row],[CODIGO]], PRODUCTOS[#All], 2, FALSE))</f>
        <v/>
      </c>
      <c r="F170" s="26"/>
    </row>
    <row r="171" spans="2:6" x14ac:dyDescent="0.2">
      <c r="B171" s="68"/>
      <c r="C171" s="6"/>
      <c r="D171" s="20"/>
      <c r="E171" s="20" t="str">
        <f>IF(SALIDAS[[#This Row],[CODIGO]]="", "", VLOOKUP(SALIDAS[[#This Row],[CODIGO]], PRODUCTOS[#All], 2, FALSE))</f>
        <v/>
      </c>
      <c r="F171" s="26"/>
    </row>
    <row r="172" spans="2:6" x14ac:dyDescent="0.2">
      <c r="B172" s="68"/>
      <c r="C172" s="6"/>
      <c r="D172" s="20"/>
      <c r="E172" s="20" t="str">
        <f>IF(SALIDAS[[#This Row],[CODIGO]]="", "", VLOOKUP(SALIDAS[[#This Row],[CODIGO]], PRODUCTOS[#All], 2, FALSE))</f>
        <v/>
      </c>
      <c r="F172" s="26"/>
    </row>
    <row r="173" spans="2:6" x14ac:dyDescent="0.2">
      <c r="B173" s="68"/>
      <c r="C173" s="6"/>
      <c r="D173" s="20"/>
      <c r="E173" s="20" t="str">
        <f>IF(SALIDAS[[#This Row],[CODIGO]]="", "", VLOOKUP(SALIDAS[[#This Row],[CODIGO]], PRODUCTOS[#All], 2, FALSE))</f>
        <v/>
      </c>
      <c r="F173" s="26"/>
    </row>
    <row r="174" spans="2:6" x14ac:dyDescent="0.2">
      <c r="B174" s="68"/>
      <c r="C174" s="6"/>
      <c r="D174" s="20"/>
      <c r="E174" s="20" t="str">
        <f>IF(SALIDAS[[#This Row],[CODIGO]]="", "", VLOOKUP(SALIDAS[[#This Row],[CODIGO]], PRODUCTOS[#All], 2, FALSE))</f>
        <v/>
      </c>
      <c r="F174" s="26"/>
    </row>
    <row r="175" spans="2:6" x14ac:dyDescent="0.2">
      <c r="B175" s="68"/>
      <c r="C175" s="6"/>
      <c r="D175" s="20"/>
      <c r="E175" s="20" t="str">
        <f>IF(SALIDAS[[#This Row],[CODIGO]]="", "", VLOOKUP(SALIDAS[[#This Row],[CODIGO]], PRODUCTOS[#All], 2, FALSE))</f>
        <v/>
      </c>
      <c r="F175" s="26"/>
    </row>
    <row r="176" spans="2:6" x14ac:dyDescent="0.2">
      <c r="B176" s="68"/>
      <c r="C176" s="6"/>
      <c r="D176" s="20"/>
      <c r="E176" s="20" t="str">
        <f>IF(SALIDAS[[#This Row],[CODIGO]]="", "", VLOOKUP(SALIDAS[[#This Row],[CODIGO]], PRODUCTOS[#All], 2, FALSE))</f>
        <v/>
      </c>
      <c r="F176" s="26"/>
    </row>
    <row r="177" spans="2:6" x14ac:dyDescent="0.2">
      <c r="B177" s="68"/>
      <c r="C177" s="6"/>
      <c r="D177" s="20"/>
      <c r="E177" s="20" t="str">
        <f>IF(SALIDAS[[#This Row],[CODIGO]]="", "", VLOOKUP(SALIDAS[[#This Row],[CODIGO]], PRODUCTOS[#All], 2, FALSE))</f>
        <v/>
      </c>
      <c r="F177" s="26"/>
    </row>
    <row r="178" spans="2:6" x14ac:dyDescent="0.2">
      <c r="B178" s="68"/>
      <c r="C178" s="6"/>
      <c r="D178" s="20"/>
      <c r="E178" s="20" t="str">
        <f>IF(SALIDAS[[#This Row],[CODIGO]]="", "", VLOOKUP(SALIDAS[[#This Row],[CODIGO]], PRODUCTOS[#All], 2, FALSE))</f>
        <v/>
      </c>
      <c r="F178" s="26"/>
    </row>
    <row r="179" spans="2:6" x14ac:dyDescent="0.2">
      <c r="B179" s="68"/>
      <c r="C179" s="6"/>
      <c r="D179" s="20"/>
      <c r="E179" s="20" t="str">
        <f>IF(SALIDAS[[#This Row],[CODIGO]]="", "", VLOOKUP(SALIDAS[[#This Row],[CODIGO]], PRODUCTOS[#All], 2, FALSE))</f>
        <v/>
      </c>
      <c r="F179" s="26"/>
    </row>
    <row r="180" spans="2:6" x14ac:dyDescent="0.2">
      <c r="B180" s="68"/>
      <c r="C180" s="6"/>
      <c r="D180" s="20"/>
      <c r="E180" s="20" t="str">
        <f>IF(SALIDAS[[#This Row],[CODIGO]]="", "", VLOOKUP(SALIDAS[[#This Row],[CODIGO]], PRODUCTOS[#All], 2, FALSE))</f>
        <v/>
      </c>
      <c r="F180" s="26"/>
    </row>
    <row r="181" spans="2:6" x14ac:dyDescent="0.2">
      <c r="B181" s="68"/>
      <c r="C181" s="6"/>
      <c r="D181" s="20"/>
      <c r="E181" s="20" t="str">
        <f>IF(SALIDAS[[#This Row],[CODIGO]]="", "", VLOOKUP(SALIDAS[[#This Row],[CODIGO]], PRODUCTOS[#All], 2, FALSE))</f>
        <v/>
      </c>
      <c r="F181" s="26"/>
    </row>
    <row r="182" spans="2:6" x14ac:dyDescent="0.2">
      <c r="B182" s="68"/>
      <c r="C182" s="6"/>
      <c r="D182" s="20"/>
      <c r="E182" s="20" t="str">
        <f>IF(SALIDAS[[#This Row],[CODIGO]]="", "", VLOOKUP(SALIDAS[[#This Row],[CODIGO]], PRODUCTOS[#All], 2, FALSE))</f>
        <v/>
      </c>
      <c r="F182" s="26"/>
    </row>
    <row r="183" spans="2:6" x14ac:dyDescent="0.2">
      <c r="B183" s="68"/>
      <c r="C183" s="6"/>
      <c r="D183" s="20"/>
      <c r="E183" s="20" t="str">
        <f>IF(SALIDAS[[#This Row],[CODIGO]]="", "", VLOOKUP(SALIDAS[[#This Row],[CODIGO]], PRODUCTOS[#All], 2, FALSE))</f>
        <v/>
      </c>
      <c r="F183" s="26"/>
    </row>
    <row r="184" spans="2:6" x14ac:dyDescent="0.2">
      <c r="B184" s="68"/>
      <c r="C184" s="6"/>
      <c r="D184" s="20"/>
      <c r="E184" s="20" t="str">
        <f>IF(SALIDAS[[#This Row],[CODIGO]]="", "", VLOOKUP(SALIDAS[[#This Row],[CODIGO]], PRODUCTOS[#All], 2, FALSE))</f>
        <v/>
      </c>
      <c r="F184" s="26"/>
    </row>
    <row r="185" spans="2:6" x14ac:dyDescent="0.2">
      <c r="B185" s="68"/>
      <c r="C185" s="6"/>
      <c r="D185" s="20"/>
      <c r="E185" s="20" t="str">
        <f>IF(SALIDAS[[#This Row],[CODIGO]]="", "", VLOOKUP(SALIDAS[[#This Row],[CODIGO]], PRODUCTOS[#All], 2, FALSE))</f>
        <v/>
      </c>
      <c r="F185" s="26"/>
    </row>
    <row r="186" spans="2:6" x14ac:dyDescent="0.2">
      <c r="B186" s="68"/>
      <c r="C186" s="6"/>
      <c r="D186" s="20"/>
      <c r="E186" s="20" t="str">
        <f>IF(SALIDAS[[#This Row],[CODIGO]]="", "", VLOOKUP(SALIDAS[[#This Row],[CODIGO]], PRODUCTOS[#All], 2, FALSE))</f>
        <v/>
      </c>
      <c r="F186" s="26"/>
    </row>
    <row r="187" spans="2:6" x14ac:dyDescent="0.2">
      <c r="B187" s="68"/>
      <c r="C187" s="6"/>
      <c r="D187" s="20"/>
      <c r="E187" s="20" t="str">
        <f>IF(SALIDAS[[#This Row],[CODIGO]]="", "", VLOOKUP(SALIDAS[[#This Row],[CODIGO]], PRODUCTOS[#All], 2, FALSE))</f>
        <v/>
      </c>
      <c r="F187" s="26"/>
    </row>
    <row r="188" spans="2:6" x14ac:dyDescent="0.2">
      <c r="B188" s="68"/>
      <c r="C188" s="6"/>
      <c r="D188" s="20"/>
      <c r="E188" s="20" t="str">
        <f>IF(SALIDAS[[#This Row],[CODIGO]]="", "", VLOOKUP(SALIDAS[[#This Row],[CODIGO]], PRODUCTOS[#All], 2, FALSE))</f>
        <v/>
      </c>
      <c r="F188" s="26"/>
    </row>
    <row r="189" spans="2:6" x14ac:dyDescent="0.2">
      <c r="B189" s="68"/>
      <c r="C189" s="6"/>
      <c r="D189" s="20"/>
      <c r="E189" s="20" t="str">
        <f>IF(SALIDAS[[#This Row],[CODIGO]]="", "", VLOOKUP(SALIDAS[[#This Row],[CODIGO]], PRODUCTOS[#All], 2, FALSE))</f>
        <v/>
      </c>
      <c r="F189" s="26"/>
    </row>
    <row r="190" spans="2:6" x14ac:dyDescent="0.2">
      <c r="B190" s="68"/>
      <c r="C190" s="6"/>
      <c r="D190" s="20"/>
      <c r="E190" s="20" t="str">
        <f>IF(SALIDAS[[#This Row],[CODIGO]]="", "", VLOOKUP(SALIDAS[[#This Row],[CODIGO]], PRODUCTOS[#All], 2, FALSE))</f>
        <v/>
      </c>
      <c r="F190" s="26"/>
    </row>
    <row r="191" spans="2:6" x14ac:dyDescent="0.2">
      <c r="B191" s="68"/>
      <c r="C191" s="6"/>
      <c r="D191" s="20"/>
      <c r="E191" s="20" t="str">
        <f>IF(SALIDAS[[#This Row],[CODIGO]]="", "", VLOOKUP(SALIDAS[[#This Row],[CODIGO]], PRODUCTOS[#All], 2, FALSE))</f>
        <v/>
      </c>
      <c r="F191" s="26"/>
    </row>
    <row r="192" spans="2:6" x14ac:dyDescent="0.2">
      <c r="B192" s="68"/>
      <c r="C192" s="6"/>
      <c r="D192" s="20"/>
      <c r="E192" s="20" t="str">
        <f>IF(SALIDAS[[#This Row],[CODIGO]]="", "", VLOOKUP(SALIDAS[[#This Row],[CODIGO]], PRODUCTOS[#All], 2, FALSE))</f>
        <v/>
      </c>
      <c r="F192" s="26"/>
    </row>
    <row r="193" spans="2:6" x14ac:dyDescent="0.2">
      <c r="B193" s="68"/>
      <c r="C193" s="6"/>
      <c r="D193" s="20"/>
      <c r="E193" s="20" t="str">
        <f>IF(SALIDAS[[#This Row],[CODIGO]]="", "", VLOOKUP(SALIDAS[[#This Row],[CODIGO]], PRODUCTOS[#All], 2, FALSE))</f>
        <v/>
      </c>
      <c r="F193" s="26"/>
    </row>
    <row r="194" spans="2:6" x14ac:dyDescent="0.2">
      <c r="B194" s="68"/>
      <c r="C194" s="6"/>
      <c r="D194" s="20"/>
      <c r="E194" s="20" t="str">
        <f>IF(SALIDAS[[#This Row],[CODIGO]]="", "", VLOOKUP(SALIDAS[[#This Row],[CODIGO]], PRODUCTOS[#All], 2, FALSE))</f>
        <v/>
      </c>
      <c r="F194" s="26"/>
    </row>
    <row r="195" spans="2:6" x14ac:dyDescent="0.2">
      <c r="B195" s="68"/>
      <c r="C195" s="6"/>
      <c r="D195" s="20"/>
      <c r="E195" s="20" t="str">
        <f>IF(SALIDAS[[#This Row],[CODIGO]]="", "", VLOOKUP(SALIDAS[[#This Row],[CODIGO]], PRODUCTOS[#All], 2, FALSE))</f>
        <v/>
      </c>
      <c r="F195" s="26"/>
    </row>
    <row r="196" spans="2:6" x14ac:dyDescent="0.2">
      <c r="B196" s="68"/>
      <c r="C196" s="6"/>
      <c r="D196" s="20"/>
      <c r="E196" s="20" t="str">
        <f>IF(SALIDAS[[#This Row],[CODIGO]]="", "", VLOOKUP(SALIDAS[[#This Row],[CODIGO]], PRODUCTOS[#All], 2, FALSE))</f>
        <v/>
      </c>
      <c r="F196" s="26"/>
    </row>
    <row r="197" spans="2:6" x14ac:dyDescent="0.2">
      <c r="B197" s="68"/>
      <c r="C197" s="6"/>
      <c r="D197" s="20"/>
      <c r="E197" s="20" t="str">
        <f>IF(SALIDAS[[#This Row],[CODIGO]]="", "", VLOOKUP(SALIDAS[[#This Row],[CODIGO]], PRODUCTOS[#All], 2, FALSE))</f>
        <v/>
      </c>
      <c r="F197" s="26"/>
    </row>
    <row r="198" spans="2:6" x14ac:dyDescent="0.2">
      <c r="B198" s="68"/>
      <c r="C198" s="6"/>
      <c r="D198" s="20"/>
      <c r="E198" s="20" t="str">
        <f>IF(SALIDAS[[#This Row],[CODIGO]]="", "", VLOOKUP(SALIDAS[[#This Row],[CODIGO]], PRODUCTOS[#All], 2, FALSE))</f>
        <v/>
      </c>
      <c r="F198" s="26"/>
    </row>
    <row r="199" spans="2:6" x14ac:dyDescent="0.2">
      <c r="B199" s="68"/>
      <c r="C199" s="6"/>
      <c r="D199" s="20"/>
      <c r="E199" s="20" t="str">
        <f>IF(SALIDAS[[#This Row],[CODIGO]]="", "", VLOOKUP(SALIDAS[[#This Row],[CODIGO]], PRODUCTOS[#All], 2, FALSE))</f>
        <v/>
      </c>
      <c r="F199" s="26"/>
    </row>
    <row r="200" spans="2:6" x14ac:dyDescent="0.2">
      <c r="B200" s="68"/>
      <c r="C200" s="6"/>
      <c r="D200" s="20"/>
      <c r="E200" s="20" t="str">
        <f>IF(SALIDAS[[#This Row],[CODIGO]]="", "", VLOOKUP(SALIDAS[[#This Row],[CODIGO]], PRODUCTOS[#All], 2, FALSE))</f>
        <v/>
      </c>
      <c r="F200" s="26"/>
    </row>
    <row r="201" spans="2:6" x14ac:dyDescent="0.2">
      <c r="B201" s="68"/>
      <c r="C201" s="6"/>
      <c r="D201" s="20"/>
      <c r="E201" s="20" t="str">
        <f>IF(SALIDAS[[#This Row],[CODIGO]]="", "", VLOOKUP(SALIDAS[[#This Row],[CODIGO]], PRODUCTOS[#All], 2, FALSE))</f>
        <v/>
      </c>
      <c r="F201" s="26"/>
    </row>
    <row r="202" spans="2:6" x14ac:dyDescent="0.2">
      <c r="B202" s="68"/>
      <c r="C202" s="6"/>
      <c r="D202" s="20"/>
      <c r="E202" s="20" t="str">
        <f>IF(SALIDAS[[#This Row],[CODIGO]]="", "", VLOOKUP(SALIDAS[[#This Row],[CODIGO]], PRODUCTOS[#All], 2, FALSE))</f>
        <v/>
      </c>
      <c r="F202" s="26"/>
    </row>
    <row r="203" spans="2:6" x14ac:dyDescent="0.2">
      <c r="B203" s="68"/>
      <c r="C203" s="6"/>
      <c r="D203" s="20"/>
      <c r="E203" s="20" t="str">
        <f>IF(SALIDAS[[#This Row],[CODIGO]]="", "", VLOOKUP(SALIDAS[[#This Row],[CODIGO]], PRODUCTOS[#All], 2, FALSE))</f>
        <v/>
      </c>
      <c r="F203" s="26"/>
    </row>
    <row r="204" spans="2:6" x14ac:dyDescent="0.2">
      <c r="B204" s="68"/>
      <c r="C204" s="6"/>
      <c r="D204" s="20"/>
      <c r="E204" s="20" t="str">
        <f>IF(SALIDAS[[#This Row],[CODIGO]]="", "", VLOOKUP(SALIDAS[[#This Row],[CODIGO]], PRODUCTOS[#All], 2, FALSE))</f>
        <v/>
      </c>
      <c r="F204" s="26"/>
    </row>
    <row r="205" spans="2:6" x14ac:dyDescent="0.2">
      <c r="B205" s="68"/>
      <c r="C205" s="6"/>
      <c r="D205" s="20"/>
      <c r="E205" s="20" t="str">
        <f>IF(SALIDAS[[#This Row],[CODIGO]]="", "", VLOOKUP(SALIDAS[[#This Row],[CODIGO]], PRODUCTOS[#All], 2, FALSE))</f>
        <v/>
      </c>
      <c r="F205" s="26"/>
    </row>
    <row r="206" spans="2:6" x14ac:dyDescent="0.2">
      <c r="B206" s="68"/>
      <c r="C206" s="6"/>
      <c r="D206" s="20"/>
      <c r="E206" s="20" t="str">
        <f>IF(SALIDAS[[#This Row],[CODIGO]]="", "", VLOOKUP(SALIDAS[[#This Row],[CODIGO]], PRODUCTOS[#All], 2, FALSE))</f>
        <v/>
      </c>
      <c r="F206" s="26"/>
    </row>
    <row r="207" spans="2:6" x14ac:dyDescent="0.2">
      <c r="B207" s="68"/>
      <c r="C207" s="6"/>
      <c r="D207" s="20"/>
      <c r="E207" s="20" t="str">
        <f>IF(SALIDAS[[#This Row],[CODIGO]]="", "", VLOOKUP(SALIDAS[[#This Row],[CODIGO]], PRODUCTOS[#All], 2, FALSE))</f>
        <v/>
      </c>
      <c r="F207" s="26"/>
    </row>
    <row r="208" spans="2:6" x14ac:dyDescent="0.2">
      <c r="B208" s="68"/>
      <c r="C208" s="6"/>
      <c r="D208" s="20"/>
      <c r="E208" s="20" t="str">
        <f>IF(SALIDAS[[#This Row],[CODIGO]]="", "", VLOOKUP(SALIDAS[[#This Row],[CODIGO]], PRODUCTOS[#All], 2, FALSE))</f>
        <v/>
      </c>
      <c r="F208" s="26"/>
    </row>
    <row r="209" spans="2:6" x14ac:dyDescent="0.2">
      <c r="B209" s="68"/>
      <c r="C209" s="6"/>
      <c r="D209" s="20"/>
      <c r="E209" s="20" t="str">
        <f>IF(SALIDAS[[#This Row],[CODIGO]]="", "", VLOOKUP(SALIDAS[[#This Row],[CODIGO]], PRODUCTOS[#All], 2, FALSE))</f>
        <v/>
      </c>
      <c r="F209" s="26"/>
    </row>
    <row r="210" spans="2:6" x14ac:dyDescent="0.2">
      <c r="B210" s="68"/>
      <c r="C210" s="6"/>
      <c r="D210" s="20"/>
      <c r="E210" s="20" t="str">
        <f>IF(SALIDAS[[#This Row],[CODIGO]]="", "", VLOOKUP(SALIDAS[[#This Row],[CODIGO]], PRODUCTOS[#All], 2, FALSE))</f>
        <v/>
      </c>
      <c r="F210" s="26"/>
    </row>
    <row r="211" spans="2:6" x14ac:dyDescent="0.2">
      <c r="B211" s="68"/>
      <c r="C211" s="6"/>
      <c r="D211" s="20"/>
      <c r="E211" s="20" t="str">
        <f>IF(SALIDAS[[#This Row],[CODIGO]]="", "", VLOOKUP(SALIDAS[[#This Row],[CODIGO]], PRODUCTOS[#All], 2, FALSE))</f>
        <v/>
      </c>
      <c r="F211" s="26"/>
    </row>
    <row r="212" spans="2:6" x14ac:dyDescent="0.2">
      <c r="B212" s="68"/>
      <c r="C212" s="6"/>
      <c r="D212" s="20"/>
      <c r="E212" s="20" t="str">
        <f>IF(SALIDAS[[#This Row],[CODIGO]]="", "", VLOOKUP(SALIDAS[[#This Row],[CODIGO]], PRODUCTOS[#All], 2, FALSE))</f>
        <v/>
      </c>
      <c r="F212" s="26"/>
    </row>
    <row r="213" spans="2:6" x14ac:dyDescent="0.2">
      <c r="B213" s="68"/>
      <c r="C213" s="6"/>
      <c r="D213" s="20"/>
      <c r="E213" s="20" t="str">
        <f>IF(SALIDAS[[#This Row],[CODIGO]]="", "", VLOOKUP(SALIDAS[[#This Row],[CODIGO]], PRODUCTOS[#All], 2, FALSE))</f>
        <v/>
      </c>
      <c r="F213" s="26"/>
    </row>
    <row r="214" spans="2:6" x14ac:dyDescent="0.2">
      <c r="B214" s="68"/>
      <c r="C214" s="6"/>
      <c r="D214" s="20"/>
      <c r="E214" s="20" t="str">
        <f>IF(SALIDAS[[#This Row],[CODIGO]]="", "", VLOOKUP(SALIDAS[[#This Row],[CODIGO]], PRODUCTOS[#All], 2, FALSE))</f>
        <v/>
      </c>
      <c r="F214" s="26"/>
    </row>
    <row r="215" spans="2:6" x14ac:dyDescent="0.2">
      <c r="B215" s="68"/>
      <c r="C215" s="6"/>
      <c r="D215" s="20"/>
      <c r="E215" s="20" t="str">
        <f>IF(SALIDAS[[#This Row],[CODIGO]]="", "", VLOOKUP(SALIDAS[[#This Row],[CODIGO]], PRODUCTOS[#All], 2, FALSE))</f>
        <v/>
      </c>
      <c r="F215" s="26"/>
    </row>
    <row r="216" spans="2:6" x14ac:dyDescent="0.2">
      <c r="B216" s="68"/>
      <c r="C216" s="6"/>
      <c r="D216" s="20"/>
      <c r="E216" s="20" t="str">
        <f>IF(SALIDAS[[#This Row],[CODIGO]]="", "", VLOOKUP(SALIDAS[[#This Row],[CODIGO]], PRODUCTOS[#All], 2, FALSE))</f>
        <v/>
      </c>
      <c r="F216" s="26"/>
    </row>
    <row r="217" spans="2:6" x14ac:dyDescent="0.2">
      <c r="B217" s="68"/>
      <c r="C217" s="6"/>
      <c r="D217" s="20"/>
      <c r="E217" s="20" t="str">
        <f>IF(SALIDAS[[#This Row],[CODIGO]]="", "", VLOOKUP(SALIDAS[[#This Row],[CODIGO]], PRODUCTOS[#All], 2, FALSE))</f>
        <v/>
      </c>
      <c r="F217" s="26"/>
    </row>
    <row r="218" spans="2:6" x14ac:dyDescent="0.2">
      <c r="B218" s="68"/>
      <c r="C218" s="6"/>
      <c r="D218" s="20"/>
      <c r="E218" s="20" t="str">
        <f>IF(SALIDAS[[#This Row],[CODIGO]]="", "", VLOOKUP(SALIDAS[[#This Row],[CODIGO]], PRODUCTOS[#All], 2, FALSE))</f>
        <v/>
      </c>
      <c r="F218" s="26"/>
    </row>
    <row r="219" spans="2:6" x14ac:dyDescent="0.2">
      <c r="B219" s="68"/>
      <c r="C219" s="6"/>
      <c r="D219" s="20"/>
      <c r="E219" s="20" t="str">
        <f>IF(SALIDAS[[#This Row],[CODIGO]]="", "", VLOOKUP(SALIDAS[[#This Row],[CODIGO]], PRODUCTOS[#All], 2, FALSE))</f>
        <v/>
      </c>
      <c r="F219" s="26"/>
    </row>
    <row r="220" spans="2:6" x14ac:dyDescent="0.2">
      <c r="B220" s="68"/>
      <c r="C220" s="6"/>
      <c r="D220" s="20"/>
      <c r="E220" s="20" t="str">
        <f>IF(SALIDAS[[#This Row],[CODIGO]]="", "", VLOOKUP(SALIDAS[[#This Row],[CODIGO]], PRODUCTOS[#All], 2, FALSE))</f>
        <v/>
      </c>
      <c r="F220" s="26"/>
    </row>
    <row r="221" spans="2:6" x14ac:dyDescent="0.2">
      <c r="B221" s="68"/>
      <c r="C221" s="6"/>
      <c r="D221" s="20"/>
      <c r="E221" s="20" t="str">
        <f>IF(SALIDAS[[#This Row],[CODIGO]]="", "", VLOOKUP(SALIDAS[[#This Row],[CODIGO]], PRODUCTOS[#All], 2, FALSE))</f>
        <v/>
      </c>
      <c r="F221" s="26"/>
    </row>
    <row r="222" spans="2:6" x14ac:dyDescent="0.2">
      <c r="B222" s="68"/>
      <c r="C222" s="6"/>
      <c r="D222" s="20"/>
      <c r="E222" s="20" t="str">
        <f>IF(SALIDAS[[#This Row],[CODIGO]]="", "", VLOOKUP(SALIDAS[[#This Row],[CODIGO]], PRODUCTOS[#All], 2, FALSE))</f>
        <v/>
      </c>
      <c r="F222" s="26"/>
    </row>
    <row r="223" spans="2:6" x14ac:dyDescent="0.2">
      <c r="B223" s="68"/>
      <c r="C223" s="6"/>
      <c r="D223" s="20"/>
      <c r="E223" s="20" t="str">
        <f>IF(SALIDAS[[#This Row],[CODIGO]]="", "", VLOOKUP(SALIDAS[[#This Row],[CODIGO]], PRODUCTOS[#All], 2, FALSE))</f>
        <v/>
      </c>
      <c r="F223" s="26"/>
    </row>
    <row r="224" spans="2:6" x14ac:dyDescent="0.2">
      <c r="B224" s="68"/>
      <c r="C224" s="6"/>
      <c r="D224" s="20"/>
      <c r="E224" s="20" t="str">
        <f>IF(SALIDAS[[#This Row],[CODIGO]]="", "", VLOOKUP(SALIDAS[[#This Row],[CODIGO]], PRODUCTOS[#All], 2, FALSE))</f>
        <v/>
      </c>
      <c r="F224" s="26"/>
    </row>
    <row r="225" spans="2:6" x14ac:dyDescent="0.2">
      <c r="B225" s="68"/>
      <c r="C225" s="6"/>
      <c r="D225" s="20"/>
      <c r="E225" s="20" t="str">
        <f>IF(SALIDAS[[#This Row],[CODIGO]]="", "", VLOOKUP(SALIDAS[[#This Row],[CODIGO]], PRODUCTOS[#All], 2, FALSE))</f>
        <v/>
      </c>
      <c r="F225" s="26"/>
    </row>
    <row r="226" spans="2:6" x14ac:dyDescent="0.2">
      <c r="B226" s="68"/>
      <c r="C226" s="6"/>
      <c r="D226" s="20"/>
      <c r="E226" s="20" t="str">
        <f>IF(SALIDAS[[#This Row],[CODIGO]]="", "", VLOOKUP(SALIDAS[[#This Row],[CODIGO]], PRODUCTOS[#All], 2, FALSE))</f>
        <v/>
      </c>
      <c r="F226" s="26"/>
    </row>
    <row r="227" spans="2:6" x14ac:dyDescent="0.2">
      <c r="B227" s="68"/>
      <c r="C227" s="6"/>
      <c r="D227" s="20"/>
      <c r="E227" s="20" t="str">
        <f>IF(SALIDAS[[#This Row],[CODIGO]]="", "", VLOOKUP(SALIDAS[[#This Row],[CODIGO]], PRODUCTOS[#All], 2, FALSE))</f>
        <v/>
      </c>
      <c r="F227" s="26"/>
    </row>
    <row r="228" spans="2:6" x14ac:dyDescent="0.2">
      <c r="B228" s="68"/>
      <c r="C228" s="6"/>
      <c r="D228" s="20"/>
      <c r="E228" s="20" t="str">
        <f>IF(SALIDAS[[#This Row],[CODIGO]]="", "", VLOOKUP(SALIDAS[[#This Row],[CODIGO]], PRODUCTOS[#All], 2, FALSE))</f>
        <v/>
      </c>
      <c r="F228" s="26"/>
    </row>
    <row r="229" spans="2:6" x14ac:dyDescent="0.2">
      <c r="B229" s="68"/>
      <c r="C229" s="6"/>
      <c r="D229" s="20"/>
      <c r="E229" s="20" t="str">
        <f>IF(SALIDAS[[#This Row],[CODIGO]]="", "", VLOOKUP(SALIDAS[[#This Row],[CODIGO]], PRODUCTOS[#All], 2, FALSE))</f>
        <v/>
      </c>
      <c r="F229" s="26"/>
    </row>
    <row r="230" spans="2:6" x14ac:dyDescent="0.2">
      <c r="B230" s="68"/>
      <c r="C230" s="6"/>
      <c r="D230" s="20"/>
      <c r="E230" s="20" t="str">
        <f>IF(SALIDAS[[#This Row],[CODIGO]]="", "", VLOOKUP(SALIDAS[[#This Row],[CODIGO]], PRODUCTOS[#All], 2, FALSE))</f>
        <v/>
      </c>
      <c r="F230" s="26"/>
    </row>
    <row r="231" spans="2:6" x14ac:dyDescent="0.2">
      <c r="B231" s="68"/>
      <c r="C231" s="6"/>
      <c r="D231" s="20"/>
      <c r="E231" s="20" t="str">
        <f>IF(SALIDAS[[#This Row],[CODIGO]]="", "", VLOOKUP(SALIDAS[[#This Row],[CODIGO]], PRODUCTOS[#All], 2, FALSE))</f>
        <v/>
      </c>
      <c r="F231" s="26"/>
    </row>
    <row r="232" spans="2:6" x14ac:dyDescent="0.2">
      <c r="B232" s="68"/>
      <c r="C232" s="6"/>
      <c r="D232" s="20"/>
      <c r="E232" s="20" t="str">
        <f>IF(SALIDAS[[#This Row],[CODIGO]]="", "", VLOOKUP(SALIDAS[[#This Row],[CODIGO]], PRODUCTOS[#All], 2, FALSE))</f>
        <v/>
      </c>
      <c r="F232" s="26"/>
    </row>
    <row r="233" spans="2:6" x14ac:dyDescent="0.2">
      <c r="B233" s="68"/>
      <c r="C233" s="6"/>
      <c r="D233" s="20"/>
      <c r="E233" s="20" t="str">
        <f>IF(SALIDAS[[#This Row],[CODIGO]]="", "", VLOOKUP(SALIDAS[[#This Row],[CODIGO]], PRODUCTOS[#All], 2, FALSE))</f>
        <v/>
      </c>
      <c r="F233" s="26"/>
    </row>
    <row r="234" spans="2:6" x14ac:dyDescent="0.2">
      <c r="B234" s="68"/>
      <c r="C234" s="6"/>
      <c r="D234" s="20"/>
      <c r="E234" s="20" t="str">
        <f>IF(SALIDAS[[#This Row],[CODIGO]]="", "", VLOOKUP(SALIDAS[[#This Row],[CODIGO]], PRODUCTOS[#All], 2, FALSE))</f>
        <v/>
      </c>
      <c r="F234" s="26"/>
    </row>
    <row r="235" spans="2:6" x14ac:dyDescent="0.2">
      <c r="B235" s="68"/>
      <c r="C235" s="6"/>
      <c r="D235" s="20"/>
      <c r="E235" s="20" t="str">
        <f>IF(SALIDAS[[#This Row],[CODIGO]]="", "", VLOOKUP(SALIDAS[[#This Row],[CODIGO]], PRODUCTOS[#All], 2, FALSE))</f>
        <v/>
      </c>
      <c r="F235" s="26"/>
    </row>
    <row r="236" spans="2:6" x14ac:dyDescent="0.2">
      <c r="B236" s="68"/>
      <c r="C236" s="6"/>
      <c r="D236" s="20"/>
      <c r="E236" s="20" t="str">
        <f>IF(SALIDAS[[#This Row],[CODIGO]]="", "", VLOOKUP(SALIDAS[[#This Row],[CODIGO]], PRODUCTOS[#All], 2, FALSE))</f>
        <v/>
      </c>
      <c r="F236" s="26"/>
    </row>
    <row r="237" spans="2:6" x14ac:dyDescent="0.2">
      <c r="B237" s="69"/>
      <c r="C237" s="12"/>
      <c r="D237" s="22"/>
      <c r="E237" s="22" t="str">
        <f>IF(SALIDAS[[#This Row],[CODIGO]]="", "", VLOOKUP(SALIDAS[[#This Row],[CODIGO]], PRODUCTOS[#All], 2, FALSE))</f>
        <v/>
      </c>
      <c r="F237" s="26"/>
    </row>
  </sheetData>
  <dataValidations count="3">
    <dataValidation type="list" allowBlank="1" showInputMessage="1" showErrorMessage="1" sqref="G6:G8" xr:uid="{A08340DF-11DF-854E-9458-585216D2AE29}">
      <formula1>"Cliente, Proveedor"</formula1>
    </dataValidation>
    <dataValidation type="list" allowBlank="1" showInputMessage="1" showErrorMessage="1" sqref="D6:D237" xr:uid="{BD459647-65A0-D548-8277-51D7DAE54924}">
      <formula1>INDIRECT("PRODUCTOS[CODIGO]")</formula1>
    </dataValidation>
    <dataValidation type="list" allowBlank="1" showInputMessage="1" showErrorMessage="1" sqref="C6:C237" xr:uid="{A47143B5-AAEF-4B40-930A-48FDB6084743}">
      <formula1>INDIRECT("SUCURSALES")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1B66-DC12-9D4A-A31B-FE0128A86927}">
  <dimension ref="B1:Q1010"/>
  <sheetViews>
    <sheetView showGridLines="0" tabSelected="1" topLeftCell="B375" workbookViewId="0">
      <selection activeCell="E573" sqref="E573"/>
    </sheetView>
  </sheetViews>
  <sheetFormatPr baseColWidth="10" defaultColWidth="10.875" defaultRowHeight="15" x14ac:dyDescent="0.2"/>
  <cols>
    <col min="1" max="1" width="4.875" style="1" customWidth="1"/>
    <col min="2" max="2" width="19.375" style="1" customWidth="1"/>
    <col min="3" max="3" width="40.875" style="1" customWidth="1"/>
    <col min="4" max="5" width="21.875" style="1" customWidth="1"/>
    <col min="6" max="6" width="6.875" style="1" customWidth="1"/>
    <col min="7" max="12" width="40.875" style="1" customWidth="1"/>
    <col min="13" max="13" width="10.875" style="1"/>
    <col min="14" max="15" width="40.875" style="1" customWidth="1"/>
    <col min="16" max="16" width="10.875" style="1"/>
    <col min="17" max="17" width="40.875" style="1" customWidth="1"/>
    <col min="18" max="16384" width="10.875" style="1"/>
  </cols>
  <sheetData>
    <row r="1" spans="2:17" s="3" customFormat="1" ht="39.950000000000003" customHeight="1" x14ac:dyDescent="0.2"/>
    <row r="2" spans="2:17" s="2" customFormat="1" ht="29.1" customHeight="1" x14ac:dyDescent="0.2"/>
    <row r="3" spans="2:17" s="7" customFormat="1" x14ac:dyDescent="0.2"/>
    <row r="4" spans="2:17" s="7" customFormat="1" x14ac:dyDescent="0.2">
      <c r="G4" s="19"/>
    </row>
    <row r="5" spans="2:17" s="8" customFormat="1" ht="30" customHeight="1" x14ac:dyDescent="0.25">
      <c r="B5" s="4" t="s">
        <v>3</v>
      </c>
      <c r="C5" s="5" t="s">
        <v>0</v>
      </c>
      <c r="D5" s="4" t="s">
        <v>6</v>
      </c>
      <c r="E5" s="4" t="s">
        <v>28</v>
      </c>
      <c r="F5" s="18"/>
      <c r="G5" s="4" t="s">
        <v>1</v>
      </c>
      <c r="H5" s="10"/>
      <c r="I5" s="10"/>
      <c r="J5" s="10"/>
      <c r="K5" s="10"/>
      <c r="M5" s="9"/>
      <c r="N5" s="9"/>
      <c r="P5" s="9"/>
      <c r="Q5" s="9"/>
    </row>
    <row r="6" spans="2:17" s="8" customFormat="1" ht="30" customHeight="1" x14ac:dyDescent="0.25">
      <c r="B6" s="6" t="s">
        <v>652</v>
      </c>
      <c r="C6" s="14" t="s">
        <v>653</v>
      </c>
      <c r="D6" s="23">
        <v>15</v>
      </c>
      <c r="E6" s="39">
        <v>119.8976</v>
      </c>
      <c r="F6" s="13"/>
      <c r="G6" s="16" t="s">
        <v>940</v>
      </c>
    </row>
    <row r="7" spans="2:17" s="8" customFormat="1" ht="30" customHeight="1" x14ac:dyDescent="0.25">
      <c r="B7" s="6" t="s">
        <v>652</v>
      </c>
      <c r="C7" s="14" t="s">
        <v>658</v>
      </c>
      <c r="D7" s="24"/>
      <c r="E7" s="39">
        <v>161.32</v>
      </c>
      <c r="F7" s="13"/>
      <c r="G7" s="16" t="s">
        <v>940</v>
      </c>
    </row>
    <row r="8" spans="2:17" s="8" customFormat="1" ht="30" customHeight="1" x14ac:dyDescent="0.25">
      <c r="B8" s="6" t="s">
        <v>648</v>
      </c>
      <c r="C8" s="14" t="s">
        <v>649</v>
      </c>
      <c r="D8" s="24"/>
      <c r="E8" s="39">
        <v>101.55800000000001</v>
      </c>
      <c r="F8" s="13"/>
      <c r="G8" s="16" t="s">
        <v>940</v>
      </c>
    </row>
    <row r="9" spans="2:17" s="8" customFormat="1" ht="30" customHeight="1" x14ac:dyDescent="0.25">
      <c r="B9" s="6" t="s">
        <v>648</v>
      </c>
      <c r="C9" s="14" t="s">
        <v>659</v>
      </c>
      <c r="D9" s="24"/>
      <c r="E9" s="39">
        <v>106.75</v>
      </c>
      <c r="G9" s="16" t="s">
        <v>940</v>
      </c>
    </row>
    <row r="10" spans="2:17" s="8" customFormat="1" ht="30" customHeight="1" x14ac:dyDescent="0.25">
      <c r="B10" s="6" t="s">
        <v>646</v>
      </c>
      <c r="C10" s="14" t="s">
        <v>647</v>
      </c>
      <c r="D10" s="24"/>
      <c r="E10" s="39">
        <v>64.588800000000006</v>
      </c>
      <c r="G10" s="16" t="s">
        <v>940</v>
      </c>
    </row>
    <row r="11" spans="2:17" s="8" customFormat="1" ht="30" customHeight="1" x14ac:dyDescent="0.25">
      <c r="B11" s="6" t="s">
        <v>650</v>
      </c>
      <c r="C11" s="14" t="s">
        <v>651</v>
      </c>
      <c r="D11" s="24"/>
      <c r="E11" s="39">
        <v>64.47</v>
      </c>
      <c r="G11" s="16" t="s">
        <v>940</v>
      </c>
    </row>
    <row r="12" spans="2:17" s="8" customFormat="1" ht="30" customHeight="1" x14ac:dyDescent="0.25">
      <c r="B12" s="6" t="s">
        <v>660</v>
      </c>
      <c r="C12" s="14" t="s">
        <v>661</v>
      </c>
      <c r="D12" s="24"/>
      <c r="E12" s="39">
        <v>64.05</v>
      </c>
      <c r="G12" s="16" t="s">
        <v>940</v>
      </c>
    </row>
    <row r="13" spans="2:17" s="8" customFormat="1" ht="30" customHeight="1" x14ac:dyDescent="0.25">
      <c r="B13" s="6" t="s">
        <v>662</v>
      </c>
      <c r="C13" s="14" t="s">
        <v>663</v>
      </c>
      <c r="D13" s="24"/>
      <c r="E13" s="39">
        <v>67.349599999999995</v>
      </c>
      <c r="G13" s="16" t="s">
        <v>940</v>
      </c>
    </row>
    <row r="14" spans="2:17" s="8" customFormat="1" ht="30" customHeight="1" x14ac:dyDescent="0.25">
      <c r="B14" s="6" t="s">
        <v>656</v>
      </c>
      <c r="C14" s="14" t="s">
        <v>657</v>
      </c>
      <c r="D14" s="24"/>
      <c r="E14" s="39">
        <v>284.01</v>
      </c>
      <c r="G14" s="16" t="s">
        <v>940</v>
      </c>
    </row>
    <row r="15" spans="2:17" s="8" customFormat="1" ht="30" customHeight="1" x14ac:dyDescent="0.25">
      <c r="B15" s="12" t="s">
        <v>654</v>
      </c>
      <c r="C15" s="15" t="s">
        <v>655</v>
      </c>
      <c r="D15" s="25"/>
      <c r="E15" s="39">
        <v>185.79</v>
      </c>
      <c r="F15" s="13"/>
      <c r="G15" s="16" t="s">
        <v>940</v>
      </c>
    </row>
    <row r="16" spans="2:17" s="8" customFormat="1" ht="30" customHeight="1" x14ac:dyDescent="0.25">
      <c r="B16" s="6" t="s">
        <v>628</v>
      </c>
      <c r="C16" s="6" t="s">
        <v>629</v>
      </c>
      <c r="D16" s="20"/>
      <c r="E16" s="39">
        <v>110.79</v>
      </c>
      <c r="G16" s="16" t="s">
        <v>940</v>
      </c>
    </row>
    <row r="17" spans="2:7" s="8" customFormat="1" ht="30" customHeight="1" x14ac:dyDescent="0.25">
      <c r="B17" s="6" t="s">
        <v>632</v>
      </c>
      <c r="C17" s="6" t="s">
        <v>633</v>
      </c>
      <c r="D17" s="20"/>
      <c r="E17" s="39">
        <v>98.471999999999994</v>
      </c>
      <c r="G17" s="16" t="s">
        <v>940</v>
      </c>
    </row>
    <row r="18" spans="2:7" s="8" customFormat="1" ht="30" customHeight="1" x14ac:dyDescent="0.25">
      <c r="B18" s="6" t="s">
        <v>624</v>
      </c>
      <c r="C18" s="6" t="s">
        <v>625</v>
      </c>
      <c r="D18" s="20"/>
      <c r="E18" s="39">
        <v>84.297200000000004</v>
      </c>
      <c r="G18" s="16" t="s">
        <v>940</v>
      </c>
    </row>
    <row r="19" spans="2:7" s="8" customFormat="1" ht="30" customHeight="1" x14ac:dyDescent="0.25">
      <c r="B19" s="6" t="s">
        <v>644</v>
      </c>
      <c r="C19" s="6" t="s">
        <v>645</v>
      </c>
      <c r="D19" s="20"/>
      <c r="E19" s="39">
        <v>90.74</v>
      </c>
      <c r="G19" s="16" t="s">
        <v>940</v>
      </c>
    </row>
    <row r="20" spans="2:7" s="8" customFormat="1" ht="30" customHeight="1" x14ac:dyDescent="0.25">
      <c r="B20" s="6" t="s">
        <v>626</v>
      </c>
      <c r="C20" s="6" t="s">
        <v>627</v>
      </c>
      <c r="D20" s="20"/>
      <c r="E20" s="39">
        <v>76.954400000000007</v>
      </c>
      <c r="G20" s="16" t="s">
        <v>940</v>
      </c>
    </row>
    <row r="21" spans="2:7" s="8" customFormat="1" ht="30" customHeight="1" x14ac:dyDescent="0.25">
      <c r="B21" s="6" t="s">
        <v>634</v>
      </c>
      <c r="C21" s="6" t="s">
        <v>635</v>
      </c>
      <c r="D21" s="20"/>
      <c r="E21" s="39">
        <v>65.795199999999994</v>
      </c>
      <c r="G21" s="16" t="s">
        <v>940</v>
      </c>
    </row>
    <row r="22" spans="2:7" s="8" customFormat="1" ht="30" customHeight="1" x14ac:dyDescent="0.25">
      <c r="B22" s="6" t="s">
        <v>636</v>
      </c>
      <c r="C22" s="6" t="s">
        <v>637</v>
      </c>
      <c r="D22" s="20"/>
      <c r="E22" s="39">
        <v>30.48</v>
      </c>
      <c r="G22" s="16" t="s">
        <v>940</v>
      </c>
    </row>
    <row r="23" spans="2:7" s="8" customFormat="1" ht="30" customHeight="1" x14ac:dyDescent="0.25">
      <c r="B23" s="6" t="s">
        <v>640</v>
      </c>
      <c r="C23" s="6" t="s">
        <v>641</v>
      </c>
      <c r="D23" s="20"/>
      <c r="E23" s="39">
        <v>32.11</v>
      </c>
      <c r="G23" s="16" t="s">
        <v>940</v>
      </c>
    </row>
    <row r="24" spans="2:7" s="8" customFormat="1" ht="30" customHeight="1" x14ac:dyDescent="0.25">
      <c r="B24" s="6" t="s">
        <v>630</v>
      </c>
      <c r="C24" s="6" t="s">
        <v>631</v>
      </c>
      <c r="D24" s="20"/>
      <c r="E24" s="39">
        <v>151.65</v>
      </c>
      <c r="G24" s="16" t="s">
        <v>940</v>
      </c>
    </row>
    <row r="25" spans="2:7" s="8" customFormat="1" ht="30" customHeight="1" x14ac:dyDescent="0.25">
      <c r="B25" s="6" t="s">
        <v>642</v>
      </c>
      <c r="C25" s="6" t="s">
        <v>643</v>
      </c>
      <c r="D25" s="20"/>
      <c r="E25" s="39">
        <v>181.32</v>
      </c>
      <c r="G25" s="16" t="s">
        <v>940</v>
      </c>
    </row>
    <row r="26" spans="2:7" s="8" customFormat="1" ht="30" customHeight="1" x14ac:dyDescent="0.25">
      <c r="B26" s="6" t="s">
        <v>638</v>
      </c>
      <c r="C26" s="6" t="s">
        <v>639</v>
      </c>
      <c r="D26" s="20"/>
      <c r="E26" s="39">
        <v>170.47</v>
      </c>
      <c r="G26" s="16" t="s">
        <v>940</v>
      </c>
    </row>
    <row r="27" spans="2:7" s="8" customFormat="1" ht="30" customHeight="1" x14ac:dyDescent="0.25">
      <c r="B27" s="6" t="s">
        <v>684</v>
      </c>
      <c r="C27" s="6" t="s">
        <v>685</v>
      </c>
      <c r="D27" s="20"/>
      <c r="E27" s="39">
        <v>67.048000000000002</v>
      </c>
      <c r="G27" s="16" t="s">
        <v>940</v>
      </c>
    </row>
    <row r="28" spans="2:7" s="8" customFormat="1" ht="30" customHeight="1" x14ac:dyDescent="0.25">
      <c r="B28" s="6" t="s">
        <v>692</v>
      </c>
      <c r="C28" s="6" t="s">
        <v>693</v>
      </c>
      <c r="D28" s="20"/>
      <c r="E28" s="39">
        <v>49.23</v>
      </c>
      <c r="G28" s="16" t="s">
        <v>940</v>
      </c>
    </row>
    <row r="29" spans="2:7" s="8" customFormat="1" ht="30" customHeight="1" x14ac:dyDescent="0.25">
      <c r="B29" s="6" t="s">
        <v>688</v>
      </c>
      <c r="C29" s="6" t="s">
        <v>689</v>
      </c>
      <c r="D29" s="20"/>
      <c r="E29" s="39">
        <v>33.744399999999999</v>
      </c>
      <c r="G29" s="16" t="s">
        <v>940</v>
      </c>
    </row>
    <row r="30" spans="2:7" s="8" customFormat="1" ht="30" customHeight="1" x14ac:dyDescent="0.25">
      <c r="B30" s="6" t="s">
        <v>682</v>
      </c>
      <c r="C30" s="6" t="s">
        <v>683</v>
      </c>
      <c r="D30" s="20"/>
      <c r="E30" s="39">
        <v>30.16</v>
      </c>
      <c r="G30" s="16" t="s">
        <v>940</v>
      </c>
    </row>
    <row r="31" spans="2:7" s="8" customFormat="1" ht="30" customHeight="1" x14ac:dyDescent="0.25">
      <c r="B31" s="6" t="s">
        <v>690</v>
      </c>
      <c r="C31" s="6" t="s">
        <v>691</v>
      </c>
      <c r="D31" s="20"/>
      <c r="E31" s="39">
        <v>19.72</v>
      </c>
      <c r="G31" s="16" t="s">
        <v>940</v>
      </c>
    </row>
    <row r="32" spans="2:7" s="8" customFormat="1" ht="30" customHeight="1" x14ac:dyDescent="0.25">
      <c r="B32" s="6" t="s">
        <v>686</v>
      </c>
      <c r="C32" s="6" t="s">
        <v>687</v>
      </c>
      <c r="D32" s="20"/>
      <c r="E32" s="39">
        <v>13.409599999999999</v>
      </c>
      <c r="G32" s="16" t="s">
        <v>940</v>
      </c>
    </row>
    <row r="33" spans="2:7" s="8" customFormat="1" ht="30" customHeight="1" x14ac:dyDescent="0.25">
      <c r="B33" s="6" t="s">
        <v>694</v>
      </c>
      <c r="C33" s="6" t="s">
        <v>695</v>
      </c>
      <c r="D33" s="20"/>
      <c r="E33" s="39"/>
      <c r="G33" s="16" t="s">
        <v>940</v>
      </c>
    </row>
    <row r="34" spans="2:7" s="8" customFormat="1" ht="30" customHeight="1" x14ac:dyDescent="0.25">
      <c r="B34" s="6" t="s">
        <v>670</v>
      </c>
      <c r="C34" s="6" t="s">
        <v>671</v>
      </c>
      <c r="D34" s="20"/>
      <c r="E34" s="39">
        <v>86.686800000000005</v>
      </c>
      <c r="G34" s="16" t="s">
        <v>940</v>
      </c>
    </row>
    <row r="35" spans="2:7" s="8" customFormat="1" ht="30" customHeight="1" x14ac:dyDescent="0.25">
      <c r="B35" s="6" t="s">
        <v>672</v>
      </c>
      <c r="C35" s="6" t="s">
        <v>673</v>
      </c>
      <c r="D35" s="20"/>
      <c r="E35" s="39"/>
      <c r="G35" s="16" t="s">
        <v>940</v>
      </c>
    </row>
    <row r="36" spans="2:7" s="8" customFormat="1" ht="30" customHeight="1" x14ac:dyDescent="0.25">
      <c r="B36" s="6" t="s">
        <v>666</v>
      </c>
      <c r="C36" s="6" t="s">
        <v>667</v>
      </c>
      <c r="D36" s="20"/>
      <c r="E36" s="39">
        <v>44.35</v>
      </c>
      <c r="G36" s="16" t="s">
        <v>940</v>
      </c>
    </row>
    <row r="37" spans="2:7" s="8" customFormat="1" ht="30" customHeight="1" x14ac:dyDescent="0.25">
      <c r="B37" s="6" t="s">
        <v>674</v>
      </c>
      <c r="C37" s="6" t="s">
        <v>675</v>
      </c>
      <c r="D37" s="20"/>
      <c r="E37" s="39">
        <v>35.97</v>
      </c>
      <c r="G37" s="16" t="s">
        <v>940</v>
      </c>
    </row>
    <row r="38" spans="2:7" s="8" customFormat="1" ht="30" customHeight="1" x14ac:dyDescent="0.25">
      <c r="B38" s="6" t="s">
        <v>676</v>
      </c>
      <c r="C38" s="6" t="s">
        <v>677</v>
      </c>
      <c r="D38" s="20"/>
      <c r="E38" s="39">
        <v>32.526400000000002</v>
      </c>
      <c r="G38" s="16" t="s">
        <v>940</v>
      </c>
    </row>
    <row r="39" spans="2:7" s="8" customFormat="1" ht="30" customHeight="1" x14ac:dyDescent="0.25">
      <c r="B39" s="6" t="s">
        <v>678</v>
      </c>
      <c r="C39" s="6" t="s">
        <v>679</v>
      </c>
      <c r="D39" s="20"/>
      <c r="E39" s="39"/>
      <c r="G39" s="16" t="s">
        <v>940</v>
      </c>
    </row>
    <row r="40" spans="2:7" s="8" customFormat="1" ht="30" customHeight="1" x14ac:dyDescent="0.25">
      <c r="B40" s="6" t="s">
        <v>664</v>
      </c>
      <c r="C40" s="6" t="s">
        <v>665</v>
      </c>
      <c r="D40" s="20"/>
      <c r="E40" s="39"/>
      <c r="G40" s="16" t="s">
        <v>940</v>
      </c>
    </row>
    <row r="41" spans="2:7" s="8" customFormat="1" ht="30" customHeight="1" x14ac:dyDescent="0.25">
      <c r="B41" s="6" t="s">
        <v>668</v>
      </c>
      <c r="C41" s="6" t="s">
        <v>669</v>
      </c>
      <c r="D41" s="20"/>
      <c r="E41" s="39"/>
      <c r="G41" s="16" t="s">
        <v>940</v>
      </c>
    </row>
    <row r="42" spans="2:7" s="8" customFormat="1" ht="30" customHeight="1" x14ac:dyDescent="0.25">
      <c r="B42" s="6" t="s">
        <v>680</v>
      </c>
      <c r="C42" s="6" t="s">
        <v>681</v>
      </c>
      <c r="D42" s="20"/>
      <c r="E42" s="39"/>
      <c r="G42" s="16" t="s">
        <v>940</v>
      </c>
    </row>
    <row r="43" spans="2:7" s="8" customFormat="1" ht="30" customHeight="1" x14ac:dyDescent="0.25">
      <c r="B43" s="6" t="s">
        <v>868</v>
      </c>
      <c r="C43" s="6" t="s">
        <v>869</v>
      </c>
      <c r="D43" s="20"/>
      <c r="E43" s="39"/>
      <c r="G43" s="16" t="s">
        <v>940</v>
      </c>
    </row>
    <row r="44" spans="2:7" s="8" customFormat="1" ht="30" customHeight="1" x14ac:dyDescent="0.25">
      <c r="B44" s="6" t="s">
        <v>870</v>
      </c>
      <c r="C44" s="6" t="s">
        <v>871</v>
      </c>
      <c r="D44" s="20">
        <v>3</v>
      </c>
      <c r="E44" s="39">
        <v>18950</v>
      </c>
      <c r="G44" s="16" t="s">
        <v>940</v>
      </c>
    </row>
    <row r="45" spans="2:7" s="8" customFormat="1" ht="30" customHeight="1" x14ac:dyDescent="0.25">
      <c r="B45" s="6" t="s">
        <v>578</v>
      </c>
      <c r="C45" s="6" t="s">
        <v>579</v>
      </c>
      <c r="D45" s="20"/>
      <c r="E45" s="39"/>
      <c r="G45" s="16" t="s">
        <v>940</v>
      </c>
    </row>
    <row r="46" spans="2:7" s="8" customFormat="1" ht="30" customHeight="1" x14ac:dyDescent="0.25">
      <c r="B46" s="6" t="s">
        <v>588</v>
      </c>
      <c r="C46" s="6" t="s">
        <v>589</v>
      </c>
      <c r="D46" s="20"/>
      <c r="E46" s="39"/>
      <c r="G46" s="16" t="s">
        <v>940</v>
      </c>
    </row>
    <row r="47" spans="2:7" s="8" customFormat="1" ht="30" customHeight="1" x14ac:dyDescent="0.25">
      <c r="B47" s="6" t="s">
        <v>576</v>
      </c>
      <c r="C47" s="6" t="s">
        <v>577</v>
      </c>
      <c r="D47" s="20"/>
      <c r="E47" s="39"/>
      <c r="G47" s="16" t="s">
        <v>940</v>
      </c>
    </row>
    <row r="48" spans="2:7" s="8" customFormat="1" ht="30" customHeight="1" x14ac:dyDescent="0.25">
      <c r="B48" s="6" t="s">
        <v>586</v>
      </c>
      <c r="C48" s="6" t="s">
        <v>587</v>
      </c>
      <c r="D48" s="20"/>
      <c r="E48" s="39"/>
      <c r="G48" s="16" t="s">
        <v>940</v>
      </c>
    </row>
    <row r="49" spans="2:7" s="8" customFormat="1" ht="30" customHeight="1" x14ac:dyDescent="0.25">
      <c r="B49" s="6" t="s">
        <v>590</v>
      </c>
      <c r="C49" s="6" t="s">
        <v>591</v>
      </c>
      <c r="D49" s="20"/>
      <c r="E49" s="39"/>
      <c r="G49" s="16" t="s">
        <v>940</v>
      </c>
    </row>
    <row r="50" spans="2:7" s="8" customFormat="1" ht="30" customHeight="1" x14ac:dyDescent="0.25">
      <c r="B50" s="6" t="s">
        <v>580</v>
      </c>
      <c r="C50" s="6" t="s">
        <v>581</v>
      </c>
      <c r="D50" s="20"/>
      <c r="E50" s="39"/>
      <c r="G50" s="16" t="s">
        <v>940</v>
      </c>
    </row>
    <row r="51" spans="2:7" s="8" customFormat="1" ht="30" customHeight="1" x14ac:dyDescent="0.25">
      <c r="B51" s="6" t="s">
        <v>582</v>
      </c>
      <c r="C51" s="6" t="s">
        <v>583</v>
      </c>
      <c r="D51" s="20"/>
      <c r="E51" s="39"/>
      <c r="G51" s="16" t="s">
        <v>940</v>
      </c>
    </row>
    <row r="52" spans="2:7" s="8" customFormat="1" ht="30" customHeight="1" x14ac:dyDescent="0.25">
      <c r="B52" s="6" t="s">
        <v>584</v>
      </c>
      <c r="C52" s="6" t="s">
        <v>585</v>
      </c>
      <c r="D52" s="20"/>
      <c r="E52" s="39"/>
      <c r="G52" s="16" t="s">
        <v>940</v>
      </c>
    </row>
    <row r="53" spans="2:7" s="8" customFormat="1" ht="30" customHeight="1" x14ac:dyDescent="0.25">
      <c r="B53" s="6" t="s">
        <v>536</v>
      </c>
      <c r="C53" s="6" t="s">
        <v>537</v>
      </c>
      <c r="D53" s="20"/>
      <c r="E53" s="39">
        <v>2838</v>
      </c>
      <c r="G53" s="16" t="s">
        <v>940</v>
      </c>
    </row>
    <row r="54" spans="2:7" s="8" customFormat="1" ht="30" customHeight="1" x14ac:dyDescent="0.25">
      <c r="B54" s="6" t="s">
        <v>500</v>
      </c>
      <c r="C54" s="6" t="s">
        <v>501</v>
      </c>
      <c r="D54" s="20"/>
      <c r="E54" s="39"/>
      <c r="G54" s="16" t="s">
        <v>940</v>
      </c>
    </row>
    <row r="55" spans="2:7" s="8" customFormat="1" ht="30" customHeight="1" x14ac:dyDescent="0.25">
      <c r="B55" s="6" t="s">
        <v>606</v>
      </c>
      <c r="C55" s="6" t="s">
        <v>607</v>
      </c>
      <c r="D55" s="20"/>
      <c r="E55" s="39"/>
      <c r="G55" s="16" t="s">
        <v>940</v>
      </c>
    </row>
    <row r="56" spans="2:7" s="8" customFormat="1" ht="30" customHeight="1" x14ac:dyDescent="0.25">
      <c r="B56" s="6" t="s">
        <v>604</v>
      </c>
      <c r="C56" s="6" t="s">
        <v>605</v>
      </c>
      <c r="D56" s="20"/>
      <c r="E56" s="39"/>
      <c r="G56" s="16" t="s">
        <v>940</v>
      </c>
    </row>
    <row r="57" spans="2:7" s="8" customFormat="1" ht="30" customHeight="1" x14ac:dyDescent="0.25">
      <c r="B57" s="6" t="s">
        <v>504</v>
      </c>
      <c r="C57" s="6" t="s">
        <v>505</v>
      </c>
      <c r="D57" s="20"/>
      <c r="E57" s="39">
        <v>128.81</v>
      </c>
      <c r="G57" s="16" t="s">
        <v>940</v>
      </c>
    </row>
    <row r="58" spans="2:7" s="8" customFormat="1" ht="30" customHeight="1" x14ac:dyDescent="0.25">
      <c r="B58" s="6" t="s">
        <v>512</v>
      </c>
      <c r="C58" s="6" t="s">
        <v>513</v>
      </c>
      <c r="D58" s="20"/>
      <c r="E58" s="39">
        <v>7.49</v>
      </c>
      <c r="G58" s="16" t="s">
        <v>940</v>
      </c>
    </row>
    <row r="59" spans="2:7" s="8" customFormat="1" ht="30" customHeight="1" x14ac:dyDescent="0.25">
      <c r="B59" s="6" t="s">
        <v>510</v>
      </c>
      <c r="C59" s="6" t="s">
        <v>511</v>
      </c>
      <c r="D59" s="20"/>
      <c r="E59" s="39">
        <v>28</v>
      </c>
      <c r="G59" s="16" t="s">
        <v>940</v>
      </c>
    </row>
    <row r="60" spans="2:7" s="8" customFormat="1" ht="30" customHeight="1" x14ac:dyDescent="0.25">
      <c r="B60" s="6" t="s">
        <v>508</v>
      </c>
      <c r="C60" s="6" t="s">
        <v>509</v>
      </c>
      <c r="D60" s="20"/>
      <c r="E60" s="39">
        <v>71</v>
      </c>
      <c r="G60" s="16" t="s">
        <v>940</v>
      </c>
    </row>
    <row r="61" spans="2:7" s="8" customFormat="1" ht="30" customHeight="1" x14ac:dyDescent="0.25">
      <c r="B61" s="6" t="s">
        <v>506</v>
      </c>
      <c r="C61" s="6" t="s">
        <v>507</v>
      </c>
      <c r="D61" s="20"/>
      <c r="E61" s="39">
        <v>85.5</v>
      </c>
      <c r="G61" s="16" t="s">
        <v>940</v>
      </c>
    </row>
    <row r="62" spans="2:7" s="8" customFormat="1" ht="30" customHeight="1" x14ac:dyDescent="0.25">
      <c r="B62" s="6" t="s">
        <v>570</v>
      </c>
      <c r="C62" s="6" t="s">
        <v>571</v>
      </c>
      <c r="D62" s="20"/>
      <c r="E62" s="39"/>
      <c r="G62" s="16" t="s">
        <v>940</v>
      </c>
    </row>
    <row r="63" spans="2:7" s="8" customFormat="1" ht="30" customHeight="1" x14ac:dyDescent="0.25">
      <c r="B63" s="6" t="s">
        <v>568</v>
      </c>
      <c r="C63" s="6" t="s">
        <v>569</v>
      </c>
      <c r="D63" s="20"/>
      <c r="E63" s="39"/>
      <c r="G63" s="16" t="s">
        <v>940</v>
      </c>
    </row>
    <row r="64" spans="2:7" s="8" customFormat="1" ht="30" customHeight="1" x14ac:dyDescent="0.25">
      <c r="B64" s="6" t="s">
        <v>574</v>
      </c>
      <c r="C64" s="6" t="s">
        <v>575</v>
      </c>
      <c r="D64" s="20"/>
      <c r="E64" s="39"/>
      <c r="G64" s="16" t="s">
        <v>940</v>
      </c>
    </row>
    <row r="65" spans="2:7" s="8" customFormat="1" ht="30" customHeight="1" x14ac:dyDescent="0.25">
      <c r="B65" s="6" t="s">
        <v>572</v>
      </c>
      <c r="C65" s="6" t="s">
        <v>573</v>
      </c>
      <c r="D65" s="20"/>
      <c r="E65" s="39"/>
      <c r="G65" s="16" t="s">
        <v>940</v>
      </c>
    </row>
    <row r="66" spans="2:7" s="8" customFormat="1" ht="30" customHeight="1" x14ac:dyDescent="0.25">
      <c r="B66" s="6" t="s">
        <v>552</v>
      </c>
      <c r="C66" s="6" t="s">
        <v>553</v>
      </c>
      <c r="D66" s="20"/>
      <c r="E66" s="39"/>
      <c r="G66" s="16" t="s">
        <v>940</v>
      </c>
    </row>
    <row r="67" spans="2:7" s="8" customFormat="1" ht="30" customHeight="1" x14ac:dyDescent="0.25">
      <c r="B67" s="6" t="s">
        <v>554</v>
      </c>
      <c r="C67" s="6" t="s">
        <v>555</v>
      </c>
      <c r="D67" s="20"/>
      <c r="E67" s="39"/>
      <c r="G67" s="16" t="s">
        <v>940</v>
      </c>
    </row>
    <row r="68" spans="2:7" s="8" customFormat="1" ht="30" customHeight="1" x14ac:dyDescent="0.25">
      <c r="B68" s="6" t="s">
        <v>566</v>
      </c>
      <c r="C68" s="6" t="s">
        <v>567</v>
      </c>
      <c r="D68" s="20"/>
      <c r="E68" s="39"/>
      <c r="G68" s="16" t="s">
        <v>940</v>
      </c>
    </row>
    <row r="69" spans="2:7" s="8" customFormat="1" ht="30" customHeight="1" x14ac:dyDescent="0.25">
      <c r="B69" s="6" t="s">
        <v>564</v>
      </c>
      <c r="C69" s="6" t="s">
        <v>565</v>
      </c>
      <c r="D69" s="20"/>
      <c r="E69" s="39"/>
      <c r="G69" s="16" t="s">
        <v>940</v>
      </c>
    </row>
    <row r="70" spans="2:7" s="8" customFormat="1" ht="30" customHeight="1" x14ac:dyDescent="0.25">
      <c r="B70" s="6" t="s">
        <v>562</v>
      </c>
      <c r="C70" s="6" t="s">
        <v>563</v>
      </c>
      <c r="D70" s="20"/>
      <c r="E70" s="39"/>
      <c r="G70" s="16" t="s">
        <v>940</v>
      </c>
    </row>
    <row r="71" spans="2:7" s="8" customFormat="1" ht="30" customHeight="1" x14ac:dyDescent="0.25">
      <c r="B71" s="6" t="s">
        <v>560</v>
      </c>
      <c r="C71" s="6" t="s">
        <v>561</v>
      </c>
      <c r="D71" s="20"/>
      <c r="E71" s="39"/>
      <c r="G71" s="16" t="s">
        <v>940</v>
      </c>
    </row>
    <row r="72" spans="2:7" s="8" customFormat="1" ht="30" customHeight="1" x14ac:dyDescent="0.25">
      <c r="B72" s="6" t="s">
        <v>558</v>
      </c>
      <c r="C72" s="6" t="s">
        <v>559</v>
      </c>
      <c r="D72" s="20"/>
      <c r="E72" s="39"/>
      <c r="G72" s="16" t="s">
        <v>940</v>
      </c>
    </row>
    <row r="73" spans="2:7" s="8" customFormat="1" ht="30" customHeight="1" x14ac:dyDescent="0.25">
      <c r="B73" s="6" t="s">
        <v>556</v>
      </c>
      <c r="C73" s="6" t="s">
        <v>557</v>
      </c>
      <c r="D73" s="20"/>
      <c r="E73" s="39"/>
      <c r="G73" s="16" t="s">
        <v>940</v>
      </c>
    </row>
    <row r="74" spans="2:7" s="8" customFormat="1" ht="30" customHeight="1" x14ac:dyDescent="0.25">
      <c r="B74" s="6" t="s">
        <v>550</v>
      </c>
      <c r="C74" s="6" t="s">
        <v>551</v>
      </c>
      <c r="D74" s="20"/>
      <c r="E74" s="39"/>
      <c r="G74" s="16" t="s">
        <v>940</v>
      </c>
    </row>
    <row r="75" spans="2:7" s="8" customFormat="1" ht="30" customHeight="1" x14ac:dyDescent="0.25">
      <c r="B75" s="6" t="s">
        <v>548</v>
      </c>
      <c r="C75" s="6" t="s">
        <v>549</v>
      </c>
      <c r="D75" s="20"/>
      <c r="E75" s="39"/>
      <c r="G75" s="16" t="s">
        <v>940</v>
      </c>
    </row>
    <row r="76" spans="2:7" s="8" customFormat="1" ht="30" customHeight="1" x14ac:dyDescent="0.25">
      <c r="B76" s="6" t="s">
        <v>532</v>
      </c>
      <c r="C76" s="6" t="s">
        <v>533</v>
      </c>
      <c r="D76" s="20"/>
      <c r="E76" s="39">
        <v>208</v>
      </c>
      <c r="G76" s="16" t="s">
        <v>940</v>
      </c>
    </row>
    <row r="77" spans="2:7" s="8" customFormat="1" ht="30" customHeight="1" x14ac:dyDescent="0.25">
      <c r="B77" s="6" t="s">
        <v>528</v>
      </c>
      <c r="C77" s="6" t="s">
        <v>529</v>
      </c>
      <c r="D77" s="20"/>
      <c r="E77" s="39">
        <v>1625.81</v>
      </c>
      <c r="G77" s="16" t="s">
        <v>940</v>
      </c>
    </row>
    <row r="78" spans="2:7" s="8" customFormat="1" ht="30" customHeight="1" x14ac:dyDescent="0.25">
      <c r="B78" s="6" t="s">
        <v>502</v>
      </c>
      <c r="C78" s="6" t="s">
        <v>503</v>
      </c>
      <c r="D78" s="20"/>
      <c r="E78" s="39">
        <v>837</v>
      </c>
      <c r="G78" s="16" t="s">
        <v>940</v>
      </c>
    </row>
    <row r="79" spans="2:7" s="8" customFormat="1" ht="30" customHeight="1" x14ac:dyDescent="0.25">
      <c r="B79" s="6" t="s">
        <v>600</v>
      </c>
      <c r="C79" s="6" t="s">
        <v>601</v>
      </c>
      <c r="D79" s="20"/>
      <c r="E79" s="39"/>
      <c r="G79" s="16" t="s">
        <v>940</v>
      </c>
    </row>
    <row r="80" spans="2:7" s="8" customFormat="1" ht="30" customHeight="1" x14ac:dyDescent="0.25">
      <c r="B80" s="6" t="s">
        <v>602</v>
      </c>
      <c r="C80" s="6" t="s">
        <v>603</v>
      </c>
      <c r="D80" s="20"/>
      <c r="E80" s="39"/>
      <c r="G80" s="16" t="s">
        <v>940</v>
      </c>
    </row>
    <row r="81" spans="2:7" s="8" customFormat="1" ht="30" customHeight="1" x14ac:dyDescent="0.25">
      <c r="B81" s="6" t="s">
        <v>598</v>
      </c>
      <c r="C81" s="6" t="s">
        <v>599</v>
      </c>
      <c r="D81" s="20"/>
      <c r="E81" s="39"/>
      <c r="G81" s="16" t="s">
        <v>940</v>
      </c>
    </row>
    <row r="82" spans="2:7" s="8" customFormat="1" ht="30" customHeight="1" x14ac:dyDescent="0.25">
      <c r="B82" s="6" t="s">
        <v>596</v>
      </c>
      <c r="C82" s="6" t="s">
        <v>597</v>
      </c>
      <c r="D82" s="20"/>
      <c r="E82" s="39"/>
      <c r="G82" s="16" t="s">
        <v>940</v>
      </c>
    </row>
    <row r="83" spans="2:7" s="8" customFormat="1" ht="30" customHeight="1" x14ac:dyDescent="0.25">
      <c r="B83" s="6" t="s">
        <v>594</v>
      </c>
      <c r="C83" s="6" t="s">
        <v>595</v>
      </c>
      <c r="D83" s="20"/>
      <c r="E83" s="39"/>
      <c r="G83" s="16" t="s">
        <v>940</v>
      </c>
    </row>
    <row r="84" spans="2:7" s="8" customFormat="1" ht="30" customHeight="1" x14ac:dyDescent="0.25">
      <c r="B84" s="6" t="s">
        <v>592</v>
      </c>
      <c r="C84" s="6" t="s">
        <v>593</v>
      </c>
      <c r="D84" s="20"/>
      <c r="E84" s="39"/>
      <c r="G84" s="16" t="s">
        <v>940</v>
      </c>
    </row>
    <row r="85" spans="2:7" s="8" customFormat="1" ht="30" customHeight="1" x14ac:dyDescent="0.25">
      <c r="B85" s="6" t="s">
        <v>530</v>
      </c>
      <c r="C85" s="6" t="s">
        <v>531</v>
      </c>
      <c r="D85" s="20"/>
      <c r="E85" s="39">
        <v>119</v>
      </c>
      <c r="G85" s="16" t="s">
        <v>940</v>
      </c>
    </row>
    <row r="86" spans="2:7" s="8" customFormat="1" ht="30" customHeight="1" x14ac:dyDescent="0.25">
      <c r="B86" s="6" t="s">
        <v>490</v>
      </c>
      <c r="C86" s="6" t="s">
        <v>491</v>
      </c>
      <c r="D86" s="20"/>
      <c r="E86" s="39">
        <v>1917</v>
      </c>
      <c r="G86" s="16" t="s">
        <v>940</v>
      </c>
    </row>
    <row r="87" spans="2:7" s="8" customFormat="1" ht="30" customHeight="1" x14ac:dyDescent="0.25">
      <c r="B87" s="6" t="s">
        <v>492</v>
      </c>
      <c r="C87" s="6" t="s">
        <v>493</v>
      </c>
      <c r="D87" s="20"/>
      <c r="E87" s="39"/>
      <c r="G87" s="16" t="s">
        <v>940</v>
      </c>
    </row>
    <row r="88" spans="2:7" s="8" customFormat="1" ht="30" customHeight="1" x14ac:dyDescent="0.25">
      <c r="B88" s="6" t="s">
        <v>540</v>
      </c>
      <c r="C88" s="6" t="s">
        <v>541</v>
      </c>
      <c r="D88" s="20"/>
      <c r="E88" s="39">
        <v>8850</v>
      </c>
      <c r="G88" s="16" t="s">
        <v>940</v>
      </c>
    </row>
    <row r="89" spans="2:7" s="8" customFormat="1" ht="30" customHeight="1" x14ac:dyDescent="0.25">
      <c r="B89" s="6" t="s">
        <v>542</v>
      </c>
      <c r="C89" s="6" t="s">
        <v>543</v>
      </c>
      <c r="D89" s="20"/>
      <c r="E89" s="39">
        <v>8879.89</v>
      </c>
      <c r="G89" s="16" t="s">
        <v>940</v>
      </c>
    </row>
    <row r="90" spans="2:7" s="8" customFormat="1" ht="30" customHeight="1" x14ac:dyDescent="0.25">
      <c r="B90" s="6" t="s">
        <v>514</v>
      </c>
      <c r="C90" s="6" t="s">
        <v>515</v>
      </c>
      <c r="D90" s="20"/>
      <c r="E90" s="39"/>
      <c r="G90" s="16" t="s">
        <v>940</v>
      </c>
    </row>
    <row r="91" spans="2:7" s="8" customFormat="1" ht="30" customHeight="1" x14ac:dyDescent="0.25">
      <c r="B91" s="6" t="s">
        <v>486</v>
      </c>
      <c r="C91" s="6" t="s">
        <v>487</v>
      </c>
      <c r="D91" s="20">
        <v>4</v>
      </c>
      <c r="E91" s="39">
        <v>6.42</v>
      </c>
      <c r="G91" s="16" t="s">
        <v>940</v>
      </c>
    </row>
    <row r="92" spans="2:7" s="8" customFormat="1" ht="30" customHeight="1" x14ac:dyDescent="0.25">
      <c r="B92" s="6" t="s">
        <v>494</v>
      </c>
      <c r="C92" s="6" t="s">
        <v>495</v>
      </c>
      <c r="D92" s="20">
        <v>4</v>
      </c>
      <c r="E92" s="39">
        <v>16.213166000000001</v>
      </c>
      <c r="G92" s="16" t="s">
        <v>940</v>
      </c>
    </row>
    <row r="93" spans="2:7" s="8" customFormat="1" ht="30" customHeight="1" x14ac:dyDescent="0.25">
      <c r="B93" s="6" t="s">
        <v>544</v>
      </c>
      <c r="C93" s="6" t="s">
        <v>545</v>
      </c>
      <c r="D93" s="20">
        <v>2</v>
      </c>
      <c r="E93" s="39">
        <v>4.7838336000000004</v>
      </c>
      <c r="G93" s="16" t="s">
        <v>940</v>
      </c>
    </row>
    <row r="94" spans="2:7" s="8" customFormat="1" ht="30" customHeight="1" x14ac:dyDescent="0.25">
      <c r="B94" s="6" t="s">
        <v>488</v>
      </c>
      <c r="C94" s="6" t="s">
        <v>489</v>
      </c>
      <c r="D94" s="20">
        <v>4</v>
      </c>
      <c r="E94" s="39">
        <v>6.81</v>
      </c>
      <c r="G94" s="16" t="s">
        <v>940</v>
      </c>
    </row>
    <row r="95" spans="2:7" s="8" customFormat="1" ht="30" customHeight="1" x14ac:dyDescent="0.25">
      <c r="B95" s="6" t="s">
        <v>546</v>
      </c>
      <c r="C95" s="6" t="s">
        <v>547</v>
      </c>
      <c r="D95" s="20">
        <v>3</v>
      </c>
      <c r="E95" s="39">
        <v>14.467000000000001</v>
      </c>
      <c r="G95" s="16" t="s">
        <v>940</v>
      </c>
    </row>
    <row r="96" spans="2:7" s="8" customFormat="1" ht="30" customHeight="1" x14ac:dyDescent="0.25">
      <c r="B96" s="6" t="s">
        <v>616</v>
      </c>
      <c r="C96" s="6" t="s">
        <v>617</v>
      </c>
      <c r="D96" s="20"/>
      <c r="E96" s="39"/>
      <c r="G96" s="16" t="s">
        <v>940</v>
      </c>
    </row>
    <row r="97" spans="2:7" s="8" customFormat="1" ht="30" customHeight="1" x14ac:dyDescent="0.25">
      <c r="B97" s="6" t="s">
        <v>614</v>
      </c>
      <c r="C97" s="6" t="s">
        <v>615</v>
      </c>
      <c r="D97" s="20">
        <v>3</v>
      </c>
      <c r="E97" s="39"/>
      <c r="G97" s="16" t="s">
        <v>940</v>
      </c>
    </row>
    <row r="98" spans="2:7" s="8" customFormat="1" ht="30" customHeight="1" x14ac:dyDescent="0.25">
      <c r="B98" s="6" t="s">
        <v>612</v>
      </c>
      <c r="C98" s="6" t="s">
        <v>613</v>
      </c>
      <c r="D98" s="20"/>
      <c r="E98" s="39"/>
      <c r="G98" s="16" t="s">
        <v>940</v>
      </c>
    </row>
    <row r="99" spans="2:7" s="8" customFormat="1" ht="30" customHeight="1" x14ac:dyDescent="0.25">
      <c r="B99" s="6" t="s">
        <v>610</v>
      </c>
      <c r="C99" s="6" t="s">
        <v>611</v>
      </c>
      <c r="D99" s="20"/>
      <c r="E99" s="39"/>
      <c r="G99" s="16" t="s">
        <v>940</v>
      </c>
    </row>
    <row r="100" spans="2:7" s="8" customFormat="1" ht="30" customHeight="1" x14ac:dyDescent="0.25">
      <c r="B100" s="6" t="s">
        <v>608</v>
      </c>
      <c r="C100" s="6" t="s">
        <v>609</v>
      </c>
      <c r="D100" s="20">
        <v>4</v>
      </c>
      <c r="E100" s="39"/>
      <c r="G100" s="16" t="s">
        <v>940</v>
      </c>
    </row>
    <row r="101" spans="2:7" x14ac:dyDescent="0.2">
      <c r="B101" s="6" t="s">
        <v>620</v>
      </c>
      <c r="C101" s="6" t="s">
        <v>621</v>
      </c>
      <c r="D101" s="20"/>
      <c r="E101" s="39"/>
      <c r="G101" s="16" t="s">
        <v>940</v>
      </c>
    </row>
    <row r="102" spans="2:7" x14ac:dyDescent="0.2">
      <c r="B102" s="6" t="s">
        <v>618</v>
      </c>
      <c r="C102" s="6" t="s">
        <v>619</v>
      </c>
      <c r="D102" s="20"/>
      <c r="E102" s="39"/>
      <c r="G102" s="16" t="s">
        <v>940</v>
      </c>
    </row>
    <row r="103" spans="2:7" x14ac:dyDescent="0.2">
      <c r="B103" s="6" t="s">
        <v>518</v>
      </c>
      <c r="C103" s="6" t="s">
        <v>519</v>
      </c>
      <c r="D103" s="20"/>
      <c r="E103" s="39">
        <v>264</v>
      </c>
      <c r="G103" s="16" t="s">
        <v>940</v>
      </c>
    </row>
    <row r="104" spans="2:7" x14ac:dyDescent="0.2">
      <c r="B104" s="6" t="s">
        <v>498</v>
      </c>
      <c r="C104" s="6" t="s">
        <v>499</v>
      </c>
      <c r="D104" s="20"/>
      <c r="E104" s="39"/>
      <c r="G104" s="16" t="s">
        <v>940</v>
      </c>
    </row>
    <row r="105" spans="2:7" x14ac:dyDescent="0.2">
      <c r="B105" s="6" t="s">
        <v>496</v>
      </c>
      <c r="C105" s="6" t="s">
        <v>497</v>
      </c>
      <c r="D105" s="20"/>
      <c r="E105" s="39"/>
      <c r="G105" s="16" t="s">
        <v>940</v>
      </c>
    </row>
    <row r="106" spans="2:7" x14ac:dyDescent="0.2">
      <c r="B106" s="6" t="s">
        <v>534</v>
      </c>
      <c r="C106" s="6" t="s">
        <v>535</v>
      </c>
      <c r="D106" s="20"/>
      <c r="E106" s="39"/>
      <c r="G106" s="16" t="s">
        <v>940</v>
      </c>
    </row>
    <row r="107" spans="2:7" x14ac:dyDescent="0.2">
      <c r="B107" s="6" t="s">
        <v>538</v>
      </c>
      <c r="C107" s="6" t="s">
        <v>539</v>
      </c>
      <c r="D107" s="20"/>
      <c r="E107" s="39">
        <v>450</v>
      </c>
      <c r="G107" s="16" t="s">
        <v>940</v>
      </c>
    </row>
    <row r="108" spans="2:7" x14ac:dyDescent="0.2">
      <c r="B108" s="6" t="s">
        <v>522</v>
      </c>
      <c r="C108" s="6" t="s">
        <v>523</v>
      </c>
      <c r="D108" s="20"/>
      <c r="E108" s="39">
        <v>7600</v>
      </c>
      <c r="G108" s="16" t="s">
        <v>940</v>
      </c>
    </row>
    <row r="109" spans="2:7" x14ac:dyDescent="0.2">
      <c r="B109" s="6" t="s">
        <v>622</v>
      </c>
      <c r="C109" s="6" t="s">
        <v>623</v>
      </c>
      <c r="D109" s="20"/>
      <c r="E109" s="39"/>
      <c r="G109" s="16" t="s">
        <v>940</v>
      </c>
    </row>
    <row r="110" spans="2:7" x14ac:dyDescent="0.2">
      <c r="B110" s="6" t="s">
        <v>520</v>
      </c>
      <c r="C110" s="6" t="s">
        <v>521</v>
      </c>
      <c r="D110" s="20"/>
      <c r="E110" s="39">
        <v>3500</v>
      </c>
      <c r="G110" s="16" t="s">
        <v>940</v>
      </c>
    </row>
    <row r="111" spans="2:7" x14ac:dyDescent="0.2">
      <c r="B111" s="6" t="s">
        <v>526</v>
      </c>
      <c r="C111" s="6" t="s">
        <v>527</v>
      </c>
      <c r="D111" s="20"/>
      <c r="E111" s="39">
        <v>3418.35</v>
      </c>
      <c r="G111" s="16" t="s">
        <v>940</v>
      </c>
    </row>
    <row r="112" spans="2:7" x14ac:dyDescent="0.2">
      <c r="B112" s="6" t="s">
        <v>516</v>
      </c>
      <c r="C112" s="6" t="s">
        <v>517</v>
      </c>
      <c r="D112" s="20"/>
      <c r="E112" s="39">
        <v>750</v>
      </c>
      <c r="G112" s="16" t="s">
        <v>940</v>
      </c>
    </row>
    <row r="113" spans="2:7" x14ac:dyDescent="0.2">
      <c r="B113" s="6" t="s">
        <v>524</v>
      </c>
      <c r="C113" s="6" t="s">
        <v>525</v>
      </c>
      <c r="D113" s="20"/>
      <c r="E113" s="39">
        <v>9100</v>
      </c>
      <c r="G113" s="16" t="s">
        <v>940</v>
      </c>
    </row>
    <row r="114" spans="2:7" x14ac:dyDescent="0.2">
      <c r="B114" s="6" t="s">
        <v>746</v>
      </c>
      <c r="C114" s="6" t="s">
        <v>747</v>
      </c>
      <c r="D114" s="20">
        <v>3</v>
      </c>
      <c r="E114" s="39">
        <v>179</v>
      </c>
      <c r="G114" s="16" t="s">
        <v>940</v>
      </c>
    </row>
    <row r="115" spans="2:7" x14ac:dyDescent="0.2">
      <c r="B115" s="6" t="s">
        <v>732</v>
      </c>
      <c r="C115" s="6" t="s">
        <v>733</v>
      </c>
      <c r="D115" s="20"/>
      <c r="E115" s="39">
        <v>65.8</v>
      </c>
      <c r="G115" s="16" t="s">
        <v>940</v>
      </c>
    </row>
    <row r="116" spans="2:7" x14ac:dyDescent="0.2">
      <c r="B116" s="6" t="s">
        <v>734</v>
      </c>
      <c r="C116" s="6" t="s">
        <v>735</v>
      </c>
      <c r="D116" s="20"/>
      <c r="E116" s="39">
        <v>65.8</v>
      </c>
      <c r="G116" s="16" t="s">
        <v>940</v>
      </c>
    </row>
    <row r="117" spans="2:7" x14ac:dyDescent="0.2">
      <c r="B117" s="6" t="s">
        <v>726</v>
      </c>
      <c r="C117" s="6" t="s">
        <v>727</v>
      </c>
      <c r="D117" s="20"/>
      <c r="E117" s="39">
        <v>32.9</v>
      </c>
      <c r="G117" s="16" t="s">
        <v>940</v>
      </c>
    </row>
    <row r="118" spans="2:7" x14ac:dyDescent="0.2">
      <c r="B118" s="6" t="s">
        <v>736</v>
      </c>
      <c r="C118" s="6" t="s">
        <v>737</v>
      </c>
      <c r="D118" s="20"/>
      <c r="E118" s="39">
        <v>21.9</v>
      </c>
      <c r="G118" s="16" t="s">
        <v>940</v>
      </c>
    </row>
    <row r="119" spans="2:7" x14ac:dyDescent="0.2">
      <c r="B119" s="6" t="s">
        <v>722</v>
      </c>
      <c r="C119" s="6" t="s">
        <v>723</v>
      </c>
      <c r="D119" s="20">
        <v>40</v>
      </c>
      <c r="E119" s="39">
        <v>229.68</v>
      </c>
      <c r="G119" s="16" t="s">
        <v>940</v>
      </c>
    </row>
    <row r="120" spans="2:7" x14ac:dyDescent="0.2">
      <c r="B120" s="6" t="s">
        <v>696</v>
      </c>
      <c r="C120" s="6" t="s">
        <v>697</v>
      </c>
      <c r="D120" s="20">
        <v>40</v>
      </c>
      <c r="E120" s="39">
        <v>52.2</v>
      </c>
      <c r="G120" s="16" t="s">
        <v>940</v>
      </c>
    </row>
    <row r="121" spans="2:7" x14ac:dyDescent="0.2">
      <c r="B121" s="6" t="s">
        <v>720</v>
      </c>
      <c r="C121" s="6" t="s">
        <v>721</v>
      </c>
      <c r="D121" s="20"/>
      <c r="E121" s="39">
        <v>9860</v>
      </c>
      <c r="G121" s="16" t="s">
        <v>940</v>
      </c>
    </row>
    <row r="122" spans="2:7" x14ac:dyDescent="0.2">
      <c r="B122" s="6" t="s">
        <v>700</v>
      </c>
      <c r="C122" s="6" t="s">
        <v>701</v>
      </c>
      <c r="D122" s="20"/>
      <c r="E122" s="39">
        <v>64.400000000000006</v>
      </c>
      <c r="G122" s="16" t="s">
        <v>940</v>
      </c>
    </row>
    <row r="123" spans="2:7" x14ac:dyDescent="0.2">
      <c r="B123" s="6" t="s">
        <v>698</v>
      </c>
      <c r="C123" s="6" t="s">
        <v>699</v>
      </c>
      <c r="D123" s="20"/>
      <c r="E123" s="39">
        <v>8.9</v>
      </c>
      <c r="G123" s="16" t="s">
        <v>940</v>
      </c>
    </row>
    <row r="124" spans="2:7" x14ac:dyDescent="0.2">
      <c r="B124" s="6" t="s">
        <v>728</v>
      </c>
      <c r="C124" s="6" t="s">
        <v>729</v>
      </c>
      <c r="D124" s="20"/>
      <c r="E124" s="39">
        <v>8.9</v>
      </c>
      <c r="G124" s="16" t="s">
        <v>940</v>
      </c>
    </row>
    <row r="125" spans="2:7" x14ac:dyDescent="0.2">
      <c r="B125" s="6" t="s">
        <v>714</v>
      </c>
      <c r="C125" s="6" t="s">
        <v>715</v>
      </c>
      <c r="D125" s="20"/>
      <c r="E125" s="39">
        <v>127.6</v>
      </c>
      <c r="G125" s="16" t="s">
        <v>940</v>
      </c>
    </row>
    <row r="126" spans="2:7" x14ac:dyDescent="0.2">
      <c r="B126" s="6" t="s">
        <v>724</v>
      </c>
      <c r="C126" s="6" t="s">
        <v>725</v>
      </c>
      <c r="D126" s="20"/>
      <c r="E126" s="39">
        <v>125</v>
      </c>
      <c r="G126" s="16" t="s">
        <v>940</v>
      </c>
    </row>
    <row r="127" spans="2:7" x14ac:dyDescent="0.2">
      <c r="B127" s="6" t="s">
        <v>718</v>
      </c>
      <c r="C127" s="6" t="s">
        <v>719</v>
      </c>
      <c r="D127" s="20"/>
      <c r="E127" s="39">
        <v>169</v>
      </c>
      <c r="G127" s="16" t="s">
        <v>940</v>
      </c>
    </row>
    <row r="128" spans="2:7" x14ac:dyDescent="0.2">
      <c r="B128" s="6" t="s">
        <v>740</v>
      </c>
      <c r="C128" s="6" t="s">
        <v>741</v>
      </c>
      <c r="D128" s="20"/>
      <c r="E128" s="39">
        <v>109</v>
      </c>
      <c r="G128" s="16" t="s">
        <v>940</v>
      </c>
    </row>
    <row r="129" spans="2:7" x14ac:dyDescent="0.2">
      <c r="B129" s="6" t="s">
        <v>706</v>
      </c>
      <c r="C129" s="6" t="s">
        <v>707</v>
      </c>
      <c r="D129" s="20">
        <v>50</v>
      </c>
      <c r="E129" s="39">
        <v>18.8</v>
      </c>
      <c r="G129" s="16" t="s">
        <v>940</v>
      </c>
    </row>
    <row r="130" spans="2:7" x14ac:dyDescent="0.2">
      <c r="B130" s="6" t="s">
        <v>702</v>
      </c>
      <c r="C130" s="6" t="s">
        <v>703</v>
      </c>
      <c r="D130" s="20">
        <v>50</v>
      </c>
      <c r="E130" s="39">
        <v>8.1999999999999993</v>
      </c>
      <c r="G130" s="16" t="s">
        <v>940</v>
      </c>
    </row>
    <row r="131" spans="2:7" x14ac:dyDescent="0.2">
      <c r="B131" s="6" t="s">
        <v>708</v>
      </c>
      <c r="C131" s="6" t="s">
        <v>709</v>
      </c>
      <c r="D131" s="20">
        <v>50</v>
      </c>
      <c r="E131" s="39">
        <v>38.799999999999997</v>
      </c>
      <c r="G131" s="16" t="s">
        <v>940</v>
      </c>
    </row>
    <row r="132" spans="2:7" x14ac:dyDescent="0.2">
      <c r="B132" s="6" t="s">
        <v>712</v>
      </c>
      <c r="C132" s="6" t="s">
        <v>713</v>
      </c>
      <c r="D132" s="20">
        <v>50</v>
      </c>
      <c r="E132" s="39">
        <v>31</v>
      </c>
      <c r="G132" s="16" t="s">
        <v>940</v>
      </c>
    </row>
    <row r="133" spans="2:7" x14ac:dyDescent="0.2">
      <c r="B133" s="6" t="s">
        <v>704</v>
      </c>
      <c r="C133" s="6" t="s">
        <v>705</v>
      </c>
      <c r="D133" s="20">
        <v>50</v>
      </c>
      <c r="E133" s="39">
        <v>8.1999999999999993</v>
      </c>
      <c r="G133" s="16" t="s">
        <v>940</v>
      </c>
    </row>
    <row r="134" spans="2:7" x14ac:dyDescent="0.2">
      <c r="B134" s="6" t="s">
        <v>710</v>
      </c>
      <c r="C134" s="6" t="s">
        <v>711</v>
      </c>
      <c r="D134" s="20">
        <v>50</v>
      </c>
      <c r="E134" s="39">
        <v>38.799999999999997</v>
      </c>
      <c r="G134" s="16" t="s">
        <v>940</v>
      </c>
    </row>
    <row r="135" spans="2:7" x14ac:dyDescent="0.2">
      <c r="B135" s="6" t="s">
        <v>742</v>
      </c>
      <c r="C135" s="6" t="s">
        <v>743</v>
      </c>
      <c r="D135" s="20"/>
      <c r="E135" s="39">
        <v>54.9</v>
      </c>
      <c r="G135" s="16" t="s">
        <v>940</v>
      </c>
    </row>
    <row r="136" spans="2:7" x14ac:dyDescent="0.2">
      <c r="B136" s="6" t="s">
        <v>744</v>
      </c>
      <c r="C136" s="6" t="s">
        <v>745</v>
      </c>
      <c r="D136" s="20"/>
      <c r="E136" s="39">
        <v>54.9</v>
      </c>
      <c r="G136" s="16" t="s">
        <v>940</v>
      </c>
    </row>
    <row r="137" spans="2:7" x14ac:dyDescent="0.2">
      <c r="B137" s="6" t="s">
        <v>738</v>
      </c>
      <c r="C137" s="6" t="s">
        <v>739</v>
      </c>
      <c r="D137" s="20"/>
      <c r="E137" s="39">
        <v>32.9</v>
      </c>
      <c r="G137" s="16" t="s">
        <v>940</v>
      </c>
    </row>
    <row r="138" spans="2:7" x14ac:dyDescent="0.2">
      <c r="B138" s="6" t="s">
        <v>730</v>
      </c>
      <c r="C138" s="6" t="s">
        <v>731</v>
      </c>
      <c r="D138" s="20"/>
      <c r="E138" s="39">
        <v>31</v>
      </c>
      <c r="G138" s="16" t="s">
        <v>940</v>
      </c>
    </row>
    <row r="139" spans="2:7" x14ac:dyDescent="0.2">
      <c r="B139" s="6" t="s">
        <v>716</v>
      </c>
      <c r="C139" s="6" t="s">
        <v>717</v>
      </c>
      <c r="D139" s="20"/>
      <c r="E139" s="39">
        <v>161</v>
      </c>
      <c r="G139" s="16" t="s">
        <v>940</v>
      </c>
    </row>
    <row r="140" spans="2:7" x14ac:dyDescent="0.2">
      <c r="B140" s="6" t="s">
        <v>762</v>
      </c>
      <c r="C140" s="6" t="s">
        <v>763</v>
      </c>
      <c r="D140" s="20"/>
      <c r="E140" s="39">
        <v>858.8</v>
      </c>
      <c r="G140" s="16" t="s">
        <v>940</v>
      </c>
    </row>
    <row r="141" spans="2:7" x14ac:dyDescent="0.2">
      <c r="B141" s="6" t="s">
        <v>750</v>
      </c>
      <c r="C141" s="6" t="s">
        <v>751</v>
      </c>
      <c r="D141" s="20"/>
      <c r="E141" s="39">
        <v>2140.9</v>
      </c>
      <c r="G141" s="16" t="s">
        <v>940</v>
      </c>
    </row>
    <row r="142" spans="2:7" x14ac:dyDescent="0.2">
      <c r="B142" s="6" t="s">
        <v>770</v>
      </c>
      <c r="C142" s="6" t="s">
        <v>771</v>
      </c>
      <c r="D142" s="20"/>
      <c r="E142" s="39">
        <v>25000</v>
      </c>
      <c r="G142" s="16" t="s">
        <v>940</v>
      </c>
    </row>
    <row r="143" spans="2:7" x14ac:dyDescent="0.2">
      <c r="B143" s="6" t="s">
        <v>760</v>
      </c>
      <c r="C143" s="6" t="s">
        <v>761</v>
      </c>
      <c r="D143" s="20"/>
      <c r="E143" s="39">
        <v>3800.32</v>
      </c>
      <c r="G143" s="16" t="s">
        <v>940</v>
      </c>
    </row>
    <row r="144" spans="2:7" x14ac:dyDescent="0.2">
      <c r="B144" s="6" t="s">
        <v>758</v>
      </c>
      <c r="C144" s="6" t="s">
        <v>759</v>
      </c>
      <c r="D144" s="20">
        <v>3</v>
      </c>
      <c r="E144" s="39">
        <v>4530.2</v>
      </c>
      <c r="G144" s="16" t="s">
        <v>940</v>
      </c>
    </row>
    <row r="145" spans="2:7" x14ac:dyDescent="0.2">
      <c r="B145" s="6" t="s">
        <v>768</v>
      </c>
      <c r="C145" s="6" t="s">
        <v>769</v>
      </c>
      <c r="D145" s="20"/>
      <c r="E145" s="39">
        <v>17432.09</v>
      </c>
      <c r="G145" s="16" t="s">
        <v>940</v>
      </c>
    </row>
    <row r="146" spans="2:7" x14ac:dyDescent="0.2">
      <c r="B146" s="6" t="s">
        <v>754</v>
      </c>
      <c r="C146" s="6" t="s">
        <v>755</v>
      </c>
      <c r="D146" s="20"/>
      <c r="E146" s="39">
        <v>974.3</v>
      </c>
      <c r="G146" s="16" t="s">
        <v>940</v>
      </c>
    </row>
    <row r="147" spans="2:7" x14ac:dyDescent="0.2">
      <c r="B147" s="6" t="s">
        <v>748</v>
      </c>
      <c r="C147" s="6" t="s">
        <v>749</v>
      </c>
      <c r="D147" s="20"/>
      <c r="E147" s="39">
        <v>423.93</v>
      </c>
      <c r="G147" s="16" t="s">
        <v>940</v>
      </c>
    </row>
    <row r="148" spans="2:7" x14ac:dyDescent="0.2">
      <c r="B148" s="6" t="s">
        <v>766</v>
      </c>
      <c r="C148" s="6" t="s">
        <v>767</v>
      </c>
      <c r="D148" s="20"/>
      <c r="E148" s="39">
        <v>9052.02</v>
      </c>
      <c r="G148" s="16" t="s">
        <v>940</v>
      </c>
    </row>
    <row r="149" spans="2:7" x14ac:dyDescent="0.2">
      <c r="B149" s="6" t="s">
        <v>752</v>
      </c>
      <c r="C149" s="6" t="s">
        <v>753</v>
      </c>
      <c r="D149" s="20"/>
      <c r="E149" s="39">
        <v>455.08</v>
      </c>
      <c r="G149" s="16" t="s">
        <v>940</v>
      </c>
    </row>
    <row r="150" spans="2:7" x14ac:dyDescent="0.2">
      <c r="B150" s="6" t="s">
        <v>756</v>
      </c>
      <c r="C150" s="6" t="s">
        <v>757</v>
      </c>
      <c r="D150" s="20"/>
      <c r="E150" s="39">
        <v>5850.31</v>
      </c>
      <c r="G150" s="16" t="s">
        <v>940</v>
      </c>
    </row>
    <row r="151" spans="2:7" x14ac:dyDescent="0.2">
      <c r="B151" s="6" t="s">
        <v>764</v>
      </c>
      <c r="C151" s="6" t="s">
        <v>765</v>
      </c>
      <c r="D151" s="20"/>
      <c r="E151" s="39">
        <v>2809.5</v>
      </c>
      <c r="G151" s="16" t="s">
        <v>940</v>
      </c>
    </row>
    <row r="152" spans="2:7" x14ac:dyDescent="0.2">
      <c r="B152" s="6" t="s">
        <v>459</v>
      </c>
      <c r="C152" s="6" t="s">
        <v>460</v>
      </c>
      <c r="D152" s="20"/>
      <c r="E152" s="39"/>
      <c r="G152" s="16" t="s">
        <v>940</v>
      </c>
    </row>
    <row r="153" spans="2:7" x14ac:dyDescent="0.2">
      <c r="B153" s="6" t="s">
        <v>315</v>
      </c>
      <c r="C153" s="6" t="s">
        <v>316</v>
      </c>
      <c r="D153" s="20"/>
      <c r="E153" s="39"/>
      <c r="G153" s="16" t="s">
        <v>940</v>
      </c>
    </row>
    <row r="154" spans="2:7" x14ac:dyDescent="0.2">
      <c r="B154" s="6" t="s">
        <v>319</v>
      </c>
      <c r="C154" s="6" t="s">
        <v>320</v>
      </c>
      <c r="D154" s="20"/>
      <c r="E154" s="39"/>
      <c r="G154" s="16" t="s">
        <v>940</v>
      </c>
    </row>
    <row r="155" spans="2:7" x14ac:dyDescent="0.2">
      <c r="B155" s="6" t="s">
        <v>169</v>
      </c>
      <c r="C155" s="6" t="s">
        <v>170</v>
      </c>
      <c r="D155" s="20"/>
      <c r="E155" s="39">
        <v>120</v>
      </c>
      <c r="G155" s="16" t="s">
        <v>940</v>
      </c>
    </row>
    <row r="156" spans="2:7" x14ac:dyDescent="0.2">
      <c r="B156" s="6" t="s">
        <v>285</v>
      </c>
      <c r="C156" s="6" t="s">
        <v>286</v>
      </c>
      <c r="D156" s="20"/>
      <c r="E156" s="39">
        <v>6800</v>
      </c>
      <c r="G156" s="16" t="s">
        <v>940</v>
      </c>
    </row>
    <row r="157" spans="2:7" x14ac:dyDescent="0.2">
      <c r="B157" s="6" t="s">
        <v>433</v>
      </c>
      <c r="C157" s="6" t="s">
        <v>434</v>
      </c>
      <c r="D157" s="20"/>
      <c r="E157" s="39">
        <v>69.989999999999995</v>
      </c>
      <c r="G157" s="16" t="s">
        <v>940</v>
      </c>
    </row>
    <row r="158" spans="2:7" x14ac:dyDescent="0.2">
      <c r="B158" s="6" t="s">
        <v>475</v>
      </c>
      <c r="C158" s="6" t="s">
        <v>476</v>
      </c>
      <c r="D158" s="20"/>
      <c r="E158" s="39"/>
      <c r="G158" s="16" t="s">
        <v>940</v>
      </c>
    </row>
    <row r="159" spans="2:7" x14ac:dyDescent="0.2">
      <c r="B159" s="6" t="s">
        <v>413</v>
      </c>
      <c r="C159" s="6" t="s">
        <v>414</v>
      </c>
      <c r="D159" s="20"/>
      <c r="E159" s="39"/>
      <c r="G159" s="16" t="s">
        <v>940</v>
      </c>
    </row>
    <row r="160" spans="2:7" x14ac:dyDescent="0.2">
      <c r="B160" s="6" t="s">
        <v>411</v>
      </c>
      <c r="C160" s="6" t="s">
        <v>412</v>
      </c>
      <c r="D160" s="20"/>
      <c r="E160" s="39"/>
      <c r="G160" s="16" t="s">
        <v>940</v>
      </c>
    </row>
    <row r="161" spans="2:7" x14ac:dyDescent="0.2">
      <c r="B161" s="6" t="s">
        <v>101</v>
      </c>
      <c r="C161" s="6" t="s">
        <v>102</v>
      </c>
      <c r="D161" s="20"/>
      <c r="E161" s="39">
        <v>79</v>
      </c>
      <c r="G161" s="16" t="s">
        <v>940</v>
      </c>
    </row>
    <row r="162" spans="2:7" x14ac:dyDescent="0.2">
      <c r="B162" s="6" t="s">
        <v>99</v>
      </c>
      <c r="C162" s="6" t="s">
        <v>100</v>
      </c>
      <c r="D162" s="20"/>
      <c r="E162" s="39">
        <v>97</v>
      </c>
      <c r="G162" s="16" t="s">
        <v>940</v>
      </c>
    </row>
    <row r="163" spans="2:7" x14ac:dyDescent="0.2">
      <c r="B163" s="6" t="s">
        <v>79</v>
      </c>
      <c r="C163" s="6" t="s">
        <v>80</v>
      </c>
      <c r="D163" s="20"/>
      <c r="E163" s="39">
        <v>1382.53</v>
      </c>
      <c r="G163" s="16" t="s">
        <v>940</v>
      </c>
    </row>
    <row r="164" spans="2:7" x14ac:dyDescent="0.2">
      <c r="B164" s="6" t="s">
        <v>163</v>
      </c>
      <c r="C164" s="6" t="s">
        <v>164</v>
      </c>
      <c r="D164" s="20"/>
      <c r="E164" s="39">
        <v>120</v>
      </c>
      <c r="G164" s="16" t="s">
        <v>940</v>
      </c>
    </row>
    <row r="165" spans="2:7" x14ac:dyDescent="0.2">
      <c r="B165" s="6" t="s">
        <v>149</v>
      </c>
      <c r="C165" s="6" t="s">
        <v>150</v>
      </c>
      <c r="D165" s="20"/>
      <c r="E165" s="39">
        <v>152</v>
      </c>
      <c r="G165" s="16" t="s">
        <v>940</v>
      </c>
    </row>
    <row r="166" spans="2:7" x14ac:dyDescent="0.2">
      <c r="B166" s="6" t="s">
        <v>151</v>
      </c>
      <c r="C166" s="6" t="s">
        <v>152</v>
      </c>
      <c r="D166" s="20"/>
      <c r="E166" s="39">
        <v>125</v>
      </c>
      <c r="G166" s="16" t="s">
        <v>940</v>
      </c>
    </row>
    <row r="167" spans="2:7" x14ac:dyDescent="0.2">
      <c r="B167" s="6" t="s">
        <v>473</v>
      </c>
      <c r="C167" s="6" t="s">
        <v>474</v>
      </c>
      <c r="D167" s="20"/>
      <c r="E167" s="39"/>
      <c r="G167" s="16" t="s">
        <v>940</v>
      </c>
    </row>
    <row r="168" spans="2:7" x14ac:dyDescent="0.2">
      <c r="B168" s="6" t="s">
        <v>465</v>
      </c>
      <c r="C168" s="6" t="s">
        <v>466</v>
      </c>
      <c r="D168" s="20"/>
      <c r="E168" s="39"/>
      <c r="G168" s="16" t="s">
        <v>940</v>
      </c>
    </row>
    <row r="169" spans="2:7" x14ac:dyDescent="0.2">
      <c r="B169" s="6" t="s">
        <v>167</v>
      </c>
      <c r="C169" s="6" t="s">
        <v>168</v>
      </c>
      <c r="D169" s="20"/>
      <c r="E169" s="39">
        <v>145</v>
      </c>
      <c r="G169" s="16" t="s">
        <v>940</v>
      </c>
    </row>
    <row r="170" spans="2:7" x14ac:dyDescent="0.2">
      <c r="B170" s="6" t="s">
        <v>259</v>
      </c>
      <c r="C170" s="6" t="s">
        <v>260</v>
      </c>
      <c r="D170" s="20"/>
      <c r="E170" s="39">
        <v>329</v>
      </c>
      <c r="G170" s="16" t="s">
        <v>940</v>
      </c>
    </row>
    <row r="171" spans="2:7" x14ac:dyDescent="0.2">
      <c r="B171" s="6" t="s">
        <v>453</v>
      </c>
      <c r="C171" s="6" t="s">
        <v>454</v>
      </c>
      <c r="D171" s="20"/>
      <c r="E171" s="39"/>
      <c r="G171" s="16" t="s">
        <v>940</v>
      </c>
    </row>
    <row r="172" spans="2:7" x14ac:dyDescent="0.2">
      <c r="B172" s="6" t="s">
        <v>463</v>
      </c>
      <c r="C172" s="6" t="s">
        <v>464</v>
      </c>
      <c r="D172" s="20"/>
      <c r="E172" s="39"/>
      <c r="G172" s="16" t="s">
        <v>940</v>
      </c>
    </row>
    <row r="173" spans="2:7" x14ac:dyDescent="0.2">
      <c r="B173" s="6" t="s">
        <v>251</v>
      </c>
      <c r="C173" s="6" t="s">
        <v>252</v>
      </c>
      <c r="D173" s="20"/>
      <c r="E173" s="39"/>
      <c r="G173" s="16" t="s">
        <v>940</v>
      </c>
    </row>
    <row r="174" spans="2:7" x14ac:dyDescent="0.2">
      <c r="B174" s="6" t="s">
        <v>447</v>
      </c>
      <c r="C174" s="6" t="s">
        <v>448</v>
      </c>
      <c r="D174" s="20"/>
      <c r="E174" s="39"/>
      <c r="G174" s="16" t="s">
        <v>940</v>
      </c>
    </row>
    <row r="175" spans="2:7" x14ac:dyDescent="0.2">
      <c r="B175" s="6" t="s">
        <v>247</v>
      </c>
      <c r="C175" s="6" t="s">
        <v>248</v>
      </c>
      <c r="D175" s="20"/>
      <c r="E175" s="39"/>
      <c r="G175" s="16" t="s">
        <v>940</v>
      </c>
    </row>
    <row r="176" spans="2:7" x14ac:dyDescent="0.2">
      <c r="B176" s="6" t="s">
        <v>249</v>
      </c>
      <c r="C176" s="6" t="s">
        <v>250</v>
      </c>
      <c r="D176" s="20"/>
      <c r="E176" s="39"/>
      <c r="G176" s="16" t="s">
        <v>940</v>
      </c>
    </row>
    <row r="177" spans="2:7" x14ac:dyDescent="0.2">
      <c r="B177" s="6" t="s">
        <v>243</v>
      </c>
      <c r="C177" s="6" t="s">
        <v>244</v>
      </c>
      <c r="D177" s="20"/>
      <c r="E177" s="39"/>
      <c r="G177" s="16" t="s">
        <v>940</v>
      </c>
    </row>
    <row r="178" spans="2:7" x14ac:dyDescent="0.2">
      <c r="B178" s="6" t="s">
        <v>241</v>
      </c>
      <c r="C178" s="6" t="s">
        <v>242</v>
      </c>
      <c r="D178" s="20"/>
      <c r="E178" s="39"/>
      <c r="G178" s="16" t="s">
        <v>940</v>
      </c>
    </row>
    <row r="179" spans="2:7" x14ac:dyDescent="0.2">
      <c r="B179" s="6" t="s">
        <v>445</v>
      </c>
      <c r="C179" s="6" t="s">
        <v>446</v>
      </c>
      <c r="D179" s="20"/>
      <c r="E179" s="39"/>
      <c r="G179" s="16" t="s">
        <v>940</v>
      </c>
    </row>
    <row r="180" spans="2:7" x14ac:dyDescent="0.2">
      <c r="B180" s="6" t="s">
        <v>245</v>
      </c>
      <c r="C180" s="6" t="s">
        <v>246</v>
      </c>
      <c r="D180" s="20"/>
      <c r="E180" s="39"/>
      <c r="G180" s="16" t="s">
        <v>940</v>
      </c>
    </row>
    <row r="181" spans="2:7" x14ac:dyDescent="0.2">
      <c r="B181" s="6" t="s">
        <v>121</v>
      </c>
      <c r="C181" s="6" t="s">
        <v>122</v>
      </c>
      <c r="D181" s="20"/>
      <c r="E181" s="39"/>
      <c r="G181" s="16" t="s">
        <v>940</v>
      </c>
    </row>
    <row r="182" spans="2:7" x14ac:dyDescent="0.2">
      <c r="B182" s="6" t="s">
        <v>239</v>
      </c>
      <c r="C182" s="6" t="s">
        <v>240</v>
      </c>
      <c r="D182" s="20"/>
      <c r="E182" s="39"/>
      <c r="G182" s="16" t="s">
        <v>940</v>
      </c>
    </row>
    <row r="183" spans="2:7" x14ac:dyDescent="0.2">
      <c r="B183" s="6" t="s">
        <v>119</v>
      </c>
      <c r="C183" s="6" t="s">
        <v>120</v>
      </c>
      <c r="D183" s="20"/>
      <c r="E183" s="39"/>
      <c r="G183" s="16" t="s">
        <v>940</v>
      </c>
    </row>
    <row r="184" spans="2:7" x14ac:dyDescent="0.2">
      <c r="B184" s="6" t="s">
        <v>237</v>
      </c>
      <c r="C184" s="6" t="s">
        <v>238</v>
      </c>
      <c r="D184" s="20"/>
      <c r="E184" s="39"/>
      <c r="G184" s="16" t="s">
        <v>940</v>
      </c>
    </row>
    <row r="185" spans="2:7" x14ac:dyDescent="0.2">
      <c r="B185" s="6" t="s">
        <v>233</v>
      </c>
      <c r="C185" s="6" t="s">
        <v>234</v>
      </c>
      <c r="D185" s="20"/>
      <c r="E185" s="39"/>
      <c r="G185" s="16" t="s">
        <v>940</v>
      </c>
    </row>
    <row r="186" spans="2:7" x14ac:dyDescent="0.2">
      <c r="B186" s="6" t="s">
        <v>235</v>
      </c>
      <c r="C186" s="6" t="s">
        <v>236</v>
      </c>
      <c r="D186" s="20"/>
      <c r="E186" s="39"/>
      <c r="G186" s="16" t="s">
        <v>940</v>
      </c>
    </row>
    <row r="187" spans="2:7" x14ac:dyDescent="0.2">
      <c r="B187" s="6" t="s">
        <v>231</v>
      </c>
      <c r="C187" s="6" t="s">
        <v>232</v>
      </c>
      <c r="D187" s="20"/>
      <c r="E187" s="39"/>
      <c r="G187" s="16" t="s">
        <v>940</v>
      </c>
    </row>
    <row r="188" spans="2:7" x14ac:dyDescent="0.2">
      <c r="B188" s="6" t="s">
        <v>295</v>
      </c>
      <c r="C188" s="6" t="s">
        <v>296</v>
      </c>
      <c r="D188" s="20"/>
      <c r="E188" s="39"/>
      <c r="G188" s="16" t="s">
        <v>940</v>
      </c>
    </row>
    <row r="189" spans="2:7" x14ac:dyDescent="0.2">
      <c r="B189" s="6" t="s">
        <v>69</v>
      </c>
      <c r="C189" s="6" t="s">
        <v>70</v>
      </c>
      <c r="D189" s="20"/>
      <c r="E189" s="39">
        <v>650</v>
      </c>
      <c r="G189" s="16" t="s">
        <v>940</v>
      </c>
    </row>
    <row r="190" spans="2:7" x14ac:dyDescent="0.2">
      <c r="B190" s="6" t="s">
        <v>47</v>
      </c>
      <c r="C190" s="6" t="s">
        <v>48</v>
      </c>
      <c r="D190" s="20">
        <v>50</v>
      </c>
      <c r="E190" s="39">
        <v>14.77</v>
      </c>
      <c r="G190" s="16" t="s">
        <v>940</v>
      </c>
    </row>
    <row r="191" spans="2:7" x14ac:dyDescent="0.2">
      <c r="B191" s="6" t="s">
        <v>43</v>
      </c>
      <c r="C191" s="6" t="s">
        <v>44</v>
      </c>
      <c r="D191" s="20">
        <v>50</v>
      </c>
      <c r="E191" s="39">
        <v>22.886800000000001</v>
      </c>
      <c r="G191" s="16" t="s">
        <v>940</v>
      </c>
    </row>
    <row r="192" spans="2:7" x14ac:dyDescent="0.2">
      <c r="B192" s="6" t="s">
        <v>125</v>
      </c>
      <c r="C192" s="6" t="s">
        <v>126</v>
      </c>
      <c r="D192" s="20"/>
      <c r="E192" s="39">
        <v>911</v>
      </c>
      <c r="G192" s="16" t="s">
        <v>940</v>
      </c>
    </row>
    <row r="193" spans="2:7" x14ac:dyDescent="0.2">
      <c r="B193" s="6" t="s">
        <v>223</v>
      </c>
      <c r="C193" s="6" t="s">
        <v>224</v>
      </c>
      <c r="D193" s="20"/>
      <c r="E193" s="39"/>
      <c r="G193" s="16" t="s">
        <v>940</v>
      </c>
    </row>
    <row r="194" spans="2:7" x14ac:dyDescent="0.2">
      <c r="B194" s="6" t="s">
        <v>289</v>
      </c>
      <c r="C194" s="6" t="s">
        <v>290</v>
      </c>
      <c r="D194" s="20">
        <v>9</v>
      </c>
      <c r="E194" s="39">
        <v>35</v>
      </c>
      <c r="G194" s="16" t="s">
        <v>940</v>
      </c>
    </row>
    <row r="195" spans="2:7" x14ac:dyDescent="0.2">
      <c r="B195" s="6" t="s">
        <v>291</v>
      </c>
      <c r="C195" s="6" t="s">
        <v>292</v>
      </c>
      <c r="D195" s="20">
        <v>9</v>
      </c>
      <c r="E195" s="39">
        <v>203</v>
      </c>
      <c r="G195" s="16" t="s">
        <v>940</v>
      </c>
    </row>
    <row r="196" spans="2:7" x14ac:dyDescent="0.2">
      <c r="B196" s="6" t="s">
        <v>129</v>
      </c>
      <c r="C196" s="6" t="s">
        <v>130</v>
      </c>
      <c r="D196" s="20">
        <v>9</v>
      </c>
      <c r="E196" s="39">
        <v>49</v>
      </c>
      <c r="G196" s="16" t="s">
        <v>940</v>
      </c>
    </row>
    <row r="197" spans="2:7" x14ac:dyDescent="0.2">
      <c r="B197" s="6" t="s">
        <v>287</v>
      </c>
      <c r="C197" s="6" t="s">
        <v>288</v>
      </c>
      <c r="D197" s="20">
        <v>9</v>
      </c>
      <c r="E197" s="39">
        <v>35</v>
      </c>
      <c r="G197" s="16" t="s">
        <v>940</v>
      </c>
    </row>
    <row r="198" spans="2:7" x14ac:dyDescent="0.2">
      <c r="B198" s="6" t="s">
        <v>402</v>
      </c>
      <c r="C198" s="6" t="s">
        <v>403</v>
      </c>
      <c r="D198" s="20"/>
      <c r="E198" s="39">
        <v>119</v>
      </c>
      <c r="G198" s="16" t="s">
        <v>940</v>
      </c>
    </row>
    <row r="199" spans="2:7" x14ac:dyDescent="0.2">
      <c r="B199" s="6" t="s">
        <v>189</v>
      </c>
      <c r="C199" s="6" t="s">
        <v>190</v>
      </c>
      <c r="D199" s="20"/>
      <c r="E199" s="39">
        <v>368</v>
      </c>
      <c r="G199" s="16" t="s">
        <v>940</v>
      </c>
    </row>
    <row r="200" spans="2:7" x14ac:dyDescent="0.2">
      <c r="B200" s="6" t="s">
        <v>191</v>
      </c>
      <c r="C200" s="6" t="s">
        <v>192</v>
      </c>
      <c r="D200" s="20"/>
      <c r="E200" s="39">
        <v>186</v>
      </c>
      <c r="G200" s="16" t="s">
        <v>940</v>
      </c>
    </row>
    <row r="201" spans="2:7" x14ac:dyDescent="0.2">
      <c r="B201" s="6" t="s">
        <v>193</v>
      </c>
      <c r="C201" s="6" t="s">
        <v>194</v>
      </c>
      <c r="D201" s="20"/>
      <c r="E201" s="39">
        <v>145</v>
      </c>
      <c r="G201" s="16" t="s">
        <v>940</v>
      </c>
    </row>
    <row r="202" spans="2:7" x14ac:dyDescent="0.2">
      <c r="B202" s="6" t="s">
        <v>400</v>
      </c>
      <c r="C202" s="6" t="s">
        <v>401</v>
      </c>
      <c r="D202" s="20"/>
      <c r="E202" s="39">
        <v>93.75</v>
      </c>
      <c r="G202" s="16" t="s">
        <v>940</v>
      </c>
    </row>
    <row r="203" spans="2:7" x14ac:dyDescent="0.2">
      <c r="B203" s="6" t="s">
        <v>199</v>
      </c>
      <c r="C203" s="6" t="s">
        <v>200</v>
      </c>
      <c r="D203" s="20"/>
      <c r="E203" s="39">
        <v>165</v>
      </c>
      <c r="G203" s="16" t="s">
        <v>940</v>
      </c>
    </row>
    <row r="204" spans="2:7" x14ac:dyDescent="0.2">
      <c r="B204" s="6" t="s">
        <v>205</v>
      </c>
      <c r="C204" s="6" t="s">
        <v>206</v>
      </c>
      <c r="D204" s="20"/>
      <c r="E204" s="39">
        <v>125</v>
      </c>
      <c r="G204" s="16" t="s">
        <v>940</v>
      </c>
    </row>
    <row r="205" spans="2:7" x14ac:dyDescent="0.2">
      <c r="B205" s="6" t="s">
        <v>207</v>
      </c>
      <c r="C205" s="6" t="s">
        <v>208</v>
      </c>
      <c r="D205" s="20"/>
      <c r="E205" s="39">
        <v>129</v>
      </c>
      <c r="G205" s="16" t="s">
        <v>940</v>
      </c>
    </row>
    <row r="206" spans="2:7" x14ac:dyDescent="0.2">
      <c r="B206" s="6" t="s">
        <v>171</v>
      </c>
      <c r="C206" s="6" t="s">
        <v>172</v>
      </c>
      <c r="D206" s="20"/>
      <c r="E206" s="39">
        <v>300</v>
      </c>
      <c r="G206" s="16" t="s">
        <v>940</v>
      </c>
    </row>
    <row r="207" spans="2:7" x14ac:dyDescent="0.2">
      <c r="B207" s="6" t="s">
        <v>409</v>
      </c>
      <c r="C207" s="6" t="s">
        <v>410</v>
      </c>
      <c r="D207" s="20"/>
      <c r="E207" s="39"/>
      <c r="G207" s="16" t="s">
        <v>940</v>
      </c>
    </row>
    <row r="208" spans="2:7" x14ac:dyDescent="0.2">
      <c r="B208" s="6" t="s">
        <v>105</v>
      </c>
      <c r="C208" s="6" t="s">
        <v>106</v>
      </c>
      <c r="D208" s="20"/>
      <c r="E208" s="39">
        <v>167</v>
      </c>
      <c r="G208" s="16" t="s">
        <v>940</v>
      </c>
    </row>
    <row r="209" spans="2:7" x14ac:dyDescent="0.2">
      <c r="B209" s="6" t="s">
        <v>103</v>
      </c>
      <c r="C209" s="6" t="s">
        <v>104</v>
      </c>
      <c r="D209" s="20"/>
      <c r="E209" s="39">
        <v>78</v>
      </c>
      <c r="G209" s="16" t="s">
        <v>940</v>
      </c>
    </row>
    <row r="210" spans="2:7" x14ac:dyDescent="0.2">
      <c r="B210" s="6" t="s">
        <v>139</v>
      </c>
      <c r="C210" s="6" t="s">
        <v>140</v>
      </c>
      <c r="D210" s="20"/>
      <c r="E210" s="39">
        <v>45</v>
      </c>
      <c r="G210" s="16" t="s">
        <v>940</v>
      </c>
    </row>
    <row r="211" spans="2:7" x14ac:dyDescent="0.2">
      <c r="B211" s="6" t="s">
        <v>141</v>
      </c>
      <c r="C211" s="6" t="s">
        <v>142</v>
      </c>
      <c r="D211" s="20"/>
      <c r="E211" s="39">
        <v>105</v>
      </c>
      <c r="G211" s="16" t="s">
        <v>940</v>
      </c>
    </row>
    <row r="212" spans="2:7" x14ac:dyDescent="0.2">
      <c r="B212" s="6" t="s">
        <v>451</v>
      </c>
      <c r="C212" s="6" t="s">
        <v>452</v>
      </c>
      <c r="D212" s="20"/>
      <c r="E212" s="39"/>
      <c r="G212" s="16" t="s">
        <v>940</v>
      </c>
    </row>
    <row r="213" spans="2:7" x14ac:dyDescent="0.2">
      <c r="B213" s="6" t="s">
        <v>131</v>
      </c>
      <c r="C213" s="6" t="s">
        <v>132</v>
      </c>
      <c r="D213" s="20"/>
      <c r="E213" s="39">
        <v>72</v>
      </c>
      <c r="G213" s="16" t="s">
        <v>940</v>
      </c>
    </row>
    <row r="214" spans="2:7" x14ac:dyDescent="0.2">
      <c r="B214" s="6" t="s">
        <v>461</v>
      </c>
      <c r="C214" s="6" t="s">
        <v>462</v>
      </c>
      <c r="D214" s="20"/>
      <c r="E214" s="39"/>
      <c r="G214" s="16" t="s">
        <v>940</v>
      </c>
    </row>
    <row r="215" spans="2:7" x14ac:dyDescent="0.2">
      <c r="B215" s="6" t="s">
        <v>65</v>
      </c>
      <c r="C215" s="6" t="s">
        <v>66</v>
      </c>
      <c r="D215" s="20"/>
      <c r="E215" s="39">
        <v>620</v>
      </c>
      <c r="G215" s="16" t="s">
        <v>940</v>
      </c>
    </row>
    <row r="216" spans="2:7" x14ac:dyDescent="0.2">
      <c r="B216" s="6" t="s">
        <v>325</v>
      </c>
      <c r="C216" s="6" t="s">
        <v>326</v>
      </c>
      <c r="D216" s="20"/>
      <c r="E216" s="39"/>
      <c r="G216" s="16" t="s">
        <v>940</v>
      </c>
    </row>
    <row r="217" spans="2:7" x14ac:dyDescent="0.2">
      <c r="B217" s="6" t="s">
        <v>317</v>
      </c>
      <c r="C217" s="6" t="s">
        <v>318</v>
      </c>
      <c r="D217" s="20"/>
      <c r="E217" s="39"/>
      <c r="G217" s="16" t="s">
        <v>940</v>
      </c>
    </row>
    <row r="218" spans="2:7" x14ac:dyDescent="0.2">
      <c r="B218" s="6" t="s">
        <v>147</v>
      </c>
      <c r="C218" s="6" t="s">
        <v>148</v>
      </c>
      <c r="D218" s="20"/>
      <c r="E218" s="39">
        <v>49</v>
      </c>
      <c r="G218" s="16" t="s">
        <v>940</v>
      </c>
    </row>
    <row r="219" spans="2:7" x14ac:dyDescent="0.2">
      <c r="B219" s="6" t="s">
        <v>201</v>
      </c>
      <c r="C219" s="6" t="s">
        <v>202</v>
      </c>
      <c r="D219" s="20"/>
      <c r="E219" s="39">
        <v>35</v>
      </c>
      <c r="G219" s="16" t="s">
        <v>940</v>
      </c>
    </row>
    <row r="220" spans="2:7" x14ac:dyDescent="0.2">
      <c r="B220" s="6" t="s">
        <v>329</v>
      </c>
      <c r="C220" s="6" t="s">
        <v>330</v>
      </c>
      <c r="D220" s="20"/>
      <c r="E220" s="39"/>
      <c r="G220" s="16" t="s">
        <v>940</v>
      </c>
    </row>
    <row r="221" spans="2:7" x14ac:dyDescent="0.2">
      <c r="B221" s="6" t="s">
        <v>415</v>
      </c>
      <c r="C221" s="6" t="s">
        <v>416</v>
      </c>
      <c r="D221" s="20"/>
      <c r="E221" s="39">
        <v>5.57</v>
      </c>
      <c r="G221" s="16" t="s">
        <v>940</v>
      </c>
    </row>
    <row r="222" spans="2:7" x14ac:dyDescent="0.2">
      <c r="B222" s="6" t="s">
        <v>313</v>
      </c>
      <c r="C222" s="6" t="s">
        <v>314</v>
      </c>
      <c r="D222" s="20"/>
      <c r="E222" s="39"/>
      <c r="G222" s="16" t="s">
        <v>940</v>
      </c>
    </row>
    <row r="223" spans="2:7" x14ac:dyDescent="0.2">
      <c r="B223" s="6" t="s">
        <v>57</v>
      </c>
      <c r="C223" s="6" t="s">
        <v>58</v>
      </c>
      <c r="D223" s="20"/>
      <c r="E223" s="39">
        <v>88.74</v>
      </c>
      <c r="G223" s="16" t="s">
        <v>940</v>
      </c>
    </row>
    <row r="224" spans="2:7" x14ac:dyDescent="0.2">
      <c r="B224" s="6" t="s">
        <v>175</v>
      </c>
      <c r="C224" s="6" t="s">
        <v>176</v>
      </c>
      <c r="D224" s="20"/>
      <c r="E224" s="39">
        <v>128</v>
      </c>
      <c r="G224" s="16" t="s">
        <v>940</v>
      </c>
    </row>
    <row r="225" spans="2:7" x14ac:dyDescent="0.2">
      <c r="B225" s="6" t="s">
        <v>173</v>
      </c>
      <c r="C225" s="6" t="s">
        <v>174</v>
      </c>
      <c r="D225" s="20"/>
      <c r="E225" s="39">
        <v>139</v>
      </c>
      <c r="G225" s="16" t="s">
        <v>940</v>
      </c>
    </row>
    <row r="226" spans="2:7" x14ac:dyDescent="0.2">
      <c r="B226" s="6" t="s">
        <v>469</v>
      </c>
      <c r="C226" s="6" t="s">
        <v>470</v>
      </c>
      <c r="D226" s="20"/>
      <c r="E226" s="39"/>
      <c r="G226" s="16" t="s">
        <v>940</v>
      </c>
    </row>
    <row r="227" spans="2:7" x14ac:dyDescent="0.2">
      <c r="B227" s="6" t="s">
        <v>123</v>
      </c>
      <c r="C227" s="6" t="s">
        <v>124</v>
      </c>
      <c r="D227" s="20"/>
      <c r="E227" s="39">
        <v>212</v>
      </c>
      <c r="G227" s="16" t="s">
        <v>940</v>
      </c>
    </row>
    <row r="228" spans="2:7" x14ac:dyDescent="0.2">
      <c r="B228" s="6" t="s">
        <v>467</v>
      </c>
      <c r="C228" s="6" t="s">
        <v>468</v>
      </c>
      <c r="D228" s="20"/>
      <c r="E228" s="39"/>
      <c r="G228" s="16" t="s">
        <v>940</v>
      </c>
    </row>
    <row r="229" spans="2:7" x14ac:dyDescent="0.2">
      <c r="B229" s="6" t="s">
        <v>299</v>
      </c>
      <c r="C229" s="6" t="s">
        <v>300</v>
      </c>
      <c r="D229" s="20"/>
      <c r="E229" s="39"/>
      <c r="G229" s="16" t="s">
        <v>940</v>
      </c>
    </row>
    <row r="230" spans="2:7" x14ac:dyDescent="0.2">
      <c r="B230" s="6" t="s">
        <v>301</v>
      </c>
      <c r="C230" s="6" t="s">
        <v>302</v>
      </c>
      <c r="D230" s="20"/>
      <c r="E230" s="39">
        <v>20</v>
      </c>
      <c r="G230" s="16" t="s">
        <v>940</v>
      </c>
    </row>
    <row r="231" spans="2:7" x14ac:dyDescent="0.2">
      <c r="B231" s="6" t="s">
        <v>39</v>
      </c>
      <c r="C231" s="6" t="s">
        <v>40</v>
      </c>
      <c r="D231" s="20"/>
      <c r="E231" s="39">
        <v>3.75</v>
      </c>
      <c r="G231" s="16" t="s">
        <v>940</v>
      </c>
    </row>
    <row r="232" spans="2:7" x14ac:dyDescent="0.2">
      <c r="B232" s="6" t="s">
        <v>75</v>
      </c>
      <c r="C232" s="6" t="s">
        <v>76</v>
      </c>
      <c r="D232" s="20"/>
      <c r="E232" s="39">
        <v>69</v>
      </c>
      <c r="G232" s="16" t="s">
        <v>940</v>
      </c>
    </row>
    <row r="233" spans="2:7" x14ac:dyDescent="0.2">
      <c r="B233" s="6" t="s">
        <v>297</v>
      </c>
      <c r="C233" s="6" t="s">
        <v>298</v>
      </c>
      <c r="D233" s="20"/>
      <c r="E233" s="39">
        <v>300</v>
      </c>
      <c r="G233" s="16" t="s">
        <v>940</v>
      </c>
    </row>
    <row r="234" spans="2:7" x14ac:dyDescent="0.2">
      <c r="B234" s="6" t="s">
        <v>135</v>
      </c>
      <c r="C234" s="6" t="s">
        <v>136</v>
      </c>
      <c r="D234" s="20"/>
      <c r="E234" s="39">
        <v>168.61</v>
      </c>
      <c r="G234" s="16" t="s">
        <v>940</v>
      </c>
    </row>
    <row r="235" spans="2:7" x14ac:dyDescent="0.2">
      <c r="B235" s="6" t="s">
        <v>133</v>
      </c>
      <c r="C235" s="6" t="s">
        <v>134</v>
      </c>
      <c r="D235" s="20"/>
      <c r="E235" s="39">
        <v>168.61</v>
      </c>
      <c r="G235" s="16" t="s">
        <v>940</v>
      </c>
    </row>
    <row r="236" spans="2:7" x14ac:dyDescent="0.2">
      <c r="B236" s="11" t="s">
        <v>37</v>
      </c>
      <c r="C236" s="6" t="s">
        <v>38</v>
      </c>
      <c r="D236" s="20"/>
      <c r="E236" s="39">
        <v>2.1800000000000002</v>
      </c>
      <c r="G236" s="16" t="s">
        <v>940</v>
      </c>
    </row>
    <row r="237" spans="2:7" x14ac:dyDescent="0.2">
      <c r="B237" s="6" t="s">
        <v>63</v>
      </c>
      <c r="C237" s="6" t="s">
        <v>64</v>
      </c>
      <c r="D237" s="20"/>
      <c r="E237" s="39">
        <v>3.29</v>
      </c>
      <c r="G237" s="16" t="s">
        <v>940</v>
      </c>
    </row>
    <row r="238" spans="2:7" x14ac:dyDescent="0.2">
      <c r="B238" s="11" t="s">
        <v>35</v>
      </c>
      <c r="C238" s="6" t="s">
        <v>36</v>
      </c>
      <c r="D238" s="20"/>
      <c r="E238" s="39">
        <v>1.75</v>
      </c>
      <c r="G238" s="16" t="s">
        <v>940</v>
      </c>
    </row>
    <row r="239" spans="2:7" x14ac:dyDescent="0.2">
      <c r="B239" s="6" t="s">
        <v>41</v>
      </c>
      <c r="C239" s="6" t="s">
        <v>42</v>
      </c>
      <c r="D239" s="20"/>
      <c r="E239" s="39">
        <v>4.6500000000000004</v>
      </c>
      <c r="G239" s="16" t="s">
        <v>940</v>
      </c>
    </row>
    <row r="240" spans="2:7" x14ac:dyDescent="0.2">
      <c r="B240" s="6" t="s">
        <v>49</v>
      </c>
      <c r="C240" s="6" t="s">
        <v>50</v>
      </c>
      <c r="D240" s="20"/>
      <c r="E240" s="39"/>
      <c r="G240" s="16" t="s">
        <v>940</v>
      </c>
    </row>
    <row r="241" spans="2:7" x14ac:dyDescent="0.2">
      <c r="B241" s="6" t="s">
        <v>257</v>
      </c>
      <c r="C241" s="6" t="s">
        <v>258</v>
      </c>
      <c r="D241" s="20"/>
      <c r="E241" s="39">
        <v>50</v>
      </c>
      <c r="G241" s="16" t="s">
        <v>940</v>
      </c>
    </row>
    <row r="242" spans="2:7" x14ac:dyDescent="0.2">
      <c r="B242" s="6" t="s">
        <v>91</v>
      </c>
      <c r="C242" s="6" t="s">
        <v>92</v>
      </c>
      <c r="D242" s="20"/>
      <c r="E242" s="39">
        <v>39.159999999999997</v>
      </c>
      <c r="G242" s="16" t="s">
        <v>940</v>
      </c>
    </row>
    <row r="243" spans="2:7" x14ac:dyDescent="0.2">
      <c r="B243" s="6" t="s">
        <v>89</v>
      </c>
      <c r="C243" s="6" t="s">
        <v>90</v>
      </c>
      <c r="D243" s="20"/>
      <c r="E243" s="39">
        <v>39.159999999999997</v>
      </c>
      <c r="G243" s="16" t="s">
        <v>940</v>
      </c>
    </row>
    <row r="244" spans="2:7" x14ac:dyDescent="0.2">
      <c r="B244" s="6" t="s">
        <v>89</v>
      </c>
      <c r="C244" s="6" t="s">
        <v>406</v>
      </c>
      <c r="D244" s="20"/>
      <c r="E244" s="39">
        <v>75.42</v>
      </c>
      <c r="G244" s="16" t="s">
        <v>940</v>
      </c>
    </row>
    <row r="245" spans="2:7" x14ac:dyDescent="0.2">
      <c r="B245" s="6" t="s">
        <v>95</v>
      </c>
      <c r="C245" s="6" t="s">
        <v>96</v>
      </c>
      <c r="D245" s="20"/>
      <c r="E245" s="39">
        <v>39.159999999999997</v>
      </c>
      <c r="G245" s="16" t="s">
        <v>940</v>
      </c>
    </row>
    <row r="246" spans="2:7" x14ac:dyDescent="0.2">
      <c r="B246" s="6" t="s">
        <v>97</v>
      </c>
      <c r="C246" s="6" t="s">
        <v>98</v>
      </c>
      <c r="D246" s="20"/>
      <c r="E246" s="39">
        <v>39.159999999999997</v>
      </c>
      <c r="G246" s="16" t="s">
        <v>940</v>
      </c>
    </row>
    <row r="247" spans="2:7" x14ac:dyDescent="0.2">
      <c r="B247" s="6" t="s">
        <v>93</v>
      </c>
      <c r="C247" s="6" t="s">
        <v>94</v>
      </c>
      <c r="D247" s="20"/>
      <c r="E247" s="39">
        <v>39.159999999999997</v>
      </c>
      <c r="G247" s="16" t="s">
        <v>940</v>
      </c>
    </row>
    <row r="248" spans="2:7" x14ac:dyDescent="0.2">
      <c r="B248" s="6" t="s">
        <v>87</v>
      </c>
      <c r="C248" s="6" t="s">
        <v>88</v>
      </c>
      <c r="D248" s="20"/>
      <c r="E248" s="39">
        <v>39.159999999999997</v>
      </c>
      <c r="G248" s="16" t="s">
        <v>940</v>
      </c>
    </row>
    <row r="249" spans="2:7" x14ac:dyDescent="0.2">
      <c r="B249" s="6" t="s">
        <v>404</v>
      </c>
      <c r="C249" s="6" t="s">
        <v>405</v>
      </c>
      <c r="D249" s="20"/>
      <c r="E249" s="39">
        <v>1650</v>
      </c>
      <c r="G249" s="16" t="s">
        <v>940</v>
      </c>
    </row>
    <row r="250" spans="2:7" x14ac:dyDescent="0.2">
      <c r="B250" s="6" t="s">
        <v>159</v>
      </c>
      <c r="C250" s="6" t="s">
        <v>160</v>
      </c>
      <c r="D250" s="20"/>
      <c r="E250" s="39">
        <v>77</v>
      </c>
      <c r="G250" s="16" t="s">
        <v>940</v>
      </c>
    </row>
    <row r="251" spans="2:7" x14ac:dyDescent="0.2">
      <c r="B251" s="6" t="s">
        <v>157</v>
      </c>
      <c r="C251" s="6" t="s">
        <v>158</v>
      </c>
      <c r="D251" s="20"/>
      <c r="E251" s="39">
        <v>77</v>
      </c>
      <c r="G251" s="16" t="s">
        <v>940</v>
      </c>
    </row>
    <row r="252" spans="2:7" x14ac:dyDescent="0.2">
      <c r="B252" s="6" t="s">
        <v>161</v>
      </c>
      <c r="C252" s="6" t="s">
        <v>162</v>
      </c>
      <c r="D252" s="20"/>
      <c r="E252" s="39">
        <v>77</v>
      </c>
      <c r="G252" s="16" t="s">
        <v>940</v>
      </c>
    </row>
    <row r="253" spans="2:7" x14ac:dyDescent="0.2">
      <c r="B253" s="6" t="s">
        <v>327</v>
      </c>
      <c r="C253" s="6" t="s">
        <v>328</v>
      </c>
      <c r="D253" s="20"/>
      <c r="E253" s="39"/>
      <c r="G253" s="16" t="s">
        <v>940</v>
      </c>
    </row>
    <row r="254" spans="2:7" x14ac:dyDescent="0.2">
      <c r="B254" s="6" t="s">
        <v>229</v>
      </c>
      <c r="C254" s="6" t="s">
        <v>230</v>
      </c>
      <c r="D254" s="20"/>
      <c r="E254" s="39">
        <v>150</v>
      </c>
      <c r="G254" s="16" t="s">
        <v>940</v>
      </c>
    </row>
    <row r="255" spans="2:7" x14ac:dyDescent="0.2">
      <c r="B255" s="6" t="s">
        <v>435</v>
      </c>
      <c r="C255" s="6" t="s">
        <v>436</v>
      </c>
      <c r="D255" s="20"/>
      <c r="E255" s="39">
        <v>195.01</v>
      </c>
      <c r="G255" s="16" t="s">
        <v>940</v>
      </c>
    </row>
    <row r="256" spans="2:7" x14ac:dyDescent="0.2">
      <c r="B256" s="6" t="s">
        <v>437</v>
      </c>
      <c r="C256" s="6" t="s">
        <v>438</v>
      </c>
      <c r="D256" s="20"/>
      <c r="E256" s="39">
        <v>465</v>
      </c>
      <c r="G256" s="16" t="s">
        <v>940</v>
      </c>
    </row>
    <row r="257" spans="2:7" x14ac:dyDescent="0.2">
      <c r="B257" s="6" t="s">
        <v>277</v>
      </c>
      <c r="C257" s="6" t="s">
        <v>278</v>
      </c>
      <c r="D257" s="20"/>
      <c r="E257" s="39">
        <v>304</v>
      </c>
      <c r="G257" s="16" t="s">
        <v>940</v>
      </c>
    </row>
    <row r="258" spans="2:7" x14ac:dyDescent="0.2">
      <c r="B258" s="6" t="s">
        <v>185</v>
      </c>
      <c r="C258" s="6" t="s">
        <v>186</v>
      </c>
      <c r="D258" s="20"/>
      <c r="E258" s="39">
        <v>79</v>
      </c>
      <c r="G258" s="16" t="s">
        <v>940</v>
      </c>
    </row>
    <row r="259" spans="2:7" x14ac:dyDescent="0.2">
      <c r="B259" s="6" t="s">
        <v>181</v>
      </c>
      <c r="C259" s="6" t="s">
        <v>182</v>
      </c>
      <c r="D259" s="20"/>
      <c r="E259" s="39">
        <v>127</v>
      </c>
      <c r="G259" s="16" t="s">
        <v>940</v>
      </c>
    </row>
    <row r="260" spans="2:7" x14ac:dyDescent="0.2">
      <c r="B260" s="6" t="s">
        <v>183</v>
      </c>
      <c r="C260" s="6" t="s">
        <v>184</v>
      </c>
      <c r="D260" s="20"/>
      <c r="E260" s="39"/>
      <c r="G260" s="16" t="s">
        <v>940</v>
      </c>
    </row>
    <row r="261" spans="2:7" x14ac:dyDescent="0.2">
      <c r="B261" s="6" t="s">
        <v>482</v>
      </c>
      <c r="C261" s="6" t="s">
        <v>483</v>
      </c>
      <c r="D261" s="20"/>
      <c r="E261" s="39"/>
      <c r="G261" s="16" t="s">
        <v>940</v>
      </c>
    </row>
    <row r="262" spans="2:7" x14ac:dyDescent="0.2">
      <c r="B262" s="6" t="s">
        <v>165</v>
      </c>
      <c r="C262" s="6" t="s">
        <v>166</v>
      </c>
      <c r="D262" s="20"/>
      <c r="E262" s="39">
        <v>38</v>
      </c>
      <c r="G262" s="16" t="s">
        <v>940</v>
      </c>
    </row>
    <row r="263" spans="2:7" x14ac:dyDescent="0.2">
      <c r="B263" s="6" t="s">
        <v>55</v>
      </c>
      <c r="C263" s="6" t="s">
        <v>56</v>
      </c>
      <c r="D263" s="20"/>
      <c r="E263" s="39">
        <v>3.61</v>
      </c>
      <c r="G263" s="16" t="s">
        <v>940</v>
      </c>
    </row>
    <row r="264" spans="2:7" x14ac:dyDescent="0.2">
      <c r="B264" s="6" t="s">
        <v>390</v>
      </c>
      <c r="C264" s="6" t="s">
        <v>391</v>
      </c>
      <c r="D264" s="20"/>
      <c r="E264" s="39">
        <v>20.9</v>
      </c>
      <c r="G264" s="16" t="s">
        <v>940</v>
      </c>
    </row>
    <row r="265" spans="2:7" x14ac:dyDescent="0.2">
      <c r="B265" s="6" t="s">
        <v>394</v>
      </c>
      <c r="C265" s="6" t="s">
        <v>395</v>
      </c>
      <c r="D265" s="20"/>
      <c r="E265" s="39">
        <v>59</v>
      </c>
      <c r="G265" s="16" t="s">
        <v>940</v>
      </c>
    </row>
    <row r="266" spans="2:7" x14ac:dyDescent="0.2">
      <c r="B266" s="6" t="s">
        <v>388</v>
      </c>
      <c r="C266" s="6" t="s">
        <v>389</v>
      </c>
      <c r="D266" s="20"/>
      <c r="E266" s="39">
        <v>8.24</v>
      </c>
      <c r="G266" s="16" t="s">
        <v>940</v>
      </c>
    </row>
    <row r="267" spans="2:7" x14ac:dyDescent="0.2">
      <c r="B267" s="6" t="s">
        <v>392</v>
      </c>
      <c r="C267" s="6" t="s">
        <v>393</v>
      </c>
      <c r="D267" s="20"/>
      <c r="E267" s="39">
        <v>54.36</v>
      </c>
      <c r="G267" s="16" t="s">
        <v>940</v>
      </c>
    </row>
    <row r="268" spans="2:7" x14ac:dyDescent="0.2">
      <c r="B268" s="6" t="s">
        <v>261</v>
      </c>
      <c r="C268" s="6" t="s">
        <v>262</v>
      </c>
      <c r="D268" s="20"/>
      <c r="E268" s="39">
        <v>185</v>
      </c>
      <c r="G268" s="16" t="s">
        <v>940</v>
      </c>
    </row>
    <row r="269" spans="2:7" x14ac:dyDescent="0.2">
      <c r="B269" s="6" t="s">
        <v>273</v>
      </c>
      <c r="C269" s="6" t="s">
        <v>274</v>
      </c>
      <c r="D269" s="20"/>
      <c r="E269" s="39">
        <v>345</v>
      </c>
      <c r="G269" s="16" t="s">
        <v>940</v>
      </c>
    </row>
    <row r="270" spans="2:7" x14ac:dyDescent="0.2">
      <c r="B270" s="6" t="s">
        <v>275</v>
      </c>
      <c r="C270" s="6" t="s">
        <v>276</v>
      </c>
      <c r="D270" s="20"/>
      <c r="E270" s="39"/>
      <c r="G270" s="16" t="s">
        <v>940</v>
      </c>
    </row>
    <row r="271" spans="2:7" x14ac:dyDescent="0.2">
      <c r="B271" s="6" t="s">
        <v>195</v>
      </c>
      <c r="C271" s="6" t="s">
        <v>196</v>
      </c>
      <c r="D271" s="20"/>
      <c r="E271" s="39">
        <v>127</v>
      </c>
      <c r="G271" s="16" t="s">
        <v>940</v>
      </c>
    </row>
    <row r="272" spans="2:7" x14ac:dyDescent="0.2">
      <c r="B272" s="6" t="s">
        <v>197</v>
      </c>
      <c r="C272" s="6" t="s">
        <v>198</v>
      </c>
      <c r="D272" s="20"/>
      <c r="E272" s="39">
        <v>62</v>
      </c>
      <c r="G272" s="16" t="s">
        <v>940</v>
      </c>
    </row>
    <row r="273" spans="2:7" x14ac:dyDescent="0.2">
      <c r="B273" s="6" t="s">
        <v>1984</v>
      </c>
      <c r="C273" s="6" t="s">
        <v>1985</v>
      </c>
      <c r="D273" s="20"/>
      <c r="E273" s="39"/>
      <c r="G273" s="16" t="s">
        <v>940</v>
      </c>
    </row>
    <row r="274" spans="2:7" x14ac:dyDescent="0.2">
      <c r="B274" s="6" t="s">
        <v>283</v>
      </c>
      <c r="C274" s="6" t="s">
        <v>284</v>
      </c>
      <c r="D274" s="20"/>
      <c r="E274" s="39">
        <v>340</v>
      </c>
      <c r="G274" s="16" t="s">
        <v>940</v>
      </c>
    </row>
    <row r="275" spans="2:7" x14ac:dyDescent="0.2">
      <c r="B275" s="6" t="s">
        <v>253</v>
      </c>
      <c r="C275" s="6" t="s">
        <v>254</v>
      </c>
      <c r="D275" s="20"/>
      <c r="E275" s="39">
        <v>158</v>
      </c>
      <c r="G275" s="16" t="s">
        <v>940</v>
      </c>
    </row>
    <row r="276" spans="2:7" x14ac:dyDescent="0.2">
      <c r="B276" s="6" t="s">
        <v>425</v>
      </c>
      <c r="C276" s="6" t="s">
        <v>426</v>
      </c>
      <c r="D276" s="20"/>
      <c r="E276" s="39">
        <v>595</v>
      </c>
      <c r="G276" s="16" t="s">
        <v>940</v>
      </c>
    </row>
    <row r="277" spans="2:7" x14ac:dyDescent="0.2">
      <c r="B277" s="6" t="s">
        <v>423</v>
      </c>
      <c r="C277" s="6" t="s">
        <v>424</v>
      </c>
      <c r="D277" s="20"/>
      <c r="E277" s="39">
        <v>995</v>
      </c>
      <c r="G277" s="16" t="s">
        <v>940</v>
      </c>
    </row>
    <row r="278" spans="2:7" x14ac:dyDescent="0.2">
      <c r="B278" s="6" t="s">
        <v>421</v>
      </c>
      <c r="C278" s="6" t="s">
        <v>422</v>
      </c>
      <c r="D278" s="20"/>
      <c r="E278" s="39">
        <v>891.05</v>
      </c>
      <c r="G278" s="16" t="s">
        <v>940</v>
      </c>
    </row>
    <row r="279" spans="2:7" x14ac:dyDescent="0.2">
      <c r="B279" s="6" t="s">
        <v>429</v>
      </c>
      <c r="C279" s="6" t="s">
        <v>430</v>
      </c>
      <c r="D279" s="20"/>
      <c r="E279" s="39">
        <v>299</v>
      </c>
      <c r="G279" s="16" t="s">
        <v>940</v>
      </c>
    </row>
    <row r="280" spans="2:7" x14ac:dyDescent="0.2">
      <c r="B280" s="6" t="s">
        <v>427</v>
      </c>
      <c r="C280" s="6" t="s">
        <v>428</v>
      </c>
      <c r="D280" s="20"/>
      <c r="E280" s="39">
        <v>439</v>
      </c>
      <c r="G280" s="16" t="s">
        <v>940</v>
      </c>
    </row>
    <row r="281" spans="2:7" x14ac:dyDescent="0.2">
      <c r="B281" s="6" t="s">
        <v>255</v>
      </c>
      <c r="C281" s="6" t="s">
        <v>256</v>
      </c>
      <c r="D281" s="20"/>
      <c r="E281" s="39">
        <v>187</v>
      </c>
      <c r="G281" s="16" t="s">
        <v>940</v>
      </c>
    </row>
    <row r="282" spans="2:7" x14ac:dyDescent="0.2">
      <c r="B282" s="6" t="s">
        <v>398</v>
      </c>
      <c r="C282" s="6" t="s">
        <v>399</v>
      </c>
      <c r="D282" s="20"/>
      <c r="E282" s="39">
        <v>1500</v>
      </c>
      <c r="G282" s="16" t="s">
        <v>940</v>
      </c>
    </row>
    <row r="283" spans="2:7" x14ac:dyDescent="0.2">
      <c r="B283" s="6" t="s">
        <v>484</v>
      </c>
      <c r="C283" s="6" t="s">
        <v>485</v>
      </c>
      <c r="D283" s="20"/>
      <c r="E283" s="39"/>
      <c r="G283" s="16" t="s">
        <v>940</v>
      </c>
    </row>
    <row r="284" spans="2:7" x14ac:dyDescent="0.2">
      <c r="B284" s="6" t="s">
        <v>177</v>
      </c>
      <c r="C284" s="6" t="s">
        <v>178</v>
      </c>
      <c r="D284" s="20"/>
      <c r="E284" s="39"/>
      <c r="G284" s="16" t="s">
        <v>940</v>
      </c>
    </row>
    <row r="285" spans="2:7" x14ac:dyDescent="0.2">
      <c r="B285" s="6" t="s">
        <v>179</v>
      </c>
      <c r="C285" s="6" t="s">
        <v>180</v>
      </c>
      <c r="D285" s="20"/>
      <c r="E285" s="39"/>
      <c r="G285" s="16" t="s">
        <v>940</v>
      </c>
    </row>
    <row r="286" spans="2:7" x14ac:dyDescent="0.2">
      <c r="B286" s="6" t="s">
        <v>471</v>
      </c>
      <c r="C286" s="6" t="s">
        <v>472</v>
      </c>
      <c r="D286" s="20"/>
      <c r="E286" s="39"/>
      <c r="G286" s="16" t="s">
        <v>940</v>
      </c>
    </row>
    <row r="287" spans="2:7" x14ac:dyDescent="0.2">
      <c r="B287" s="6" t="s">
        <v>153</v>
      </c>
      <c r="C287" s="6" t="s">
        <v>154</v>
      </c>
      <c r="D287" s="20"/>
      <c r="E287" s="39">
        <v>152</v>
      </c>
      <c r="G287" s="16" t="s">
        <v>940</v>
      </c>
    </row>
    <row r="288" spans="2:7" x14ac:dyDescent="0.2">
      <c r="B288" s="6" t="s">
        <v>215</v>
      </c>
      <c r="C288" s="6" t="s">
        <v>216</v>
      </c>
      <c r="D288" s="20"/>
      <c r="E288" s="39">
        <v>122</v>
      </c>
      <c r="G288" s="16" t="s">
        <v>940</v>
      </c>
    </row>
    <row r="289" spans="2:7" x14ac:dyDescent="0.2">
      <c r="B289" s="6" t="s">
        <v>219</v>
      </c>
      <c r="C289" s="6" t="s">
        <v>220</v>
      </c>
      <c r="D289" s="20"/>
      <c r="E289" s="39">
        <v>87</v>
      </c>
      <c r="G289" s="16" t="s">
        <v>940</v>
      </c>
    </row>
    <row r="290" spans="2:7" x14ac:dyDescent="0.2">
      <c r="B290" s="6" t="s">
        <v>213</v>
      </c>
      <c r="C290" s="6" t="s">
        <v>214</v>
      </c>
      <c r="D290" s="20"/>
      <c r="E290" s="39">
        <v>95</v>
      </c>
      <c r="G290" s="16" t="s">
        <v>940</v>
      </c>
    </row>
    <row r="291" spans="2:7" x14ac:dyDescent="0.2">
      <c r="B291" s="6" t="s">
        <v>217</v>
      </c>
      <c r="C291" s="6" t="s">
        <v>218</v>
      </c>
      <c r="D291" s="20"/>
      <c r="E291" s="39">
        <v>70</v>
      </c>
      <c r="G291" s="16" t="s">
        <v>940</v>
      </c>
    </row>
    <row r="292" spans="2:7" x14ac:dyDescent="0.2">
      <c r="B292" s="6" t="s">
        <v>221</v>
      </c>
      <c r="C292" s="6" t="s">
        <v>222</v>
      </c>
      <c r="D292" s="20"/>
      <c r="E292" s="39">
        <v>81</v>
      </c>
      <c r="G292" s="16" t="s">
        <v>940</v>
      </c>
    </row>
    <row r="293" spans="2:7" x14ac:dyDescent="0.2">
      <c r="B293" s="6" t="s">
        <v>209</v>
      </c>
      <c r="C293" s="6" t="s">
        <v>210</v>
      </c>
      <c r="D293" s="20"/>
      <c r="E293" s="39">
        <v>67</v>
      </c>
      <c r="G293" s="16" t="s">
        <v>940</v>
      </c>
    </row>
    <row r="294" spans="2:7" x14ac:dyDescent="0.2">
      <c r="B294" s="6" t="s">
        <v>417</v>
      </c>
      <c r="C294" s="6" t="s">
        <v>418</v>
      </c>
      <c r="D294" s="20"/>
      <c r="E294" s="39">
        <v>199.31</v>
      </c>
      <c r="G294" s="16" t="s">
        <v>940</v>
      </c>
    </row>
    <row r="295" spans="2:7" x14ac:dyDescent="0.2">
      <c r="B295" s="6" t="s">
        <v>419</v>
      </c>
      <c r="C295" s="6" t="s">
        <v>420</v>
      </c>
      <c r="D295" s="20"/>
      <c r="E295" s="39">
        <v>199.31</v>
      </c>
      <c r="G295" s="16" t="s">
        <v>940</v>
      </c>
    </row>
    <row r="296" spans="2:7" x14ac:dyDescent="0.2">
      <c r="B296" s="6" t="s">
        <v>113</v>
      </c>
      <c r="C296" s="6" t="s">
        <v>114</v>
      </c>
      <c r="D296" s="20"/>
      <c r="E296" s="39">
        <v>100</v>
      </c>
      <c r="G296" s="16" t="s">
        <v>940</v>
      </c>
    </row>
    <row r="297" spans="2:7" x14ac:dyDescent="0.2">
      <c r="B297" s="6" t="s">
        <v>143</v>
      </c>
      <c r="C297" s="6" t="s">
        <v>144</v>
      </c>
      <c r="D297" s="20"/>
      <c r="E297" s="39">
        <v>90</v>
      </c>
      <c r="G297" s="16" t="s">
        <v>940</v>
      </c>
    </row>
    <row r="298" spans="2:7" x14ac:dyDescent="0.2">
      <c r="B298" s="6" t="s">
        <v>396</v>
      </c>
      <c r="C298" s="6" t="s">
        <v>397</v>
      </c>
      <c r="D298" s="20"/>
      <c r="E298" s="39">
        <v>1343.76</v>
      </c>
      <c r="G298" s="16" t="s">
        <v>940</v>
      </c>
    </row>
    <row r="299" spans="2:7" x14ac:dyDescent="0.2">
      <c r="B299" s="6" t="s">
        <v>407</v>
      </c>
      <c r="C299" s="6" t="s">
        <v>408</v>
      </c>
      <c r="D299" s="20"/>
      <c r="E299" s="39"/>
      <c r="G299" s="16" t="s">
        <v>940</v>
      </c>
    </row>
    <row r="300" spans="2:7" x14ac:dyDescent="0.2">
      <c r="B300" s="6" t="s">
        <v>263</v>
      </c>
      <c r="C300" s="6" t="s">
        <v>264</v>
      </c>
      <c r="D300" s="20"/>
      <c r="E300" s="39">
        <v>174</v>
      </c>
      <c r="G300" s="16" t="s">
        <v>940</v>
      </c>
    </row>
    <row r="301" spans="2:7" x14ac:dyDescent="0.2">
      <c r="B301" s="6" t="s">
        <v>281</v>
      </c>
      <c r="C301" s="6" t="s">
        <v>282</v>
      </c>
      <c r="D301" s="20"/>
      <c r="E301" s="39">
        <v>1500</v>
      </c>
      <c r="G301" s="16" t="s">
        <v>940</v>
      </c>
    </row>
    <row r="302" spans="2:7" x14ac:dyDescent="0.2">
      <c r="B302" s="6" t="s">
        <v>279</v>
      </c>
      <c r="C302" s="6" t="s">
        <v>280</v>
      </c>
      <c r="D302" s="20"/>
      <c r="E302" s="39">
        <v>7000</v>
      </c>
      <c r="G302" s="16" t="s">
        <v>940</v>
      </c>
    </row>
    <row r="303" spans="2:7" x14ac:dyDescent="0.2">
      <c r="B303" s="6" t="s">
        <v>271</v>
      </c>
      <c r="C303" s="6" t="s">
        <v>272</v>
      </c>
      <c r="D303" s="20"/>
      <c r="E303" s="39">
        <v>805</v>
      </c>
      <c r="G303" s="16" t="s">
        <v>940</v>
      </c>
    </row>
    <row r="304" spans="2:7" x14ac:dyDescent="0.2">
      <c r="B304" s="6" t="s">
        <v>267</v>
      </c>
      <c r="C304" s="6" t="s">
        <v>268</v>
      </c>
      <c r="D304" s="20"/>
      <c r="E304" s="39">
        <v>235</v>
      </c>
      <c r="G304" s="16" t="s">
        <v>940</v>
      </c>
    </row>
    <row r="305" spans="2:7" x14ac:dyDescent="0.2">
      <c r="B305" s="6" t="s">
        <v>269</v>
      </c>
      <c r="C305" s="6" t="s">
        <v>270</v>
      </c>
      <c r="D305" s="20"/>
      <c r="E305" s="39">
        <v>978</v>
      </c>
      <c r="G305" s="16" t="s">
        <v>940</v>
      </c>
    </row>
    <row r="306" spans="2:7" x14ac:dyDescent="0.2">
      <c r="B306" s="6" t="s">
        <v>115</v>
      </c>
      <c r="C306" s="6" t="s">
        <v>116</v>
      </c>
      <c r="D306" s="20"/>
      <c r="E306" s="39">
        <v>645</v>
      </c>
      <c r="G306" s="16" t="s">
        <v>940</v>
      </c>
    </row>
    <row r="307" spans="2:7" x14ac:dyDescent="0.2">
      <c r="B307" s="6" t="s">
        <v>187</v>
      </c>
      <c r="C307" s="6" t="s">
        <v>188</v>
      </c>
      <c r="D307" s="20"/>
      <c r="E307" s="39">
        <v>72</v>
      </c>
      <c r="G307" s="16" t="s">
        <v>940</v>
      </c>
    </row>
    <row r="308" spans="2:7" x14ac:dyDescent="0.2">
      <c r="B308" s="6" t="s">
        <v>127</v>
      </c>
      <c r="C308" s="6" t="s">
        <v>128</v>
      </c>
      <c r="D308" s="20"/>
      <c r="E308" s="39">
        <v>650</v>
      </c>
      <c r="G308" s="16" t="s">
        <v>940</v>
      </c>
    </row>
    <row r="309" spans="2:7" x14ac:dyDescent="0.2">
      <c r="B309" s="6" t="s">
        <v>303</v>
      </c>
      <c r="C309" s="6" t="s">
        <v>304</v>
      </c>
      <c r="D309" s="20"/>
      <c r="E309" s="39">
        <v>51</v>
      </c>
      <c r="G309" s="16" t="s">
        <v>940</v>
      </c>
    </row>
    <row r="310" spans="2:7" x14ac:dyDescent="0.2">
      <c r="B310" s="6" t="s">
        <v>305</v>
      </c>
      <c r="C310" s="6" t="s">
        <v>306</v>
      </c>
      <c r="D310" s="20"/>
      <c r="E310" s="39">
        <v>93</v>
      </c>
      <c r="G310" s="16" t="s">
        <v>940</v>
      </c>
    </row>
    <row r="311" spans="2:7" x14ac:dyDescent="0.2">
      <c r="B311" s="6" t="s">
        <v>309</v>
      </c>
      <c r="C311" s="6" t="s">
        <v>310</v>
      </c>
      <c r="D311" s="20"/>
      <c r="E311" s="39">
        <v>205</v>
      </c>
      <c r="G311" s="16" t="s">
        <v>940</v>
      </c>
    </row>
    <row r="312" spans="2:7" x14ac:dyDescent="0.2">
      <c r="B312" s="6" t="s">
        <v>343</v>
      </c>
      <c r="C312" s="6" t="s">
        <v>344</v>
      </c>
      <c r="D312" s="20"/>
      <c r="E312" s="39">
        <v>19.82</v>
      </c>
      <c r="G312" s="16" t="s">
        <v>940</v>
      </c>
    </row>
    <row r="313" spans="2:7" x14ac:dyDescent="0.2">
      <c r="B313" s="6" t="s">
        <v>1983</v>
      </c>
      <c r="C313" s="6" t="s">
        <v>481</v>
      </c>
      <c r="D313" s="20"/>
      <c r="E313" s="39"/>
      <c r="G313" s="16" t="s">
        <v>940</v>
      </c>
    </row>
    <row r="314" spans="2:7" x14ac:dyDescent="0.2">
      <c r="B314" s="6" t="s">
        <v>477</v>
      </c>
      <c r="C314" s="6" t="s">
        <v>478</v>
      </c>
      <c r="D314" s="20"/>
      <c r="E314" s="39"/>
      <c r="G314" s="16" t="s">
        <v>940</v>
      </c>
    </row>
    <row r="315" spans="2:7" x14ac:dyDescent="0.2">
      <c r="B315" s="6" t="s">
        <v>479</v>
      </c>
      <c r="C315" s="6" t="s">
        <v>480</v>
      </c>
      <c r="D315" s="20"/>
      <c r="E315" s="39"/>
      <c r="G315" s="16" t="s">
        <v>940</v>
      </c>
    </row>
    <row r="316" spans="2:7" x14ac:dyDescent="0.2">
      <c r="B316" s="6" t="s">
        <v>211</v>
      </c>
      <c r="C316" s="6" t="s">
        <v>212</v>
      </c>
      <c r="D316" s="20"/>
      <c r="E316" s="39">
        <v>300</v>
      </c>
      <c r="G316" s="16" t="s">
        <v>940</v>
      </c>
    </row>
    <row r="317" spans="2:7" x14ac:dyDescent="0.2">
      <c r="B317" s="6" t="s">
        <v>227</v>
      </c>
      <c r="C317" s="6" t="s">
        <v>228</v>
      </c>
      <c r="D317" s="20"/>
      <c r="E317" s="39">
        <v>98</v>
      </c>
      <c r="G317" s="16" t="s">
        <v>940</v>
      </c>
    </row>
    <row r="318" spans="2:7" x14ac:dyDescent="0.2">
      <c r="B318" s="6" t="s">
        <v>117</v>
      </c>
      <c r="C318" s="6" t="s">
        <v>118</v>
      </c>
      <c r="D318" s="20"/>
      <c r="E318" s="39">
        <v>275</v>
      </c>
      <c r="G318" s="16" t="s">
        <v>940</v>
      </c>
    </row>
    <row r="319" spans="2:7" x14ac:dyDescent="0.2">
      <c r="B319" s="6" t="s">
        <v>1986</v>
      </c>
      <c r="C319" s="6" t="s">
        <v>1987</v>
      </c>
      <c r="D319" s="20"/>
      <c r="E319" s="39"/>
      <c r="G319" s="16" t="s">
        <v>940</v>
      </c>
    </row>
    <row r="320" spans="2:7" x14ac:dyDescent="0.2">
      <c r="B320" s="6" t="s">
        <v>431</v>
      </c>
      <c r="C320" s="6" t="s">
        <v>432</v>
      </c>
      <c r="D320" s="20"/>
      <c r="E320" s="39">
        <v>94.6</v>
      </c>
      <c r="G320" s="16" t="s">
        <v>940</v>
      </c>
    </row>
    <row r="321" spans="2:7" x14ac:dyDescent="0.2">
      <c r="B321" s="6" t="s">
        <v>67</v>
      </c>
      <c r="C321" s="6" t="s">
        <v>68</v>
      </c>
      <c r="D321" s="20"/>
      <c r="E321" s="39">
        <v>28.6</v>
      </c>
      <c r="G321" s="16" t="s">
        <v>940</v>
      </c>
    </row>
    <row r="322" spans="2:7" x14ac:dyDescent="0.2">
      <c r="B322" s="6" t="s">
        <v>77</v>
      </c>
      <c r="C322" s="6" t="s">
        <v>78</v>
      </c>
      <c r="D322" s="20"/>
      <c r="E322" s="39">
        <v>50.86</v>
      </c>
      <c r="G322" s="16" t="s">
        <v>940</v>
      </c>
    </row>
    <row r="323" spans="2:7" x14ac:dyDescent="0.2">
      <c r="B323" s="6" t="s">
        <v>53</v>
      </c>
      <c r="C323" s="6" t="s">
        <v>54</v>
      </c>
      <c r="D323" s="20"/>
      <c r="E323" s="39">
        <v>28.69</v>
      </c>
      <c r="G323" s="16" t="s">
        <v>940</v>
      </c>
    </row>
    <row r="324" spans="2:7" x14ac:dyDescent="0.2">
      <c r="B324" s="6" t="s">
        <v>145</v>
      </c>
      <c r="C324" s="6" t="s">
        <v>146</v>
      </c>
      <c r="D324" s="20"/>
      <c r="E324" s="39"/>
      <c r="G324" s="16" t="s">
        <v>940</v>
      </c>
    </row>
    <row r="325" spans="2:7" x14ac:dyDescent="0.2">
      <c r="B325" s="6" t="s">
        <v>455</v>
      </c>
      <c r="C325" s="6" t="s">
        <v>456</v>
      </c>
      <c r="D325" s="20"/>
      <c r="E325" s="39"/>
      <c r="G325" s="16" t="s">
        <v>940</v>
      </c>
    </row>
    <row r="326" spans="2:7" x14ac:dyDescent="0.2">
      <c r="B326" s="6" t="s">
        <v>457</v>
      </c>
      <c r="C326" s="6" t="s">
        <v>458</v>
      </c>
      <c r="D326" s="20"/>
      <c r="E326" s="39"/>
      <c r="G326" s="16" t="s">
        <v>940</v>
      </c>
    </row>
    <row r="327" spans="2:7" x14ac:dyDescent="0.2">
      <c r="B327" s="6" t="s">
        <v>321</v>
      </c>
      <c r="C327" s="6" t="s">
        <v>322</v>
      </c>
      <c r="D327" s="20"/>
      <c r="E327" s="39"/>
      <c r="G327" s="16" t="s">
        <v>940</v>
      </c>
    </row>
    <row r="328" spans="2:7" x14ac:dyDescent="0.2">
      <c r="B328" s="6" t="s">
        <v>307</v>
      </c>
      <c r="C328" s="6" t="s">
        <v>308</v>
      </c>
      <c r="D328" s="20"/>
      <c r="E328" s="39">
        <v>55</v>
      </c>
      <c r="G328" s="16" t="s">
        <v>940</v>
      </c>
    </row>
    <row r="329" spans="2:7" x14ac:dyDescent="0.2">
      <c r="B329" s="6" t="s">
        <v>155</v>
      </c>
      <c r="C329" s="6" t="s">
        <v>156</v>
      </c>
      <c r="D329" s="20"/>
      <c r="E329" s="39">
        <v>179</v>
      </c>
      <c r="G329" s="16" t="s">
        <v>940</v>
      </c>
    </row>
    <row r="330" spans="2:7" x14ac:dyDescent="0.2">
      <c r="B330" s="6" t="s">
        <v>85</v>
      </c>
      <c r="C330" s="6" t="s">
        <v>86</v>
      </c>
      <c r="D330" s="20"/>
      <c r="E330" s="39">
        <v>700</v>
      </c>
      <c r="G330" s="16" t="s">
        <v>940</v>
      </c>
    </row>
    <row r="331" spans="2:7" x14ac:dyDescent="0.2">
      <c r="B331" s="6" t="s">
        <v>83</v>
      </c>
      <c r="C331" s="6" t="s">
        <v>84</v>
      </c>
      <c r="D331" s="20"/>
      <c r="E331" s="39">
        <v>0.37</v>
      </c>
      <c r="G331" s="16" t="s">
        <v>940</v>
      </c>
    </row>
    <row r="332" spans="2:7" x14ac:dyDescent="0.2">
      <c r="B332" s="6" t="s">
        <v>384</v>
      </c>
      <c r="C332" s="6" t="s">
        <v>385</v>
      </c>
      <c r="D332" s="20"/>
      <c r="E332" s="39">
        <v>0.64</v>
      </c>
      <c r="G332" s="16" t="s">
        <v>940</v>
      </c>
    </row>
    <row r="333" spans="2:7" x14ac:dyDescent="0.2">
      <c r="B333" s="6" t="s">
        <v>378</v>
      </c>
      <c r="C333" s="6" t="s">
        <v>379</v>
      </c>
      <c r="D333" s="20"/>
      <c r="E333" s="39">
        <v>1.24</v>
      </c>
      <c r="G333" s="16" t="s">
        <v>940</v>
      </c>
    </row>
    <row r="334" spans="2:7" x14ac:dyDescent="0.2">
      <c r="B334" s="6" t="s">
        <v>386</v>
      </c>
      <c r="C334" s="6" t="s">
        <v>387</v>
      </c>
      <c r="D334" s="20"/>
      <c r="E334" s="39"/>
      <c r="G334" s="16" t="s">
        <v>940</v>
      </c>
    </row>
    <row r="335" spans="2:7" x14ac:dyDescent="0.2">
      <c r="B335" s="6" t="s">
        <v>382</v>
      </c>
      <c r="C335" s="6" t="s">
        <v>383</v>
      </c>
      <c r="D335" s="20"/>
      <c r="E335" s="39">
        <v>0.57999999999999996</v>
      </c>
      <c r="G335" s="16" t="s">
        <v>940</v>
      </c>
    </row>
    <row r="336" spans="2:7" x14ac:dyDescent="0.2">
      <c r="B336" s="6" t="s">
        <v>380</v>
      </c>
      <c r="C336" s="6" t="s">
        <v>381</v>
      </c>
      <c r="D336" s="20"/>
      <c r="E336" s="39">
        <v>1.3</v>
      </c>
      <c r="G336" s="16" t="s">
        <v>940</v>
      </c>
    </row>
    <row r="337" spans="2:7" x14ac:dyDescent="0.2">
      <c r="B337" s="6" t="s">
        <v>81</v>
      </c>
      <c r="C337" s="6" t="s">
        <v>82</v>
      </c>
      <c r="D337" s="20"/>
      <c r="E337" s="39">
        <v>0.3</v>
      </c>
      <c r="G337" s="16" t="s">
        <v>940</v>
      </c>
    </row>
    <row r="338" spans="2:7" x14ac:dyDescent="0.2">
      <c r="B338" s="6" t="s">
        <v>376</v>
      </c>
      <c r="C338" s="6" t="s">
        <v>377</v>
      </c>
      <c r="D338" s="20"/>
      <c r="E338" s="39">
        <v>0.31</v>
      </c>
      <c r="G338" s="16" t="s">
        <v>940</v>
      </c>
    </row>
    <row r="339" spans="2:7" x14ac:dyDescent="0.2">
      <c r="B339" s="6" t="s">
        <v>443</v>
      </c>
      <c r="C339" s="6" t="s">
        <v>444</v>
      </c>
      <c r="D339" s="20"/>
      <c r="E339" s="39"/>
      <c r="G339" s="16" t="s">
        <v>940</v>
      </c>
    </row>
    <row r="340" spans="2:7" x14ac:dyDescent="0.2">
      <c r="B340" s="6" t="s">
        <v>439</v>
      </c>
      <c r="C340" s="6" t="s">
        <v>440</v>
      </c>
      <c r="D340" s="20"/>
      <c r="E340" s="39"/>
      <c r="G340" s="16" t="s">
        <v>940</v>
      </c>
    </row>
    <row r="341" spans="2:7" x14ac:dyDescent="0.2">
      <c r="B341" s="6" t="s">
        <v>441</v>
      </c>
      <c r="C341" s="6" t="s">
        <v>442</v>
      </c>
      <c r="D341" s="20"/>
      <c r="E341" s="39"/>
      <c r="G341" s="16" t="s">
        <v>940</v>
      </c>
    </row>
    <row r="342" spans="2:7" x14ac:dyDescent="0.2">
      <c r="B342" s="6" t="s">
        <v>137</v>
      </c>
      <c r="C342" s="6" t="s">
        <v>138</v>
      </c>
      <c r="D342" s="20"/>
      <c r="E342" s="39"/>
      <c r="G342" s="16" t="s">
        <v>940</v>
      </c>
    </row>
    <row r="343" spans="2:7" x14ac:dyDescent="0.2">
      <c r="B343" s="6" t="s">
        <v>293</v>
      </c>
      <c r="C343" s="6" t="s">
        <v>294</v>
      </c>
      <c r="D343" s="20"/>
      <c r="E343" s="39">
        <v>108</v>
      </c>
      <c r="G343" s="16" t="s">
        <v>940</v>
      </c>
    </row>
    <row r="344" spans="2:7" x14ac:dyDescent="0.2">
      <c r="B344" s="6" t="s">
        <v>111</v>
      </c>
      <c r="C344" s="6" t="s">
        <v>112</v>
      </c>
      <c r="D344" s="20"/>
      <c r="E344" s="39">
        <v>474.05</v>
      </c>
      <c r="G344" s="16" t="s">
        <v>940</v>
      </c>
    </row>
    <row r="345" spans="2:7" x14ac:dyDescent="0.2">
      <c r="B345" s="6" t="s">
        <v>1991</v>
      </c>
      <c r="C345" s="6" t="s">
        <v>1993</v>
      </c>
      <c r="D345" s="20"/>
      <c r="E345" s="39"/>
      <c r="G345" s="16" t="s">
        <v>940</v>
      </c>
    </row>
    <row r="346" spans="2:7" x14ac:dyDescent="0.2">
      <c r="B346" s="6" t="s">
        <v>333</v>
      </c>
      <c r="C346" s="6" t="s">
        <v>334</v>
      </c>
      <c r="D346" s="20"/>
      <c r="E346" s="39">
        <v>33.590000000000003</v>
      </c>
      <c r="G346" s="16" t="s">
        <v>940</v>
      </c>
    </row>
    <row r="347" spans="2:7" x14ac:dyDescent="0.2">
      <c r="B347" s="6" t="s">
        <v>335</v>
      </c>
      <c r="C347" s="6" t="s">
        <v>336</v>
      </c>
      <c r="D347" s="20"/>
      <c r="E347" s="39">
        <v>8</v>
      </c>
      <c r="G347" s="16" t="s">
        <v>940</v>
      </c>
    </row>
    <row r="348" spans="2:7" x14ac:dyDescent="0.2">
      <c r="B348" s="6" t="s">
        <v>331</v>
      </c>
      <c r="C348" s="6" t="s">
        <v>332</v>
      </c>
      <c r="D348" s="20"/>
      <c r="E348" s="39">
        <v>15.32</v>
      </c>
      <c r="G348" s="16" t="s">
        <v>940</v>
      </c>
    </row>
    <row r="349" spans="2:7" x14ac:dyDescent="0.2">
      <c r="B349" s="6" t="s">
        <v>339</v>
      </c>
      <c r="C349" s="6" t="s">
        <v>340</v>
      </c>
      <c r="D349" s="20"/>
      <c r="E349" s="39">
        <v>9.4499999999999993</v>
      </c>
      <c r="G349" s="16" t="s">
        <v>940</v>
      </c>
    </row>
    <row r="350" spans="2:7" x14ac:dyDescent="0.2">
      <c r="B350" s="6" t="s">
        <v>337</v>
      </c>
      <c r="C350" s="6" t="s">
        <v>338</v>
      </c>
      <c r="D350" s="20"/>
      <c r="E350" s="39">
        <v>4.79</v>
      </c>
      <c r="G350" s="16" t="s">
        <v>940</v>
      </c>
    </row>
    <row r="351" spans="2:7" x14ac:dyDescent="0.2">
      <c r="B351" s="6" t="s">
        <v>341</v>
      </c>
      <c r="C351" s="6" t="s">
        <v>342</v>
      </c>
      <c r="D351" s="20"/>
      <c r="E351" s="39">
        <v>21.46</v>
      </c>
      <c r="G351" s="16" t="s">
        <v>940</v>
      </c>
    </row>
    <row r="352" spans="2:7" x14ac:dyDescent="0.2">
      <c r="B352" s="6" t="s">
        <v>225</v>
      </c>
      <c r="C352" s="6" t="s">
        <v>226</v>
      </c>
      <c r="D352" s="20"/>
      <c r="E352" s="39"/>
      <c r="G352" s="16" t="s">
        <v>940</v>
      </c>
    </row>
    <row r="353" spans="2:7" x14ac:dyDescent="0.2">
      <c r="B353" s="6" t="s">
        <v>449</v>
      </c>
      <c r="C353" s="6" t="s">
        <v>450</v>
      </c>
      <c r="D353" s="20"/>
      <c r="E353" s="39"/>
      <c r="G353" s="16" t="s">
        <v>940</v>
      </c>
    </row>
    <row r="354" spans="2:7" x14ac:dyDescent="0.2">
      <c r="B354" s="6" t="s">
        <v>203</v>
      </c>
      <c r="C354" s="6" t="s">
        <v>204</v>
      </c>
      <c r="D354" s="20"/>
      <c r="E354" s="39">
        <v>31.16</v>
      </c>
      <c r="G354" s="16" t="s">
        <v>940</v>
      </c>
    </row>
    <row r="355" spans="2:7" x14ac:dyDescent="0.2">
      <c r="B355" s="6" t="s">
        <v>358</v>
      </c>
      <c r="C355" s="6" t="s">
        <v>359</v>
      </c>
      <c r="D355" s="20"/>
      <c r="E355" s="39">
        <v>5.66</v>
      </c>
      <c r="G355" s="16" t="s">
        <v>940</v>
      </c>
    </row>
    <row r="356" spans="2:7" x14ac:dyDescent="0.2">
      <c r="B356" s="6" t="s">
        <v>355</v>
      </c>
      <c r="C356" s="6" t="s">
        <v>356</v>
      </c>
      <c r="D356" s="20"/>
      <c r="E356" s="39">
        <v>1.1399999999999999</v>
      </c>
      <c r="G356" s="16" t="s">
        <v>940</v>
      </c>
    </row>
    <row r="357" spans="2:7" x14ac:dyDescent="0.2">
      <c r="B357" s="6" t="s">
        <v>362</v>
      </c>
      <c r="C357" s="6" t="s">
        <v>363</v>
      </c>
      <c r="D357" s="20"/>
      <c r="E357" s="39">
        <v>18.41</v>
      </c>
      <c r="G357" s="16" t="s">
        <v>940</v>
      </c>
    </row>
    <row r="358" spans="2:7" x14ac:dyDescent="0.2">
      <c r="B358" s="6" t="s">
        <v>107</v>
      </c>
      <c r="C358" s="6" t="s">
        <v>108</v>
      </c>
      <c r="D358" s="20"/>
      <c r="E358" s="39"/>
      <c r="G358" s="16" t="s">
        <v>940</v>
      </c>
    </row>
    <row r="359" spans="2:7" x14ac:dyDescent="0.2">
      <c r="B359" s="6" t="s">
        <v>107</v>
      </c>
      <c r="C359" s="6" t="s">
        <v>357</v>
      </c>
      <c r="D359" s="20"/>
      <c r="E359" s="39">
        <v>2.37</v>
      </c>
      <c r="G359" s="16" t="s">
        <v>940</v>
      </c>
    </row>
    <row r="360" spans="2:7" x14ac:dyDescent="0.2">
      <c r="B360" s="6" t="s">
        <v>71</v>
      </c>
      <c r="C360" s="6" t="s">
        <v>72</v>
      </c>
      <c r="D360" s="20"/>
      <c r="E360" s="39">
        <v>1.1299999999999999</v>
      </c>
      <c r="G360" s="16" t="s">
        <v>940</v>
      </c>
    </row>
    <row r="361" spans="2:7" x14ac:dyDescent="0.2">
      <c r="B361" s="6" t="s">
        <v>59</v>
      </c>
      <c r="C361" s="6" t="s">
        <v>60</v>
      </c>
      <c r="D361" s="20"/>
      <c r="E361" s="39">
        <v>9.0299999999999994</v>
      </c>
      <c r="G361" s="16" t="s">
        <v>940</v>
      </c>
    </row>
    <row r="362" spans="2:7" x14ac:dyDescent="0.2">
      <c r="B362" s="6" t="s">
        <v>360</v>
      </c>
      <c r="C362" s="6" t="s">
        <v>361</v>
      </c>
      <c r="D362" s="20"/>
      <c r="E362" s="39">
        <v>3.87</v>
      </c>
      <c r="G362" s="16" t="s">
        <v>940</v>
      </c>
    </row>
    <row r="363" spans="2:7" x14ac:dyDescent="0.2">
      <c r="B363" s="6" t="s">
        <v>345</v>
      </c>
      <c r="C363" s="6" t="s">
        <v>346</v>
      </c>
      <c r="D363" s="20"/>
      <c r="E363" s="39">
        <v>9.89</v>
      </c>
      <c r="G363" s="16" t="s">
        <v>940</v>
      </c>
    </row>
    <row r="364" spans="2:7" x14ac:dyDescent="0.2">
      <c r="B364" s="6" t="s">
        <v>349</v>
      </c>
      <c r="C364" s="6" t="s">
        <v>350</v>
      </c>
      <c r="D364" s="20"/>
      <c r="E364" s="39">
        <v>5.38</v>
      </c>
      <c r="G364" s="16" t="s">
        <v>940</v>
      </c>
    </row>
    <row r="365" spans="2:7" x14ac:dyDescent="0.2">
      <c r="B365" s="6" t="s">
        <v>351</v>
      </c>
      <c r="C365" s="6" t="s">
        <v>352</v>
      </c>
      <c r="D365" s="20"/>
      <c r="E365" s="39">
        <v>7.27</v>
      </c>
      <c r="G365" s="16" t="s">
        <v>940</v>
      </c>
    </row>
    <row r="366" spans="2:7" x14ac:dyDescent="0.2">
      <c r="B366" s="6" t="s">
        <v>353</v>
      </c>
      <c r="C366" s="6" t="s">
        <v>354</v>
      </c>
      <c r="D366" s="20"/>
      <c r="E366" s="39">
        <v>0.93</v>
      </c>
      <c r="G366" s="16" t="s">
        <v>940</v>
      </c>
    </row>
    <row r="367" spans="2:7" x14ac:dyDescent="0.2">
      <c r="B367" s="6" t="s">
        <v>347</v>
      </c>
      <c r="C367" s="6" t="s">
        <v>348</v>
      </c>
      <c r="D367" s="20"/>
      <c r="E367" s="39">
        <v>2.71</v>
      </c>
      <c r="G367" s="16" t="s">
        <v>940</v>
      </c>
    </row>
    <row r="368" spans="2:7" x14ac:dyDescent="0.2">
      <c r="B368" s="6" t="s">
        <v>51</v>
      </c>
      <c r="C368" s="6" t="s">
        <v>52</v>
      </c>
      <c r="D368" s="20"/>
      <c r="E368" s="39">
        <v>5.21</v>
      </c>
      <c r="G368" s="16" t="s">
        <v>940</v>
      </c>
    </row>
    <row r="369" spans="2:7" x14ac:dyDescent="0.2">
      <c r="B369" s="6" t="s">
        <v>323</v>
      </c>
      <c r="C369" s="6" t="s">
        <v>324</v>
      </c>
      <c r="D369" s="20"/>
      <c r="E369" s="39"/>
      <c r="G369" s="16" t="s">
        <v>940</v>
      </c>
    </row>
    <row r="370" spans="2:7" x14ac:dyDescent="0.2">
      <c r="B370" s="6" t="s">
        <v>109</v>
      </c>
      <c r="C370" s="6" t="s">
        <v>110</v>
      </c>
      <c r="D370" s="20"/>
      <c r="E370" s="39">
        <v>3.54</v>
      </c>
      <c r="G370" s="16" t="s">
        <v>940</v>
      </c>
    </row>
    <row r="371" spans="2:7" x14ac:dyDescent="0.2">
      <c r="B371" s="6" t="s">
        <v>374</v>
      </c>
      <c r="C371" s="6" t="s">
        <v>375</v>
      </c>
      <c r="D371" s="20"/>
      <c r="E371" s="39">
        <v>2.16</v>
      </c>
      <c r="G371" s="16" t="s">
        <v>940</v>
      </c>
    </row>
    <row r="372" spans="2:7" x14ac:dyDescent="0.2">
      <c r="B372" s="6" t="s">
        <v>73</v>
      </c>
      <c r="C372" s="6" t="s">
        <v>74</v>
      </c>
      <c r="D372" s="20"/>
      <c r="E372" s="39">
        <v>0.31</v>
      </c>
      <c r="G372" s="16" t="s">
        <v>940</v>
      </c>
    </row>
    <row r="373" spans="2:7" x14ac:dyDescent="0.2">
      <c r="B373" s="6" t="s">
        <v>61</v>
      </c>
      <c r="C373" s="6" t="s">
        <v>62</v>
      </c>
      <c r="D373" s="20"/>
      <c r="E373" s="39">
        <v>5.16</v>
      </c>
      <c r="G373" s="16" t="s">
        <v>940</v>
      </c>
    </row>
    <row r="374" spans="2:7" x14ac:dyDescent="0.2">
      <c r="B374" s="6" t="s">
        <v>372</v>
      </c>
      <c r="C374" s="6" t="s">
        <v>373</v>
      </c>
      <c r="D374" s="20"/>
      <c r="E374" s="39">
        <v>1.4</v>
      </c>
      <c r="G374" s="16" t="s">
        <v>940</v>
      </c>
    </row>
    <row r="375" spans="2:7" x14ac:dyDescent="0.2">
      <c r="B375" s="6" t="s">
        <v>364</v>
      </c>
      <c r="C375" s="6" t="s">
        <v>365</v>
      </c>
      <c r="D375" s="20"/>
      <c r="E375" s="39">
        <v>3.32</v>
      </c>
      <c r="G375" s="16" t="s">
        <v>940</v>
      </c>
    </row>
    <row r="376" spans="2:7" x14ac:dyDescent="0.2">
      <c r="B376" s="6" t="s">
        <v>366</v>
      </c>
      <c r="C376" s="6" t="s">
        <v>367</v>
      </c>
      <c r="D376" s="20"/>
      <c r="E376" s="39">
        <v>1.18</v>
      </c>
      <c r="G376" s="16" t="s">
        <v>940</v>
      </c>
    </row>
    <row r="377" spans="2:7" x14ac:dyDescent="0.2">
      <c r="B377" s="6" t="s">
        <v>370</v>
      </c>
      <c r="C377" s="6" t="s">
        <v>371</v>
      </c>
      <c r="D377" s="20"/>
      <c r="E377" s="39">
        <v>0.24</v>
      </c>
      <c r="G377" s="16" t="s">
        <v>940</v>
      </c>
    </row>
    <row r="378" spans="2:7" x14ac:dyDescent="0.2">
      <c r="B378" s="6" t="s">
        <v>368</v>
      </c>
      <c r="C378" s="6" t="s">
        <v>369</v>
      </c>
      <c r="D378" s="20"/>
      <c r="E378" s="39">
        <v>0.51</v>
      </c>
      <c r="G378" s="16" t="s">
        <v>940</v>
      </c>
    </row>
    <row r="379" spans="2:7" x14ac:dyDescent="0.2">
      <c r="B379" s="6" t="s">
        <v>45</v>
      </c>
      <c r="C379" s="6" t="s">
        <v>46</v>
      </c>
      <c r="D379" s="20"/>
      <c r="E379" s="39">
        <v>0.81</v>
      </c>
      <c r="G379" s="16" t="s">
        <v>940</v>
      </c>
    </row>
    <row r="380" spans="2:7" x14ac:dyDescent="0.2">
      <c r="B380" s="6" t="s">
        <v>311</v>
      </c>
      <c r="C380" s="6" t="s">
        <v>312</v>
      </c>
      <c r="D380" s="20"/>
      <c r="E380" s="39"/>
      <c r="G380" s="16" t="s">
        <v>940</v>
      </c>
    </row>
    <row r="381" spans="2:7" x14ac:dyDescent="0.2">
      <c r="B381" s="6" t="s">
        <v>265</v>
      </c>
      <c r="C381" s="6" t="s">
        <v>266</v>
      </c>
      <c r="D381" s="20"/>
      <c r="E381" s="39">
        <v>1557</v>
      </c>
      <c r="G381" s="16" t="s">
        <v>940</v>
      </c>
    </row>
    <row r="382" spans="2:7" x14ac:dyDescent="0.2">
      <c r="B382" s="6" t="s">
        <v>1310</v>
      </c>
      <c r="C382" s="6" t="s">
        <v>1311</v>
      </c>
      <c r="D382" s="20"/>
      <c r="E382" s="39">
        <v>17.38</v>
      </c>
      <c r="G382" s="16" t="s">
        <v>1997</v>
      </c>
    </row>
    <row r="383" spans="2:7" x14ac:dyDescent="0.2">
      <c r="B383" s="6" t="s">
        <v>1278</v>
      </c>
      <c r="C383" s="6" t="s">
        <v>1279</v>
      </c>
      <c r="D383" s="20"/>
      <c r="E383" s="39">
        <v>384</v>
      </c>
      <c r="G383" s="16" t="s">
        <v>1997</v>
      </c>
    </row>
    <row r="384" spans="2:7" x14ac:dyDescent="0.2">
      <c r="B384" s="6" t="s">
        <v>1264</v>
      </c>
      <c r="C384" s="6" t="s">
        <v>1265</v>
      </c>
      <c r="D384" s="20"/>
      <c r="E384" s="39">
        <v>205</v>
      </c>
      <c r="G384" s="16" t="s">
        <v>1997</v>
      </c>
    </row>
    <row r="385" spans="2:7" x14ac:dyDescent="0.2">
      <c r="B385" s="6" t="s">
        <v>1284</v>
      </c>
      <c r="C385" s="6" t="s">
        <v>1285</v>
      </c>
      <c r="D385" s="20"/>
      <c r="E385" s="39"/>
      <c r="G385" s="16" t="s">
        <v>1997</v>
      </c>
    </row>
    <row r="386" spans="2:7" x14ac:dyDescent="0.2">
      <c r="B386" s="6" t="s">
        <v>1282</v>
      </c>
      <c r="C386" s="6" t="s">
        <v>1283</v>
      </c>
      <c r="D386" s="20"/>
      <c r="E386" s="39"/>
      <c r="G386" s="16" t="s">
        <v>1997</v>
      </c>
    </row>
    <row r="387" spans="2:7" x14ac:dyDescent="0.2">
      <c r="B387" s="6" t="s">
        <v>1198</v>
      </c>
      <c r="C387" s="6" t="s">
        <v>1199</v>
      </c>
      <c r="D387" s="20"/>
      <c r="E387" s="39">
        <v>75</v>
      </c>
      <c r="G387" s="16" t="s">
        <v>1997</v>
      </c>
    </row>
    <row r="388" spans="2:7" x14ac:dyDescent="0.2">
      <c r="B388" s="6" t="s">
        <v>1270</v>
      </c>
      <c r="C388" s="6" t="s">
        <v>1271</v>
      </c>
      <c r="D388" s="20"/>
      <c r="E388" s="39">
        <v>69</v>
      </c>
      <c r="G388" s="16" t="s">
        <v>1997</v>
      </c>
    </row>
    <row r="389" spans="2:7" x14ac:dyDescent="0.2">
      <c r="B389" s="6" t="s">
        <v>1232</v>
      </c>
      <c r="C389" s="6" t="s">
        <v>1233</v>
      </c>
      <c r="D389" s="20"/>
      <c r="E389" s="39">
        <v>1438</v>
      </c>
      <c r="G389" s="16" t="s">
        <v>1997</v>
      </c>
    </row>
    <row r="390" spans="2:7" x14ac:dyDescent="0.2">
      <c r="B390" s="6" t="s">
        <v>1226</v>
      </c>
      <c r="C390" s="6" t="s">
        <v>1227</v>
      </c>
      <c r="D390" s="20"/>
      <c r="E390" s="39">
        <v>250.98</v>
      </c>
      <c r="G390" s="16" t="s">
        <v>1997</v>
      </c>
    </row>
    <row r="391" spans="2:7" x14ac:dyDescent="0.2">
      <c r="B391" s="6" t="s">
        <v>1316</v>
      </c>
      <c r="C391" s="6" t="s">
        <v>1317</v>
      </c>
      <c r="D391" s="20"/>
      <c r="E391" s="39">
        <v>499</v>
      </c>
      <c r="G391" s="16" t="s">
        <v>1997</v>
      </c>
    </row>
    <row r="392" spans="2:7" x14ac:dyDescent="0.2">
      <c r="B392" s="6" t="s">
        <v>1230</v>
      </c>
      <c r="C392" s="6" t="s">
        <v>1231</v>
      </c>
      <c r="D392" s="20"/>
      <c r="E392" s="39">
        <v>167.17</v>
      </c>
      <c r="G392" s="16" t="s">
        <v>1997</v>
      </c>
    </row>
    <row r="393" spans="2:7" x14ac:dyDescent="0.2">
      <c r="B393" s="6" t="s">
        <v>1314</v>
      </c>
      <c r="C393" s="6" t="s">
        <v>1315</v>
      </c>
      <c r="D393" s="20"/>
      <c r="E393" s="39"/>
      <c r="G393" s="16" t="s">
        <v>1997</v>
      </c>
    </row>
    <row r="394" spans="2:7" x14ac:dyDescent="0.2">
      <c r="B394" s="6" t="s">
        <v>1210</v>
      </c>
      <c r="C394" s="6" t="s">
        <v>1211</v>
      </c>
      <c r="D394" s="20"/>
      <c r="E394" s="39">
        <v>74.5</v>
      </c>
      <c r="G394" s="16" t="s">
        <v>1997</v>
      </c>
    </row>
    <row r="395" spans="2:7" x14ac:dyDescent="0.2">
      <c r="B395" s="6" t="s">
        <v>1236</v>
      </c>
      <c r="C395" s="6" t="s">
        <v>1237</v>
      </c>
      <c r="D395" s="20"/>
      <c r="E395" s="39">
        <v>804.96</v>
      </c>
      <c r="G395" s="16" t="s">
        <v>1997</v>
      </c>
    </row>
    <row r="396" spans="2:7" x14ac:dyDescent="0.2">
      <c r="B396" s="6" t="s">
        <v>1212</v>
      </c>
      <c r="C396" s="6" t="s">
        <v>1213</v>
      </c>
      <c r="D396" s="20"/>
      <c r="E396" s="39">
        <v>75</v>
      </c>
      <c r="G396" s="16" t="s">
        <v>1997</v>
      </c>
    </row>
    <row r="397" spans="2:7" x14ac:dyDescent="0.2">
      <c r="B397" s="6" t="s">
        <v>1308</v>
      </c>
      <c r="C397" s="6" t="s">
        <v>1309</v>
      </c>
      <c r="D397" s="20"/>
      <c r="E397" s="39">
        <v>45</v>
      </c>
      <c r="G397" s="16" t="s">
        <v>1997</v>
      </c>
    </row>
    <row r="398" spans="2:7" x14ac:dyDescent="0.2">
      <c r="B398" s="6" t="s">
        <v>1252</v>
      </c>
      <c r="C398" s="6" t="s">
        <v>1253</v>
      </c>
      <c r="D398" s="20"/>
      <c r="E398" s="39">
        <v>305</v>
      </c>
      <c r="G398" s="16" t="s">
        <v>1997</v>
      </c>
    </row>
    <row r="399" spans="2:7" x14ac:dyDescent="0.2">
      <c r="B399" s="6" t="s">
        <v>1276</v>
      </c>
      <c r="C399" s="6" t="s">
        <v>1277</v>
      </c>
      <c r="D399" s="20"/>
      <c r="E399" s="39">
        <v>202.5</v>
      </c>
      <c r="G399" s="16" t="s">
        <v>1997</v>
      </c>
    </row>
    <row r="400" spans="2:7" x14ac:dyDescent="0.2">
      <c r="B400" s="6" t="s">
        <v>1248</v>
      </c>
      <c r="C400" s="6" t="s">
        <v>1249</v>
      </c>
      <c r="D400" s="20"/>
      <c r="E400" s="39">
        <v>95</v>
      </c>
      <c r="G400" s="16" t="s">
        <v>1997</v>
      </c>
    </row>
    <row r="401" spans="2:7" x14ac:dyDescent="0.2">
      <c r="B401" s="6" t="s">
        <v>1192</v>
      </c>
      <c r="C401" s="6" t="s">
        <v>1193</v>
      </c>
      <c r="D401" s="20"/>
      <c r="E401" s="39">
        <v>108</v>
      </c>
      <c r="G401" s="16" t="s">
        <v>1997</v>
      </c>
    </row>
    <row r="402" spans="2:7" x14ac:dyDescent="0.2">
      <c r="B402" s="6" t="s">
        <v>1208</v>
      </c>
      <c r="C402" s="6" t="s">
        <v>1209</v>
      </c>
      <c r="D402" s="20"/>
      <c r="E402" s="39">
        <v>55</v>
      </c>
      <c r="G402" s="16" t="s">
        <v>1997</v>
      </c>
    </row>
    <row r="403" spans="2:7" x14ac:dyDescent="0.2">
      <c r="B403" s="6" t="s">
        <v>1292</v>
      </c>
      <c r="C403" s="6" t="s">
        <v>1293</v>
      </c>
      <c r="D403" s="20"/>
      <c r="E403" s="39">
        <v>9164</v>
      </c>
      <c r="G403" s="16" t="s">
        <v>1997</v>
      </c>
    </row>
    <row r="404" spans="2:7" x14ac:dyDescent="0.2">
      <c r="B404" s="6" t="s">
        <v>1290</v>
      </c>
      <c r="C404" s="6" t="s">
        <v>1291</v>
      </c>
      <c r="D404" s="20"/>
      <c r="E404" s="39">
        <v>10904</v>
      </c>
      <c r="G404" s="16" t="s">
        <v>1997</v>
      </c>
    </row>
    <row r="405" spans="2:7" x14ac:dyDescent="0.2">
      <c r="B405" s="6" t="s">
        <v>1288</v>
      </c>
      <c r="C405" s="6" t="s">
        <v>1289</v>
      </c>
      <c r="D405" s="20"/>
      <c r="E405" s="39">
        <v>12644</v>
      </c>
      <c r="G405" s="16" t="s">
        <v>1997</v>
      </c>
    </row>
    <row r="406" spans="2:7" x14ac:dyDescent="0.2">
      <c r="B406" s="6" t="s">
        <v>1286</v>
      </c>
      <c r="C406" s="6" t="s">
        <v>1287</v>
      </c>
      <c r="D406" s="20"/>
      <c r="E406" s="39">
        <v>15892</v>
      </c>
      <c r="G406" s="16" t="s">
        <v>1997</v>
      </c>
    </row>
    <row r="407" spans="2:7" x14ac:dyDescent="0.2">
      <c r="B407" s="6" t="s">
        <v>1262</v>
      </c>
      <c r="C407" s="6" t="s">
        <v>1263</v>
      </c>
      <c r="D407" s="20"/>
      <c r="E407" s="39">
        <v>158</v>
      </c>
      <c r="G407" s="16" t="s">
        <v>1997</v>
      </c>
    </row>
    <row r="408" spans="2:7" x14ac:dyDescent="0.2">
      <c r="B408" s="6" t="s">
        <v>1234</v>
      </c>
      <c r="C408" s="6" t="s">
        <v>1235</v>
      </c>
      <c r="D408" s="20"/>
      <c r="E408" s="39">
        <v>119.7</v>
      </c>
      <c r="G408" s="16" t="s">
        <v>1997</v>
      </c>
    </row>
    <row r="409" spans="2:7" x14ac:dyDescent="0.2">
      <c r="B409" s="6" t="s">
        <v>1200</v>
      </c>
      <c r="C409" s="6" t="s">
        <v>1201</v>
      </c>
      <c r="D409" s="20"/>
      <c r="E409" s="39">
        <v>110</v>
      </c>
      <c r="G409" s="16" t="s">
        <v>1997</v>
      </c>
    </row>
    <row r="410" spans="2:7" x14ac:dyDescent="0.2">
      <c r="B410" s="6" t="s">
        <v>1294</v>
      </c>
      <c r="C410" s="6" t="s">
        <v>1295</v>
      </c>
      <c r="D410" s="20"/>
      <c r="E410" s="39">
        <v>300</v>
      </c>
      <c r="G410" s="16" t="s">
        <v>1997</v>
      </c>
    </row>
    <row r="411" spans="2:7" x14ac:dyDescent="0.2">
      <c r="B411" s="6" t="s">
        <v>1218</v>
      </c>
      <c r="C411" s="6" t="s">
        <v>1219</v>
      </c>
      <c r="D411" s="20"/>
      <c r="E411" s="39">
        <v>717.8</v>
      </c>
      <c r="G411" s="16" t="s">
        <v>1997</v>
      </c>
    </row>
    <row r="412" spans="2:7" x14ac:dyDescent="0.2">
      <c r="B412" s="6" t="s">
        <v>1220</v>
      </c>
      <c r="C412" s="6" t="s">
        <v>1221</v>
      </c>
      <c r="D412" s="20"/>
      <c r="E412" s="39">
        <v>764.15</v>
      </c>
      <c r="G412" s="16" t="s">
        <v>1997</v>
      </c>
    </row>
    <row r="413" spans="2:7" x14ac:dyDescent="0.2">
      <c r="B413" s="6" t="s">
        <v>1216</v>
      </c>
      <c r="C413" s="6" t="s">
        <v>1217</v>
      </c>
      <c r="D413" s="20"/>
      <c r="E413" s="39">
        <v>764.15</v>
      </c>
      <c r="G413" s="16" t="s">
        <v>1997</v>
      </c>
    </row>
    <row r="414" spans="2:7" x14ac:dyDescent="0.2">
      <c r="B414" s="6" t="s">
        <v>1178</v>
      </c>
      <c r="C414" s="6" t="s">
        <v>1179</v>
      </c>
      <c r="D414" s="20"/>
      <c r="E414" s="39">
        <v>949</v>
      </c>
      <c r="G414" s="16" t="s">
        <v>1997</v>
      </c>
    </row>
    <row r="415" spans="2:7" x14ac:dyDescent="0.2">
      <c r="B415" s="6" t="s">
        <v>1280</v>
      </c>
      <c r="C415" s="6" t="s">
        <v>1281</v>
      </c>
      <c r="D415" s="20"/>
      <c r="E415" s="39">
        <v>189</v>
      </c>
      <c r="G415" s="16" t="s">
        <v>1997</v>
      </c>
    </row>
    <row r="416" spans="2:7" x14ac:dyDescent="0.2">
      <c r="B416" s="6" t="s">
        <v>1274</v>
      </c>
      <c r="C416" s="6" t="s">
        <v>1275</v>
      </c>
      <c r="D416" s="20"/>
      <c r="E416" s="39">
        <v>80.92</v>
      </c>
      <c r="G416" s="16" t="s">
        <v>1997</v>
      </c>
    </row>
    <row r="417" spans="2:7" x14ac:dyDescent="0.2">
      <c r="B417" s="6" t="s">
        <v>1228</v>
      </c>
      <c r="C417" s="6" t="s">
        <v>1229</v>
      </c>
      <c r="D417" s="20"/>
      <c r="E417" s="39">
        <v>940</v>
      </c>
      <c r="G417" s="16" t="s">
        <v>1997</v>
      </c>
    </row>
    <row r="418" spans="2:7" x14ac:dyDescent="0.2">
      <c r="B418" s="6" t="s">
        <v>1222</v>
      </c>
      <c r="C418" s="6" t="s">
        <v>1223</v>
      </c>
      <c r="D418" s="20"/>
      <c r="E418" s="39">
        <v>6284</v>
      </c>
      <c r="G418" s="16" t="s">
        <v>1997</v>
      </c>
    </row>
    <row r="419" spans="2:7" x14ac:dyDescent="0.2">
      <c r="B419" s="6" t="s">
        <v>1240</v>
      </c>
      <c r="C419" s="6" t="s">
        <v>1241</v>
      </c>
      <c r="D419" s="20"/>
      <c r="E419" s="39">
        <v>263</v>
      </c>
      <c r="G419" s="16" t="s">
        <v>1997</v>
      </c>
    </row>
    <row r="420" spans="2:7" x14ac:dyDescent="0.2">
      <c r="B420" s="6" t="s">
        <v>1312</v>
      </c>
      <c r="C420" s="6" t="s">
        <v>1313</v>
      </c>
      <c r="D420" s="20"/>
      <c r="E420" s="39">
        <v>43</v>
      </c>
      <c r="G420" s="16" t="s">
        <v>1997</v>
      </c>
    </row>
    <row r="421" spans="2:7" x14ac:dyDescent="0.2">
      <c r="B421" s="6" t="s">
        <v>1186</v>
      </c>
      <c r="C421" s="6" t="s">
        <v>1187</v>
      </c>
      <c r="D421" s="20"/>
      <c r="E421" s="39">
        <v>155.80000000000001</v>
      </c>
      <c r="G421" s="16" t="s">
        <v>1997</v>
      </c>
    </row>
    <row r="422" spans="2:7" x14ac:dyDescent="0.2">
      <c r="B422" s="6" t="s">
        <v>1190</v>
      </c>
      <c r="C422" s="6" t="s">
        <v>1191</v>
      </c>
      <c r="D422" s="20"/>
      <c r="E422" s="39">
        <v>155.80000000000001</v>
      </c>
      <c r="G422" s="16" t="s">
        <v>1997</v>
      </c>
    </row>
    <row r="423" spans="2:7" x14ac:dyDescent="0.2">
      <c r="B423" s="6" t="s">
        <v>1184</v>
      </c>
      <c r="C423" s="6" t="s">
        <v>1185</v>
      </c>
      <c r="D423" s="20"/>
      <c r="E423" s="39">
        <v>256.5</v>
      </c>
      <c r="G423" s="16" t="s">
        <v>1997</v>
      </c>
    </row>
    <row r="424" spans="2:7" x14ac:dyDescent="0.2">
      <c r="B424" s="6" t="s">
        <v>1194</v>
      </c>
      <c r="C424" s="6" t="s">
        <v>1195</v>
      </c>
      <c r="D424" s="20"/>
      <c r="E424" s="39">
        <v>155.80000000000001</v>
      </c>
      <c r="G424" s="16" t="s">
        <v>1997</v>
      </c>
    </row>
    <row r="425" spans="2:7" x14ac:dyDescent="0.2">
      <c r="B425" s="6" t="s">
        <v>1188</v>
      </c>
      <c r="C425" s="6" t="s">
        <v>1189</v>
      </c>
      <c r="D425" s="20"/>
      <c r="E425" s="39">
        <v>243.2</v>
      </c>
      <c r="G425" s="16" t="s">
        <v>1997</v>
      </c>
    </row>
    <row r="426" spans="2:7" x14ac:dyDescent="0.2">
      <c r="B426" s="6" t="s">
        <v>1180</v>
      </c>
      <c r="C426" s="6" t="s">
        <v>1181</v>
      </c>
      <c r="D426" s="20"/>
      <c r="E426" s="39">
        <v>347</v>
      </c>
      <c r="G426" s="16" t="s">
        <v>1997</v>
      </c>
    </row>
    <row r="427" spans="2:7" x14ac:dyDescent="0.2">
      <c r="B427" s="6" t="s">
        <v>1254</v>
      </c>
      <c r="C427" s="6" t="s">
        <v>1255</v>
      </c>
      <c r="D427" s="20"/>
      <c r="E427" s="39">
        <v>191</v>
      </c>
      <c r="G427" s="16" t="s">
        <v>1997</v>
      </c>
    </row>
    <row r="428" spans="2:7" x14ac:dyDescent="0.2">
      <c r="B428" s="6" t="s">
        <v>1258</v>
      </c>
      <c r="C428" s="6" t="s">
        <v>1259</v>
      </c>
      <c r="D428" s="20"/>
      <c r="E428" s="39">
        <v>193.25</v>
      </c>
      <c r="G428" s="16" t="s">
        <v>1997</v>
      </c>
    </row>
    <row r="429" spans="2:7" x14ac:dyDescent="0.2">
      <c r="B429" s="6" t="s">
        <v>1196</v>
      </c>
      <c r="C429" s="6" t="s">
        <v>1197</v>
      </c>
      <c r="D429" s="20"/>
      <c r="E429" s="39">
        <v>229</v>
      </c>
      <c r="G429" s="16" t="s">
        <v>1997</v>
      </c>
    </row>
    <row r="430" spans="2:7" x14ac:dyDescent="0.2">
      <c r="B430" s="6" t="s">
        <v>1306</v>
      </c>
      <c r="C430" s="6" t="s">
        <v>1307</v>
      </c>
      <c r="D430" s="20"/>
      <c r="E430" s="39">
        <v>805</v>
      </c>
      <c r="G430" s="16" t="s">
        <v>1997</v>
      </c>
    </row>
    <row r="431" spans="2:7" x14ac:dyDescent="0.2">
      <c r="B431" s="6" t="s">
        <v>1304</v>
      </c>
      <c r="C431" s="6" t="s">
        <v>1305</v>
      </c>
      <c r="D431" s="20"/>
      <c r="E431" s="39">
        <v>595</v>
      </c>
      <c r="G431" s="16" t="s">
        <v>1997</v>
      </c>
    </row>
    <row r="432" spans="2:7" x14ac:dyDescent="0.2">
      <c r="B432" s="6" t="s">
        <v>1182</v>
      </c>
      <c r="C432" s="6" t="s">
        <v>1183</v>
      </c>
      <c r="D432" s="20"/>
      <c r="E432" s="39">
        <v>199</v>
      </c>
      <c r="G432" s="16" t="s">
        <v>1997</v>
      </c>
    </row>
    <row r="433" spans="2:7" x14ac:dyDescent="0.2">
      <c r="B433" s="6" t="s">
        <v>1318</v>
      </c>
      <c r="C433" s="6" t="s">
        <v>1319</v>
      </c>
      <c r="D433" s="20"/>
      <c r="E433" s="39"/>
      <c r="G433" s="16" t="s">
        <v>1997</v>
      </c>
    </row>
    <row r="434" spans="2:7" x14ac:dyDescent="0.2">
      <c r="B434" s="6" t="s">
        <v>1214</v>
      </c>
      <c r="C434" s="6" t="s">
        <v>1215</v>
      </c>
      <c r="D434" s="20"/>
      <c r="E434" s="39">
        <v>329</v>
      </c>
      <c r="G434" s="16" t="s">
        <v>1997</v>
      </c>
    </row>
    <row r="435" spans="2:7" x14ac:dyDescent="0.2">
      <c r="B435" s="6" t="s">
        <v>1268</v>
      </c>
      <c r="C435" s="6" t="s">
        <v>1269</v>
      </c>
      <c r="D435" s="20"/>
      <c r="E435" s="39">
        <v>77.44</v>
      </c>
      <c r="G435" s="16" t="s">
        <v>1997</v>
      </c>
    </row>
    <row r="436" spans="2:7" x14ac:dyDescent="0.2">
      <c r="B436" s="6" t="s">
        <v>1266</v>
      </c>
      <c r="C436" s="6" t="s">
        <v>1267</v>
      </c>
      <c r="D436" s="20"/>
      <c r="E436" s="39">
        <v>51</v>
      </c>
      <c r="G436" s="16" t="s">
        <v>1997</v>
      </c>
    </row>
    <row r="437" spans="2:7" x14ac:dyDescent="0.2">
      <c r="B437" s="6" t="s">
        <v>1298</v>
      </c>
      <c r="C437" s="6" t="s">
        <v>1299</v>
      </c>
      <c r="D437" s="20"/>
      <c r="E437" s="39">
        <v>169</v>
      </c>
      <c r="G437" s="16" t="s">
        <v>1997</v>
      </c>
    </row>
    <row r="438" spans="2:7" x14ac:dyDescent="0.2">
      <c r="B438" s="6" t="s">
        <v>1296</v>
      </c>
      <c r="C438" s="6" t="s">
        <v>1297</v>
      </c>
      <c r="D438" s="20"/>
      <c r="E438" s="39">
        <v>169</v>
      </c>
      <c r="G438" s="16" t="s">
        <v>1997</v>
      </c>
    </row>
    <row r="439" spans="2:7" x14ac:dyDescent="0.2">
      <c r="B439" s="6" t="s">
        <v>1300</v>
      </c>
      <c r="C439" s="6" t="s">
        <v>1301</v>
      </c>
      <c r="D439" s="20"/>
      <c r="E439" s="39">
        <v>185</v>
      </c>
      <c r="G439" s="16" t="s">
        <v>1997</v>
      </c>
    </row>
    <row r="440" spans="2:7" x14ac:dyDescent="0.2">
      <c r="B440" s="6" t="s">
        <v>1260</v>
      </c>
      <c r="C440" s="6" t="s">
        <v>1261</v>
      </c>
      <c r="D440" s="20"/>
      <c r="E440" s="39">
        <v>179</v>
      </c>
      <c r="G440" s="16" t="s">
        <v>1997</v>
      </c>
    </row>
    <row r="441" spans="2:7" x14ac:dyDescent="0.2">
      <c r="B441" s="6" t="s">
        <v>1246</v>
      </c>
      <c r="C441" s="6" t="s">
        <v>1247</v>
      </c>
      <c r="D441" s="20"/>
      <c r="E441" s="39">
        <v>77</v>
      </c>
      <c r="G441" s="16" t="s">
        <v>1997</v>
      </c>
    </row>
    <row r="442" spans="2:7" x14ac:dyDescent="0.2">
      <c r="B442" s="6" t="s">
        <v>1302</v>
      </c>
      <c r="C442" s="6" t="s">
        <v>1303</v>
      </c>
      <c r="D442" s="20"/>
      <c r="E442" s="39">
        <v>500</v>
      </c>
      <c r="G442" s="16" t="s">
        <v>1997</v>
      </c>
    </row>
    <row r="443" spans="2:7" x14ac:dyDescent="0.2">
      <c r="B443" s="6" t="s">
        <v>1206</v>
      </c>
      <c r="C443" s="6" t="s">
        <v>1207</v>
      </c>
      <c r="D443" s="20"/>
      <c r="E443" s="39">
        <v>119.6</v>
      </c>
      <c r="G443" s="16" t="s">
        <v>1997</v>
      </c>
    </row>
    <row r="444" spans="2:7" x14ac:dyDescent="0.2">
      <c r="B444" s="6" t="s">
        <v>1204</v>
      </c>
      <c r="C444" s="6" t="s">
        <v>1205</v>
      </c>
      <c r="D444" s="20"/>
      <c r="E444" s="39">
        <v>95</v>
      </c>
      <c r="G444" s="16" t="s">
        <v>1997</v>
      </c>
    </row>
    <row r="445" spans="2:7" x14ac:dyDescent="0.2">
      <c r="B445" s="6" t="s">
        <v>1242</v>
      </c>
      <c r="C445" s="6" t="s">
        <v>1243</v>
      </c>
      <c r="D445" s="20"/>
      <c r="E445" s="39">
        <v>143.44999999999999</v>
      </c>
      <c r="G445" s="16" t="s">
        <v>1997</v>
      </c>
    </row>
    <row r="446" spans="2:7" x14ac:dyDescent="0.2">
      <c r="B446" s="6" t="s">
        <v>1244</v>
      </c>
      <c r="C446" s="6" t="s">
        <v>1245</v>
      </c>
      <c r="D446" s="20"/>
      <c r="E446" s="39">
        <v>731</v>
      </c>
      <c r="G446" s="16" t="s">
        <v>1997</v>
      </c>
    </row>
    <row r="447" spans="2:7" x14ac:dyDescent="0.2">
      <c r="B447" s="6" t="s">
        <v>1202</v>
      </c>
      <c r="C447" s="6" t="s">
        <v>1203</v>
      </c>
      <c r="D447" s="20"/>
      <c r="E447" s="39">
        <v>366.58</v>
      </c>
      <c r="G447" s="16" t="s">
        <v>1997</v>
      </c>
    </row>
    <row r="448" spans="2:7" x14ac:dyDescent="0.2">
      <c r="B448" s="6" t="s">
        <v>1250</v>
      </c>
      <c r="C448" s="6" t="s">
        <v>1251</v>
      </c>
      <c r="D448" s="20"/>
      <c r="E448" s="39">
        <v>92</v>
      </c>
      <c r="G448" s="16" t="s">
        <v>1997</v>
      </c>
    </row>
    <row r="449" spans="2:7" x14ac:dyDescent="0.2">
      <c r="B449" s="6" t="s">
        <v>1256</v>
      </c>
      <c r="C449" s="6" t="s">
        <v>1257</v>
      </c>
      <c r="D449" s="20"/>
      <c r="E449" s="39">
        <v>170</v>
      </c>
      <c r="G449" s="16" t="s">
        <v>1997</v>
      </c>
    </row>
    <row r="450" spans="2:7" x14ac:dyDescent="0.2">
      <c r="B450" s="6" t="s">
        <v>1224</v>
      </c>
      <c r="C450" s="6" t="s">
        <v>1225</v>
      </c>
      <c r="D450" s="20">
        <v>2</v>
      </c>
      <c r="E450" s="39">
        <v>1590</v>
      </c>
      <c r="G450" s="16" t="s">
        <v>1997</v>
      </c>
    </row>
    <row r="451" spans="2:7" x14ac:dyDescent="0.2">
      <c r="B451" s="6" t="s">
        <v>1272</v>
      </c>
      <c r="C451" s="6" t="s">
        <v>1273</v>
      </c>
      <c r="D451" s="20"/>
      <c r="E451" s="39">
        <v>214.99</v>
      </c>
      <c r="G451" s="16" t="s">
        <v>1997</v>
      </c>
    </row>
    <row r="452" spans="2:7" x14ac:dyDescent="0.2">
      <c r="B452" s="6" t="s">
        <v>1238</v>
      </c>
      <c r="C452" s="6" t="s">
        <v>1239</v>
      </c>
      <c r="D452" s="20"/>
      <c r="E452" s="39"/>
      <c r="G452" s="16" t="s">
        <v>1997</v>
      </c>
    </row>
    <row r="453" spans="2:7" x14ac:dyDescent="0.2">
      <c r="B453" s="6" t="s">
        <v>832</v>
      </c>
      <c r="C453" s="6" t="s">
        <v>833</v>
      </c>
      <c r="D453" s="20"/>
      <c r="E453" s="39"/>
      <c r="G453" s="16" t="s">
        <v>940</v>
      </c>
    </row>
    <row r="454" spans="2:7" x14ac:dyDescent="0.2">
      <c r="B454" s="6" t="s">
        <v>784</v>
      </c>
      <c r="C454" s="6" t="s">
        <v>785</v>
      </c>
      <c r="D454" s="20"/>
      <c r="E454" s="39">
        <v>85</v>
      </c>
      <c r="G454" s="16" t="s">
        <v>940</v>
      </c>
    </row>
    <row r="455" spans="2:7" x14ac:dyDescent="0.2">
      <c r="B455" s="6" t="s">
        <v>800</v>
      </c>
      <c r="C455" s="6" t="s">
        <v>801</v>
      </c>
      <c r="D455" s="20"/>
      <c r="E455" s="39"/>
      <c r="G455" s="16" t="s">
        <v>940</v>
      </c>
    </row>
    <row r="456" spans="2:7" x14ac:dyDescent="0.2">
      <c r="B456" s="6" t="s">
        <v>802</v>
      </c>
      <c r="C456" s="6" t="s">
        <v>803</v>
      </c>
      <c r="D456" s="20"/>
      <c r="E456" s="39"/>
      <c r="G456" s="16" t="s">
        <v>940</v>
      </c>
    </row>
    <row r="457" spans="2:7" x14ac:dyDescent="0.2">
      <c r="B457" s="6" t="s">
        <v>804</v>
      </c>
      <c r="C457" s="6" t="s">
        <v>805</v>
      </c>
      <c r="D457" s="20"/>
      <c r="E457" s="39"/>
      <c r="G457" s="16" t="s">
        <v>940</v>
      </c>
    </row>
    <row r="458" spans="2:7" x14ac:dyDescent="0.2">
      <c r="B458" s="6" t="s">
        <v>854</v>
      </c>
      <c r="C458" s="6" t="s">
        <v>855</v>
      </c>
      <c r="D458" s="20"/>
      <c r="E458" s="39"/>
      <c r="G458" s="16" t="s">
        <v>940</v>
      </c>
    </row>
    <row r="459" spans="2:7" x14ac:dyDescent="0.2">
      <c r="B459" s="6" t="s">
        <v>858</v>
      </c>
      <c r="C459" s="6" t="s">
        <v>859</v>
      </c>
      <c r="D459" s="20"/>
      <c r="E459" s="39"/>
      <c r="G459" s="16" t="s">
        <v>940</v>
      </c>
    </row>
    <row r="460" spans="2:7" x14ac:dyDescent="0.2">
      <c r="B460" s="6" t="s">
        <v>856</v>
      </c>
      <c r="C460" s="6" t="s">
        <v>857</v>
      </c>
      <c r="D460" s="20"/>
      <c r="E460" s="39"/>
      <c r="G460" s="16" t="s">
        <v>940</v>
      </c>
    </row>
    <row r="461" spans="2:7" x14ac:dyDescent="0.2">
      <c r="B461" s="6" t="s">
        <v>818</v>
      </c>
      <c r="C461" s="6" t="s">
        <v>819</v>
      </c>
      <c r="D461" s="20"/>
      <c r="E461" s="39"/>
      <c r="G461" s="16" t="s">
        <v>940</v>
      </c>
    </row>
    <row r="462" spans="2:7" x14ac:dyDescent="0.2">
      <c r="B462" s="6" t="s">
        <v>816</v>
      </c>
      <c r="C462" s="6" t="s">
        <v>817</v>
      </c>
      <c r="D462" s="20"/>
      <c r="E462" s="39"/>
      <c r="G462" s="16" t="s">
        <v>940</v>
      </c>
    </row>
    <row r="463" spans="2:7" x14ac:dyDescent="0.2">
      <c r="B463" s="6" t="s">
        <v>772</v>
      </c>
      <c r="C463" s="6" t="s">
        <v>773</v>
      </c>
      <c r="D463" s="20"/>
      <c r="E463" s="39"/>
      <c r="G463" s="16" t="s">
        <v>940</v>
      </c>
    </row>
    <row r="464" spans="2:7" x14ac:dyDescent="0.2">
      <c r="B464" s="6" t="s">
        <v>820</v>
      </c>
      <c r="C464" s="6" t="s">
        <v>821</v>
      </c>
      <c r="D464" s="20"/>
      <c r="E464" s="39"/>
      <c r="G464" s="16" t="s">
        <v>940</v>
      </c>
    </row>
    <row r="465" spans="2:7" x14ac:dyDescent="0.2">
      <c r="B465" s="6" t="s">
        <v>822</v>
      </c>
      <c r="C465" s="6" t="s">
        <v>823</v>
      </c>
      <c r="D465" s="20"/>
      <c r="E465" s="39"/>
      <c r="G465" s="16" t="s">
        <v>940</v>
      </c>
    </row>
    <row r="466" spans="2:7" x14ac:dyDescent="0.2">
      <c r="B466" s="6" t="s">
        <v>824</v>
      </c>
      <c r="C466" s="6" t="s">
        <v>825</v>
      </c>
      <c r="D466" s="20"/>
      <c r="E466" s="39"/>
      <c r="G466" s="16" t="s">
        <v>940</v>
      </c>
    </row>
    <row r="467" spans="2:7" x14ac:dyDescent="0.2">
      <c r="B467" s="6" t="s">
        <v>826</v>
      </c>
      <c r="C467" s="6" t="s">
        <v>827</v>
      </c>
      <c r="D467" s="20"/>
      <c r="E467" s="39"/>
      <c r="G467" s="16" t="s">
        <v>940</v>
      </c>
    </row>
    <row r="468" spans="2:7" x14ac:dyDescent="0.2">
      <c r="B468" s="6" t="s">
        <v>796</v>
      </c>
      <c r="C468" s="6" t="s">
        <v>797</v>
      </c>
      <c r="D468" s="20"/>
      <c r="E468" s="39"/>
      <c r="G468" s="16" t="s">
        <v>940</v>
      </c>
    </row>
    <row r="469" spans="2:7" x14ac:dyDescent="0.2">
      <c r="B469" s="6" t="s">
        <v>788</v>
      </c>
      <c r="C469" s="6" t="s">
        <v>789</v>
      </c>
      <c r="D469" s="20">
        <v>10</v>
      </c>
      <c r="E469" s="39">
        <v>63.8</v>
      </c>
      <c r="G469" s="16" t="s">
        <v>940</v>
      </c>
    </row>
    <row r="470" spans="2:7" x14ac:dyDescent="0.2">
      <c r="B470" s="6" t="s">
        <v>798</v>
      </c>
      <c r="C470" s="6" t="s">
        <v>799</v>
      </c>
      <c r="D470" s="20">
        <v>10</v>
      </c>
      <c r="E470" s="39"/>
      <c r="G470" s="16" t="s">
        <v>940</v>
      </c>
    </row>
    <row r="471" spans="2:7" x14ac:dyDescent="0.2">
      <c r="B471" s="6" t="s">
        <v>786</v>
      </c>
      <c r="C471" s="6" t="s">
        <v>787</v>
      </c>
      <c r="D471" s="20">
        <v>10</v>
      </c>
      <c r="E471" s="39">
        <v>63.8</v>
      </c>
      <c r="G471" s="16" t="s">
        <v>940</v>
      </c>
    </row>
    <row r="472" spans="2:7" x14ac:dyDescent="0.2">
      <c r="B472" s="6" t="s">
        <v>790</v>
      </c>
      <c r="C472" s="6" t="s">
        <v>791</v>
      </c>
      <c r="D472" s="20">
        <v>10</v>
      </c>
      <c r="E472" s="39">
        <v>23.95</v>
      </c>
      <c r="G472" s="16" t="s">
        <v>940</v>
      </c>
    </row>
    <row r="473" spans="2:7" x14ac:dyDescent="0.2">
      <c r="B473" s="6" t="s">
        <v>792</v>
      </c>
      <c r="C473" s="6" t="s">
        <v>793</v>
      </c>
      <c r="D473" s="20">
        <v>10</v>
      </c>
      <c r="E473" s="39">
        <v>27.41</v>
      </c>
      <c r="G473" s="16" t="s">
        <v>940</v>
      </c>
    </row>
    <row r="474" spans="2:7" x14ac:dyDescent="0.2">
      <c r="B474" s="6" t="s">
        <v>794</v>
      </c>
      <c r="C474" s="6" t="s">
        <v>795</v>
      </c>
      <c r="D474" s="20">
        <v>10</v>
      </c>
      <c r="E474" s="39">
        <v>52.13</v>
      </c>
      <c r="G474" s="16" t="s">
        <v>940</v>
      </c>
    </row>
    <row r="475" spans="2:7" x14ac:dyDescent="0.2">
      <c r="B475" s="6" t="s">
        <v>774</v>
      </c>
      <c r="C475" s="6" t="s">
        <v>775</v>
      </c>
      <c r="D475" s="20">
        <v>5</v>
      </c>
      <c r="E475" s="39">
        <v>220</v>
      </c>
      <c r="G475" s="16" t="s">
        <v>940</v>
      </c>
    </row>
    <row r="476" spans="2:7" x14ac:dyDescent="0.2">
      <c r="B476" s="6" t="s">
        <v>776</v>
      </c>
      <c r="C476" s="6" t="s">
        <v>777</v>
      </c>
      <c r="D476" s="20">
        <v>5</v>
      </c>
      <c r="E476" s="39">
        <v>263</v>
      </c>
      <c r="G476" s="16" t="s">
        <v>940</v>
      </c>
    </row>
    <row r="477" spans="2:7" x14ac:dyDescent="0.2">
      <c r="B477" s="6" t="s">
        <v>860</v>
      </c>
      <c r="C477" s="6" t="s">
        <v>861</v>
      </c>
      <c r="D477" s="20">
        <v>4</v>
      </c>
      <c r="E477" s="39"/>
      <c r="G477" s="16" t="s">
        <v>940</v>
      </c>
    </row>
    <row r="478" spans="2:7" x14ac:dyDescent="0.2">
      <c r="B478" s="6" t="s">
        <v>862</v>
      </c>
      <c r="C478" s="6" t="s">
        <v>863</v>
      </c>
      <c r="D478" s="20">
        <v>4</v>
      </c>
      <c r="E478" s="39"/>
      <c r="G478" s="16" t="s">
        <v>940</v>
      </c>
    </row>
    <row r="479" spans="2:7" x14ac:dyDescent="0.2">
      <c r="B479" s="6" t="s">
        <v>864</v>
      </c>
      <c r="C479" s="6" t="s">
        <v>865</v>
      </c>
      <c r="D479" s="20"/>
      <c r="E479" s="39"/>
      <c r="G479" s="16" t="s">
        <v>940</v>
      </c>
    </row>
    <row r="480" spans="2:7" x14ac:dyDescent="0.2">
      <c r="B480" s="6" t="s">
        <v>830</v>
      </c>
      <c r="C480" s="6" t="s">
        <v>831</v>
      </c>
      <c r="D480" s="20"/>
      <c r="E480" s="39"/>
      <c r="G480" s="16" t="s">
        <v>940</v>
      </c>
    </row>
    <row r="481" spans="2:7" x14ac:dyDescent="0.2">
      <c r="B481" s="6" t="s">
        <v>828</v>
      </c>
      <c r="C481" s="6" t="s">
        <v>615</v>
      </c>
      <c r="D481" s="20"/>
      <c r="E481" s="39"/>
      <c r="G481" s="16" t="s">
        <v>940</v>
      </c>
    </row>
    <row r="482" spans="2:7" x14ac:dyDescent="0.2">
      <c r="B482" s="6" t="s">
        <v>829</v>
      </c>
      <c r="C482" s="6" t="s">
        <v>611</v>
      </c>
      <c r="D482" s="20"/>
      <c r="E482" s="39"/>
      <c r="G482" s="16" t="s">
        <v>940</v>
      </c>
    </row>
    <row r="483" spans="2:7" x14ac:dyDescent="0.2">
      <c r="B483" s="6" t="s">
        <v>780</v>
      </c>
      <c r="C483" s="6" t="s">
        <v>781</v>
      </c>
      <c r="D483" s="20"/>
      <c r="E483" s="39">
        <v>113</v>
      </c>
      <c r="G483" s="16" t="s">
        <v>940</v>
      </c>
    </row>
    <row r="484" spans="2:7" x14ac:dyDescent="0.2">
      <c r="B484" s="6" t="s">
        <v>844</v>
      </c>
      <c r="C484" s="6" t="s">
        <v>845</v>
      </c>
      <c r="D484" s="20"/>
      <c r="E484" s="39">
        <v>1100</v>
      </c>
      <c r="G484" s="16" t="s">
        <v>940</v>
      </c>
    </row>
    <row r="485" spans="2:7" x14ac:dyDescent="0.2">
      <c r="B485" s="6" t="s">
        <v>842</v>
      </c>
      <c r="C485" s="6" t="s">
        <v>843</v>
      </c>
      <c r="D485" s="20"/>
      <c r="E485" s="39">
        <v>1100</v>
      </c>
      <c r="G485" s="16" t="s">
        <v>940</v>
      </c>
    </row>
    <row r="486" spans="2:7" x14ac:dyDescent="0.2">
      <c r="B486" s="6" t="s">
        <v>850</v>
      </c>
      <c r="C486" s="6" t="s">
        <v>851</v>
      </c>
      <c r="D486" s="20"/>
      <c r="E486" s="39"/>
      <c r="G486" s="16" t="s">
        <v>940</v>
      </c>
    </row>
    <row r="487" spans="2:7" x14ac:dyDescent="0.2">
      <c r="B487" s="6" t="s">
        <v>848</v>
      </c>
      <c r="C487" s="6" t="s">
        <v>849</v>
      </c>
      <c r="D487" s="20"/>
      <c r="E487" s="39">
        <v>1450</v>
      </c>
      <c r="G487" s="16" t="s">
        <v>940</v>
      </c>
    </row>
    <row r="488" spans="2:7" x14ac:dyDescent="0.2">
      <c r="B488" s="6" t="s">
        <v>852</v>
      </c>
      <c r="C488" s="6" t="s">
        <v>853</v>
      </c>
      <c r="D488" s="20"/>
      <c r="E488" s="39">
        <v>1600</v>
      </c>
      <c r="G488" s="16" t="s">
        <v>940</v>
      </c>
    </row>
    <row r="489" spans="2:7" x14ac:dyDescent="0.2">
      <c r="B489" s="6" t="s">
        <v>846</v>
      </c>
      <c r="C489" s="6" t="s">
        <v>847</v>
      </c>
      <c r="D489" s="20"/>
      <c r="E489" s="39">
        <v>1600</v>
      </c>
      <c r="G489" s="16" t="s">
        <v>940</v>
      </c>
    </row>
    <row r="490" spans="2:7" x14ac:dyDescent="0.2">
      <c r="B490" s="6" t="s">
        <v>840</v>
      </c>
      <c r="C490" s="6" t="s">
        <v>841</v>
      </c>
      <c r="D490" s="20"/>
      <c r="E490" s="39">
        <v>1750</v>
      </c>
      <c r="G490" s="16" t="s">
        <v>940</v>
      </c>
    </row>
    <row r="491" spans="2:7" x14ac:dyDescent="0.2">
      <c r="B491" s="6" t="s">
        <v>836</v>
      </c>
      <c r="C491" s="6" t="s">
        <v>837</v>
      </c>
      <c r="D491" s="20"/>
      <c r="E491" s="39"/>
      <c r="G491" s="16" t="s">
        <v>940</v>
      </c>
    </row>
    <row r="492" spans="2:7" x14ac:dyDescent="0.2">
      <c r="B492" s="6" t="s">
        <v>834</v>
      </c>
      <c r="C492" s="6" t="s">
        <v>835</v>
      </c>
      <c r="D492" s="20"/>
      <c r="E492" s="39"/>
      <c r="G492" s="16" t="s">
        <v>940</v>
      </c>
    </row>
    <row r="493" spans="2:7" x14ac:dyDescent="0.2">
      <c r="B493" s="6" t="s">
        <v>838</v>
      </c>
      <c r="C493" s="6" t="s">
        <v>839</v>
      </c>
      <c r="D493" s="20"/>
      <c r="E493" s="39"/>
      <c r="G493" s="16" t="s">
        <v>940</v>
      </c>
    </row>
    <row r="494" spans="2:7" x14ac:dyDescent="0.2">
      <c r="B494" s="6" t="s">
        <v>866</v>
      </c>
      <c r="C494" s="6" t="s">
        <v>867</v>
      </c>
      <c r="D494" s="20"/>
      <c r="E494" s="39"/>
      <c r="G494" s="16" t="s">
        <v>940</v>
      </c>
    </row>
    <row r="495" spans="2:7" x14ac:dyDescent="0.2">
      <c r="B495" s="6" t="s">
        <v>778</v>
      </c>
      <c r="C495" s="6" t="s">
        <v>779</v>
      </c>
      <c r="D495" s="20"/>
      <c r="E495" s="39">
        <v>310</v>
      </c>
      <c r="G495" s="16" t="s">
        <v>940</v>
      </c>
    </row>
    <row r="496" spans="2:7" x14ac:dyDescent="0.2">
      <c r="B496" s="6" t="s">
        <v>782</v>
      </c>
      <c r="C496" s="6" t="s">
        <v>783</v>
      </c>
      <c r="D496" s="20"/>
      <c r="E496" s="39">
        <v>1200</v>
      </c>
      <c r="G496" s="16" t="s">
        <v>940</v>
      </c>
    </row>
    <row r="497" spans="2:7" x14ac:dyDescent="0.2">
      <c r="B497" s="6" t="s">
        <v>808</v>
      </c>
      <c r="C497" s="6" t="s">
        <v>809</v>
      </c>
      <c r="D497" s="20">
        <v>3</v>
      </c>
      <c r="E497" s="39">
        <v>4100</v>
      </c>
      <c r="G497" s="16" t="s">
        <v>940</v>
      </c>
    </row>
    <row r="498" spans="2:7" x14ac:dyDescent="0.2">
      <c r="B498" s="6" t="s">
        <v>1977</v>
      </c>
      <c r="C498" s="6" t="s">
        <v>1978</v>
      </c>
      <c r="D498" s="20">
        <v>3</v>
      </c>
      <c r="E498" s="39"/>
      <c r="G498" s="16" t="s">
        <v>940</v>
      </c>
    </row>
    <row r="499" spans="2:7" x14ac:dyDescent="0.2">
      <c r="B499" s="6" t="s">
        <v>806</v>
      </c>
      <c r="C499" s="6" t="s">
        <v>807</v>
      </c>
      <c r="D499" s="20">
        <v>3</v>
      </c>
      <c r="E499" s="39">
        <v>8200</v>
      </c>
      <c r="G499" s="16" t="s">
        <v>940</v>
      </c>
    </row>
    <row r="500" spans="2:7" x14ac:dyDescent="0.2">
      <c r="B500" s="6" t="s">
        <v>810</v>
      </c>
      <c r="C500" s="6" t="s">
        <v>811</v>
      </c>
      <c r="D500" s="20">
        <v>3</v>
      </c>
      <c r="E500" s="39">
        <v>16210.825999999999</v>
      </c>
      <c r="G500" s="16" t="s">
        <v>940</v>
      </c>
    </row>
    <row r="501" spans="2:7" x14ac:dyDescent="0.2">
      <c r="B501" s="6" t="s">
        <v>812</v>
      </c>
      <c r="C501" s="6" t="s">
        <v>813</v>
      </c>
      <c r="D501" s="20">
        <v>3</v>
      </c>
      <c r="E501" s="39">
        <v>24911.429199999999</v>
      </c>
      <c r="G501" s="16" t="s">
        <v>940</v>
      </c>
    </row>
    <row r="502" spans="2:7" x14ac:dyDescent="0.2">
      <c r="B502" s="6" t="s">
        <v>1981</v>
      </c>
      <c r="C502" s="6" t="s">
        <v>1982</v>
      </c>
      <c r="D502" s="20">
        <v>3</v>
      </c>
      <c r="E502" s="39"/>
      <c r="G502" s="16" t="s">
        <v>940</v>
      </c>
    </row>
    <row r="503" spans="2:7" x14ac:dyDescent="0.2">
      <c r="B503" s="6" t="s">
        <v>814</v>
      </c>
      <c r="C503" s="6" t="s">
        <v>815</v>
      </c>
      <c r="D503" s="20">
        <v>3</v>
      </c>
      <c r="E503" s="39">
        <v>5917.16</v>
      </c>
      <c r="G503" s="16" t="s">
        <v>940</v>
      </c>
    </row>
    <row r="504" spans="2:7" x14ac:dyDescent="0.2">
      <c r="B504" s="6" t="s">
        <v>1979</v>
      </c>
      <c r="C504" s="6" t="s">
        <v>1980</v>
      </c>
      <c r="D504" s="20">
        <v>3</v>
      </c>
      <c r="E504" s="39"/>
      <c r="G504" s="16" t="s">
        <v>940</v>
      </c>
    </row>
    <row r="505" spans="2:7" x14ac:dyDescent="0.2">
      <c r="B505" s="6" t="s">
        <v>1405</v>
      </c>
      <c r="C505" s="6" t="s">
        <v>1406</v>
      </c>
      <c r="D505" s="20"/>
      <c r="E505" s="39"/>
      <c r="G505" s="16" t="s">
        <v>1956</v>
      </c>
    </row>
    <row r="506" spans="2:7" x14ac:dyDescent="0.2">
      <c r="B506" s="6" t="s">
        <v>1407</v>
      </c>
      <c r="C506" s="6" t="s">
        <v>1408</v>
      </c>
      <c r="D506" s="20"/>
      <c r="E506" s="39"/>
      <c r="G506" s="16" t="s">
        <v>1956</v>
      </c>
    </row>
    <row r="507" spans="2:7" x14ac:dyDescent="0.2">
      <c r="B507" s="6" t="s">
        <v>1409</v>
      </c>
      <c r="C507" s="6" t="s">
        <v>1410</v>
      </c>
      <c r="D507" s="20"/>
      <c r="E507" s="39"/>
      <c r="G507" s="16" t="s">
        <v>1956</v>
      </c>
    </row>
    <row r="508" spans="2:7" x14ac:dyDescent="0.2">
      <c r="B508" s="6" t="s">
        <v>1415</v>
      </c>
      <c r="C508" s="6" t="s">
        <v>1416</v>
      </c>
      <c r="D508" s="20"/>
      <c r="E508" s="39"/>
      <c r="G508" s="16" t="s">
        <v>1956</v>
      </c>
    </row>
    <row r="509" spans="2:7" x14ac:dyDescent="0.2">
      <c r="B509" s="6" t="s">
        <v>1411</v>
      </c>
      <c r="C509" s="6" t="s">
        <v>1412</v>
      </c>
      <c r="D509" s="20"/>
      <c r="E509" s="39"/>
      <c r="G509" s="16" t="s">
        <v>1956</v>
      </c>
    </row>
    <row r="510" spans="2:7" x14ac:dyDescent="0.2">
      <c r="B510" s="6" t="s">
        <v>1413</v>
      </c>
      <c r="C510" s="6" t="s">
        <v>1414</v>
      </c>
      <c r="D510" s="20"/>
      <c r="E510" s="39"/>
      <c r="G510" s="16" t="s">
        <v>1956</v>
      </c>
    </row>
    <row r="511" spans="2:7" x14ac:dyDescent="0.2">
      <c r="B511" s="6" t="s">
        <v>1403</v>
      </c>
      <c r="C511" s="6" t="s">
        <v>1404</v>
      </c>
      <c r="D511" s="20"/>
      <c r="E511" s="39"/>
      <c r="G511" s="16" t="s">
        <v>1956</v>
      </c>
    </row>
    <row r="512" spans="2:7" x14ac:dyDescent="0.2">
      <c r="B512" s="6" t="s">
        <v>1399</v>
      </c>
      <c r="C512" s="6" t="s">
        <v>1400</v>
      </c>
      <c r="D512" s="20"/>
      <c r="E512" s="39"/>
      <c r="G512" s="16" t="s">
        <v>1956</v>
      </c>
    </row>
    <row r="513" spans="2:7" x14ac:dyDescent="0.2">
      <c r="B513" s="6" t="s">
        <v>1401</v>
      </c>
      <c r="C513" s="6" t="s">
        <v>1402</v>
      </c>
      <c r="D513" s="20"/>
      <c r="E513" s="39"/>
      <c r="G513" s="16" t="s">
        <v>1956</v>
      </c>
    </row>
    <row r="514" spans="2:7" x14ac:dyDescent="0.2">
      <c r="B514" s="6" t="s">
        <v>1397</v>
      </c>
      <c r="C514" s="6" t="s">
        <v>1398</v>
      </c>
      <c r="D514" s="20"/>
      <c r="E514" s="39"/>
      <c r="G514" s="16" t="s">
        <v>1956</v>
      </c>
    </row>
    <row r="515" spans="2:7" x14ac:dyDescent="0.2">
      <c r="B515" s="6" t="s">
        <v>1417</v>
      </c>
      <c r="C515" s="6" t="s">
        <v>1418</v>
      </c>
      <c r="D515" s="20"/>
      <c r="E515" s="39"/>
      <c r="G515" s="16" t="s">
        <v>1956</v>
      </c>
    </row>
    <row r="516" spans="2:7" x14ac:dyDescent="0.2">
      <c r="B516" s="6" t="s">
        <v>1782</v>
      </c>
      <c r="C516" s="6" t="s">
        <v>1783</v>
      </c>
      <c r="D516" s="20"/>
      <c r="E516" s="39">
        <v>130</v>
      </c>
      <c r="G516" s="16" t="s">
        <v>1956</v>
      </c>
    </row>
    <row r="517" spans="2:7" x14ac:dyDescent="0.2">
      <c r="B517" s="6" t="s">
        <v>1882</v>
      </c>
      <c r="C517" s="6" t="s">
        <v>1883</v>
      </c>
      <c r="D517" s="20"/>
      <c r="E517" s="39">
        <v>0</v>
      </c>
      <c r="G517" s="16" t="s">
        <v>1956</v>
      </c>
    </row>
    <row r="518" spans="2:7" x14ac:dyDescent="0.2">
      <c r="B518" s="6" t="s">
        <v>1910</v>
      </c>
      <c r="C518" s="6" t="s">
        <v>1911</v>
      </c>
      <c r="D518" s="20"/>
      <c r="E518" s="39">
        <v>0</v>
      </c>
      <c r="G518" s="16" t="s">
        <v>1956</v>
      </c>
    </row>
    <row r="519" spans="2:7" x14ac:dyDescent="0.2">
      <c r="B519" s="6" t="s">
        <v>1680</v>
      </c>
      <c r="C519" s="6" t="s">
        <v>1681</v>
      </c>
      <c r="D519" s="20"/>
      <c r="E519" s="39">
        <v>6</v>
      </c>
      <c r="G519" s="16" t="s">
        <v>1956</v>
      </c>
    </row>
    <row r="520" spans="2:7" x14ac:dyDescent="0.2">
      <c r="B520" s="6" t="s">
        <v>1678</v>
      </c>
      <c r="C520" s="6" t="s">
        <v>1679</v>
      </c>
      <c r="D520" s="20"/>
      <c r="E520" s="39">
        <v>8</v>
      </c>
      <c r="G520" s="16" t="s">
        <v>1956</v>
      </c>
    </row>
    <row r="521" spans="2:7" x14ac:dyDescent="0.2">
      <c r="B521" s="6" t="s">
        <v>1870</v>
      </c>
      <c r="C521" s="6" t="s">
        <v>1871</v>
      </c>
      <c r="D521" s="20"/>
      <c r="E521" s="39">
        <v>0</v>
      </c>
      <c r="G521" s="16" t="s">
        <v>1956</v>
      </c>
    </row>
    <row r="522" spans="2:7" x14ac:dyDescent="0.2">
      <c r="B522" s="6" t="s">
        <v>1848</v>
      </c>
      <c r="C522" s="6" t="s">
        <v>1849</v>
      </c>
      <c r="D522" s="20"/>
      <c r="E522" s="39">
        <v>0</v>
      </c>
      <c r="G522" s="16" t="s">
        <v>1956</v>
      </c>
    </row>
    <row r="523" spans="2:7" x14ac:dyDescent="0.2">
      <c r="B523" s="6" t="s">
        <v>1862</v>
      </c>
      <c r="C523" s="6" t="s">
        <v>1863</v>
      </c>
      <c r="D523" s="20"/>
      <c r="E523" s="39">
        <v>0</v>
      </c>
      <c r="G523" s="16" t="s">
        <v>1956</v>
      </c>
    </row>
    <row r="524" spans="2:7" x14ac:dyDescent="0.2">
      <c r="B524" s="6" t="s">
        <v>1770</v>
      </c>
      <c r="C524" s="6" t="s">
        <v>1771</v>
      </c>
      <c r="D524" s="20"/>
      <c r="E524" s="39">
        <v>95</v>
      </c>
      <c r="G524" s="16" t="s">
        <v>1956</v>
      </c>
    </row>
    <row r="525" spans="2:7" x14ac:dyDescent="0.2">
      <c r="B525" s="6" t="s">
        <v>1682</v>
      </c>
      <c r="C525" s="6" t="s">
        <v>1683</v>
      </c>
      <c r="D525" s="20"/>
      <c r="E525" s="39">
        <v>1500</v>
      </c>
      <c r="G525" s="16" t="s">
        <v>1956</v>
      </c>
    </row>
    <row r="526" spans="2:7" x14ac:dyDescent="0.2">
      <c r="B526" s="6" t="s">
        <v>1762</v>
      </c>
      <c r="C526" s="6" t="s">
        <v>1763</v>
      </c>
      <c r="D526" s="20">
        <v>2</v>
      </c>
      <c r="E526" s="39"/>
      <c r="G526" s="16" t="s">
        <v>1956</v>
      </c>
    </row>
    <row r="527" spans="2:7" x14ac:dyDescent="0.2">
      <c r="B527" s="6" t="s">
        <v>1778</v>
      </c>
      <c r="C527" s="6" t="s">
        <v>1779</v>
      </c>
      <c r="D527" s="20"/>
      <c r="E527" s="39">
        <v>90</v>
      </c>
      <c r="G527" s="16" t="s">
        <v>1956</v>
      </c>
    </row>
    <row r="528" spans="2:7" x14ac:dyDescent="0.2">
      <c r="B528" s="6" t="s">
        <v>1760</v>
      </c>
      <c r="C528" s="6" t="s">
        <v>1761</v>
      </c>
      <c r="D528" s="20"/>
      <c r="E528" s="39"/>
      <c r="G528" s="16" t="s">
        <v>1956</v>
      </c>
    </row>
    <row r="529" spans="2:7" x14ac:dyDescent="0.2">
      <c r="B529" s="6" t="s">
        <v>1772</v>
      </c>
      <c r="C529" s="6" t="s">
        <v>1773</v>
      </c>
      <c r="D529" s="20"/>
      <c r="E529" s="39">
        <v>85</v>
      </c>
      <c r="G529" s="16" t="s">
        <v>1956</v>
      </c>
    </row>
    <row r="530" spans="2:7" x14ac:dyDescent="0.2">
      <c r="B530" s="6" t="s">
        <v>1768</v>
      </c>
      <c r="C530" s="6" t="s">
        <v>1769</v>
      </c>
      <c r="D530" s="20"/>
      <c r="E530" s="39">
        <v>180</v>
      </c>
      <c r="G530" s="16" t="s">
        <v>1956</v>
      </c>
    </row>
    <row r="531" spans="2:7" x14ac:dyDescent="0.2">
      <c r="B531" s="6" t="s">
        <v>1758</v>
      </c>
      <c r="C531" s="6" t="s">
        <v>1759</v>
      </c>
      <c r="D531" s="20"/>
      <c r="E531" s="39"/>
      <c r="G531" s="16" t="s">
        <v>1956</v>
      </c>
    </row>
    <row r="532" spans="2:7" x14ac:dyDescent="0.2">
      <c r="B532" s="6" t="s">
        <v>1774</v>
      </c>
      <c r="C532" s="6" t="s">
        <v>1775</v>
      </c>
      <c r="D532" s="20"/>
      <c r="E532" s="39">
        <v>135</v>
      </c>
      <c r="G532" s="16" t="s">
        <v>1956</v>
      </c>
    </row>
    <row r="533" spans="2:7" x14ac:dyDescent="0.2">
      <c r="B533" s="6" t="s">
        <v>1766</v>
      </c>
      <c r="C533" s="6" t="s">
        <v>1767</v>
      </c>
      <c r="D533" s="20"/>
      <c r="E533" s="39">
        <v>550</v>
      </c>
      <c r="G533" s="16" t="s">
        <v>1956</v>
      </c>
    </row>
    <row r="534" spans="2:7" x14ac:dyDescent="0.2">
      <c r="B534" s="6" t="s">
        <v>1780</v>
      </c>
      <c r="C534" s="6" t="s">
        <v>1781</v>
      </c>
      <c r="D534" s="20"/>
      <c r="E534" s="39">
        <v>140</v>
      </c>
      <c r="G534" s="16" t="s">
        <v>1956</v>
      </c>
    </row>
    <row r="535" spans="2:7" x14ac:dyDescent="0.2">
      <c r="B535" s="6" t="s">
        <v>1764</v>
      </c>
      <c r="C535" s="6" t="s">
        <v>1765</v>
      </c>
      <c r="D535" s="20"/>
      <c r="E535" s="39">
        <v>750</v>
      </c>
      <c r="G535" s="16" t="s">
        <v>1956</v>
      </c>
    </row>
    <row r="536" spans="2:7" x14ac:dyDescent="0.2">
      <c r="B536" s="6" t="s">
        <v>1698</v>
      </c>
      <c r="C536" s="6" t="s">
        <v>1699</v>
      </c>
      <c r="D536" s="20"/>
      <c r="E536" s="39">
        <v>95</v>
      </c>
      <c r="G536" s="16" t="s">
        <v>1956</v>
      </c>
    </row>
    <row r="537" spans="2:7" x14ac:dyDescent="0.2">
      <c r="B537" s="6" t="s">
        <v>1700</v>
      </c>
      <c r="C537" s="6" t="s">
        <v>1701</v>
      </c>
      <c r="D537" s="20"/>
      <c r="E537" s="39">
        <v>95</v>
      </c>
      <c r="G537" s="16" t="s">
        <v>1956</v>
      </c>
    </row>
    <row r="538" spans="2:7" x14ac:dyDescent="0.2">
      <c r="B538" s="6" t="s">
        <v>1860</v>
      </c>
      <c r="C538" s="6" t="s">
        <v>1861</v>
      </c>
      <c r="D538" s="20"/>
      <c r="E538" s="39">
        <v>0</v>
      </c>
      <c r="G538" s="16" t="s">
        <v>1956</v>
      </c>
    </row>
    <row r="539" spans="2:7" x14ac:dyDescent="0.2">
      <c r="B539" s="6" t="s">
        <v>1840</v>
      </c>
      <c r="C539" s="6" t="s">
        <v>1841</v>
      </c>
      <c r="D539" s="20"/>
      <c r="E539" s="39">
        <v>0</v>
      </c>
      <c r="G539" s="16" t="s">
        <v>1956</v>
      </c>
    </row>
    <row r="540" spans="2:7" x14ac:dyDescent="0.2">
      <c r="B540" s="6" t="s">
        <v>1844</v>
      </c>
      <c r="C540" s="6" t="s">
        <v>1845</v>
      </c>
      <c r="D540" s="20"/>
      <c r="E540" s="39">
        <v>1698</v>
      </c>
      <c r="G540" s="16" t="s">
        <v>1956</v>
      </c>
    </row>
    <row r="541" spans="2:7" x14ac:dyDescent="0.2">
      <c r="B541" s="6" t="s">
        <v>1688</v>
      </c>
      <c r="C541" s="6" t="s">
        <v>1689</v>
      </c>
      <c r="D541" s="20"/>
      <c r="E541" s="39">
        <v>145</v>
      </c>
      <c r="G541" s="16" t="s">
        <v>1956</v>
      </c>
    </row>
    <row r="542" spans="2:7" x14ac:dyDescent="0.2">
      <c r="B542" s="6" t="s">
        <v>1784</v>
      </c>
      <c r="C542" s="6" t="s">
        <v>1785</v>
      </c>
      <c r="D542" s="20"/>
      <c r="E542" s="39">
        <v>80</v>
      </c>
      <c r="G542" s="16" t="s">
        <v>1956</v>
      </c>
    </row>
    <row r="543" spans="2:7" x14ac:dyDescent="0.2">
      <c r="B543" s="6" t="s">
        <v>1786</v>
      </c>
      <c r="C543" s="6" t="s">
        <v>1787</v>
      </c>
      <c r="D543" s="20"/>
      <c r="E543" s="39">
        <v>75</v>
      </c>
      <c r="G543" s="16" t="s">
        <v>1956</v>
      </c>
    </row>
    <row r="544" spans="2:7" x14ac:dyDescent="0.2">
      <c r="B544" s="6" t="s">
        <v>1890</v>
      </c>
      <c r="C544" s="6" t="s">
        <v>1891</v>
      </c>
      <c r="D544" s="20"/>
      <c r="E544" s="39">
        <v>0</v>
      </c>
      <c r="G544" s="16" t="s">
        <v>1956</v>
      </c>
    </row>
    <row r="545" spans="2:7" x14ac:dyDescent="0.2">
      <c r="B545" s="6" t="s">
        <v>1892</v>
      </c>
      <c r="C545" s="6" t="s">
        <v>1893</v>
      </c>
      <c r="D545" s="20"/>
      <c r="E545" s="39">
        <v>0</v>
      </c>
      <c r="G545" s="16" t="s">
        <v>1956</v>
      </c>
    </row>
    <row r="546" spans="2:7" x14ac:dyDescent="0.2">
      <c r="B546" s="6" t="s">
        <v>1894</v>
      </c>
      <c r="C546" s="6" t="s">
        <v>1895</v>
      </c>
      <c r="D546" s="20"/>
      <c r="E546" s="39">
        <v>0</v>
      </c>
      <c r="G546" s="16" t="s">
        <v>1956</v>
      </c>
    </row>
    <row r="547" spans="2:7" x14ac:dyDescent="0.2">
      <c r="B547" s="6" t="s">
        <v>1708</v>
      </c>
      <c r="C547" s="6" t="s">
        <v>1709</v>
      </c>
      <c r="D547" s="20"/>
      <c r="E547" s="39"/>
      <c r="G547" s="16" t="s">
        <v>1956</v>
      </c>
    </row>
    <row r="548" spans="2:7" x14ac:dyDescent="0.2">
      <c r="B548" s="6" t="s">
        <v>1806</v>
      </c>
      <c r="C548" s="6" t="s">
        <v>1807</v>
      </c>
      <c r="D548" s="20"/>
      <c r="E548" s="39">
        <v>1615</v>
      </c>
      <c r="G548" s="16" t="s">
        <v>1956</v>
      </c>
    </row>
    <row r="549" spans="2:7" x14ac:dyDescent="0.2">
      <c r="B549" s="6" t="s">
        <v>1465</v>
      </c>
      <c r="C549" s="6" t="s">
        <v>1466</v>
      </c>
      <c r="D549" s="20"/>
      <c r="E549" s="39">
        <v>70</v>
      </c>
      <c r="G549" s="16" t="s">
        <v>1956</v>
      </c>
    </row>
    <row r="550" spans="2:7" x14ac:dyDescent="0.2">
      <c r="B550" s="6" t="s">
        <v>1463</v>
      </c>
      <c r="C550" s="6" t="s">
        <v>1464</v>
      </c>
      <c r="D550" s="20"/>
      <c r="E550" s="39">
        <v>75</v>
      </c>
      <c r="G550" s="16" t="s">
        <v>1956</v>
      </c>
    </row>
    <row r="551" spans="2:7" x14ac:dyDescent="0.2">
      <c r="B551" s="6" t="s">
        <v>1457</v>
      </c>
      <c r="C551" s="6" t="s">
        <v>1458</v>
      </c>
      <c r="D551" s="20"/>
      <c r="E551" s="39">
        <v>18</v>
      </c>
      <c r="G551" s="16" t="s">
        <v>1956</v>
      </c>
    </row>
    <row r="552" spans="2:7" x14ac:dyDescent="0.2">
      <c r="B552" s="6" t="s">
        <v>1445</v>
      </c>
      <c r="C552" s="6" t="s">
        <v>1446</v>
      </c>
      <c r="D552" s="20"/>
      <c r="E552" s="39">
        <v>22</v>
      </c>
      <c r="G552" s="16" t="s">
        <v>1956</v>
      </c>
    </row>
    <row r="553" spans="2:7" x14ac:dyDescent="0.2">
      <c r="B553" s="6" t="s">
        <v>1451</v>
      </c>
      <c r="C553" s="6" t="s">
        <v>1452</v>
      </c>
      <c r="D553" s="20"/>
      <c r="E553" s="39">
        <v>10</v>
      </c>
      <c r="G553" s="16" t="s">
        <v>1956</v>
      </c>
    </row>
    <row r="554" spans="2:7" x14ac:dyDescent="0.2">
      <c r="B554" s="6" t="s">
        <v>1453</v>
      </c>
      <c r="C554" s="6" t="s">
        <v>1454</v>
      </c>
      <c r="D554" s="20"/>
      <c r="E554" s="39">
        <v>15</v>
      </c>
      <c r="G554" s="16" t="s">
        <v>1956</v>
      </c>
    </row>
    <row r="555" spans="2:7" x14ac:dyDescent="0.2">
      <c r="B555" s="6" t="s">
        <v>1475</v>
      </c>
      <c r="C555" s="6" t="s">
        <v>1476</v>
      </c>
      <c r="D555" s="20"/>
      <c r="E555" s="39">
        <v>9</v>
      </c>
      <c r="G555" s="16" t="s">
        <v>1956</v>
      </c>
    </row>
    <row r="556" spans="2:7" x14ac:dyDescent="0.2">
      <c r="B556" s="6" t="s">
        <v>1459</v>
      </c>
      <c r="C556" s="6" t="s">
        <v>1460</v>
      </c>
      <c r="D556" s="20"/>
      <c r="E556" s="39">
        <v>38</v>
      </c>
      <c r="G556" s="16" t="s">
        <v>1956</v>
      </c>
    </row>
    <row r="557" spans="2:7" x14ac:dyDescent="0.2">
      <c r="B557" s="6" t="s">
        <v>1467</v>
      </c>
      <c r="C557" s="6" t="s">
        <v>1468</v>
      </c>
      <c r="D557" s="20"/>
      <c r="E557" s="39">
        <v>42</v>
      </c>
      <c r="G557" s="16" t="s">
        <v>1956</v>
      </c>
    </row>
    <row r="558" spans="2:7" x14ac:dyDescent="0.2">
      <c r="B558" s="6" t="s">
        <v>1471</v>
      </c>
      <c r="C558" s="6" t="s">
        <v>1472</v>
      </c>
      <c r="D558" s="20"/>
      <c r="E558" s="39">
        <v>24</v>
      </c>
      <c r="G558" s="16" t="s">
        <v>1956</v>
      </c>
    </row>
    <row r="559" spans="2:7" x14ac:dyDescent="0.2">
      <c r="B559" s="6" t="s">
        <v>1469</v>
      </c>
      <c r="C559" s="6" t="s">
        <v>1470</v>
      </c>
      <c r="D559" s="20"/>
      <c r="E559" s="39">
        <v>14</v>
      </c>
      <c r="G559" s="16" t="s">
        <v>1956</v>
      </c>
    </row>
    <row r="560" spans="2:7" x14ac:dyDescent="0.2">
      <c r="B560" s="6" t="s">
        <v>1447</v>
      </c>
      <c r="C560" s="6" t="s">
        <v>1448</v>
      </c>
      <c r="D560" s="20"/>
      <c r="E560" s="39">
        <v>30</v>
      </c>
      <c r="G560" s="16" t="s">
        <v>1956</v>
      </c>
    </row>
    <row r="561" spans="2:7" x14ac:dyDescent="0.2">
      <c r="B561" s="6" t="s">
        <v>1449</v>
      </c>
      <c r="C561" s="6" t="s">
        <v>1450</v>
      </c>
      <c r="D561" s="20"/>
      <c r="E561" s="39">
        <v>14</v>
      </c>
      <c r="G561" s="16" t="s">
        <v>1956</v>
      </c>
    </row>
    <row r="562" spans="2:7" x14ac:dyDescent="0.2">
      <c r="B562" s="12" t="s">
        <v>1461</v>
      </c>
      <c r="C562" s="12" t="s">
        <v>1462</v>
      </c>
      <c r="D562" s="22"/>
      <c r="E562" s="41">
        <v>14</v>
      </c>
      <c r="G562" s="16" t="s">
        <v>1956</v>
      </c>
    </row>
    <row r="563" spans="2:7" x14ac:dyDescent="0.2">
      <c r="B563" s="6" t="s">
        <v>1473</v>
      </c>
      <c r="C563" s="6" t="s">
        <v>1474</v>
      </c>
      <c r="D563" s="20"/>
      <c r="E563" s="39">
        <v>60</v>
      </c>
      <c r="G563" s="60" t="s">
        <v>1956</v>
      </c>
    </row>
    <row r="564" spans="2:7" x14ac:dyDescent="0.2">
      <c r="B564" s="6" t="s">
        <v>1455</v>
      </c>
      <c r="C564" s="6" t="s">
        <v>1456</v>
      </c>
      <c r="D564" s="20"/>
      <c r="E564" s="39">
        <v>12</v>
      </c>
      <c r="G564" s="60" t="s">
        <v>1956</v>
      </c>
    </row>
    <row r="565" spans="2:7" x14ac:dyDescent="0.2">
      <c r="B565" s="6" t="s">
        <v>1477</v>
      </c>
      <c r="C565" s="6" t="s">
        <v>1478</v>
      </c>
      <c r="D565" s="20"/>
      <c r="E565" s="39">
        <v>20</v>
      </c>
      <c r="G565" s="60" t="s">
        <v>1956</v>
      </c>
    </row>
    <row r="566" spans="2:7" x14ac:dyDescent="0.2">
      <c r="B566" s="6" t="s">
        <v>1712</v>
      </c>
      <c r="C566" s="6" t="s">
        <v>1713</v>
      </c>
      <c r="D566" s="20"/>
      <c r="E566" s="39">
        <v>44</v>
      </c>
      <c r="G566" s="60" t="s">
        <v>1956</v>
      </c>
    </row>
    <row r="567" spans="2:7" x14ac:dyDescent="0.2">
      <c r="B567" s="6" t="s">
        <v>1922</v>
      </c>
      <c r="C567" s="6" t="s">
        <v>1923</v>
      </c>
      <c r="D567" s="20"/>
      <c r="E567" s="39">
        <v>0</v>
      </c>
      <c r="G567" s="60" t="s">
        <v>1956</v>
      </c>
    </row>
    <row r="568" spans="2:7" x14ac:dyDescent="0.2">
      <c r="B568" s="6" t="s">
        <v>1928</v>
      </c>
      <c r="C568" s="6" t="s">
        <v>1929</v>
      </c>
      <c r="D568" s="20"/>
      <c r="E568" s="39">
        <v>0</v>
      </c>
      <c r="G568" s="60" t="s">
        <v>1956</v>
      </c>
    </row>
    <row r="569" spans="2:7" x14ac:dyDescent="0.2">
      <c r="B569" s="6" t="s">
        <v>1924</v>
      </c>
      <c r="C569" s="6" t="s">
        <v>1925</v>
      </c>
      <c r="D569" s="20"/>
      <c r="E569" s="39">
        <v>0</v>
      </c>
      <c r="G569" s="60" t="s">
        <v>1956</v>
      </c>
    </row>
    <row r="570" spans="2:7" x14ac:dyDescent="0.2">
      <c r="B570" s="6" t="s">
        <v>1918</v>
      </c>
      <c r="C570" s="6" t="s">
        <v>1919</v>
      </c>
      <c r="D570" s="20"/>
      <c r="E570" s="39">
        <v>0</v>
      </c>
      <c r="G570" s="60" t="s">
        <v>1956</v>
      </c>
    </row>
    <row r="571" spans="2:7" x14ac:dyDescent="0.2">
      <c r="B571" s="6" t="s">
        <v>1916</v>
      </c>
      <c r="C571" s="6" t="s">
        <v>1917</v>
      </c>
      <c r="D571" s="20"/>
      <c r="E571" s="39">
        <v>0</v>
      </c>
      <c r="G571" s="60" t="s">
        <v>1956</v>
      </c>
    </row>
    <row r="572" spans="2:7" x14ac:dyDescent="0.2">
      <c r="B572" s="6" t="s">
        <v>1954</v>
      </c>
      <c r="C572" s="6" t="s">
        <v>1955</v>
      </c>
      <c r="D572" s="20"/>
      <c r="E572" s="39">
        <v>0</v>
      </c>
      <c r="G572" s="60" t="s">
        <v>1956</v>
      </c>
    </row>
    <row r="573" spans="2:7" x14ac:dyDescent="0.2">
      <c r="B573" s="6" t="s">
        <v>1804</v>
      </c>
      <c r="C573" s="6" t="s">
        <v>1805</v>
      </c>
      <c r="D573" s="20"/>
      <c r="E573" s="39">
        <v>3309.75</v>
      </c>
      <c r="G573" s="60" t="s">
        <v>1956</v>
      </c>
    </row>
    <row r="574" spans="2:7" x14ac:dyDescent="0.2">
      <c r="B574" s="6" t="s">
        <v>1794</v>
      </c>
      <c r="C574" s="6" t="s">
        <v>1795</v>
      </c>
      <c r="D574" s="20"/>
      <c r="E574" s="39">
        <v>3335</v>
      </c>
      <c r="G574" s="60" t="s">
        <v>1956</v>
      </c>
    </row>
    <row r="575" spans="2:7" x14ac:dyDescent="0.2">
      <c r="B575" s="6" t="s">
        <v>1802</v>
      </c>
      <c r="C575" s="6" t="s">
        <v>1803</v>
      </c>
      <c r="D575" s="20"/>
      <c r="E575" s="39">
        <v>5868</v>
      </c>
      <c r="G575" s="60" t="s">
        <v>1956</v>
      </c>
    </row>
    <row r="576" spans="2:7" x14ac:dyDescent="0.2">
      <c r="B576" s="6" t="s">
        <v>1792</v>
      </c>
      <c r="C576" s="6" t="s">
        <v>1793</v>
      </c>
      <c r="D576" s="20"/>
      <c r="E576" s="39">
        <v>4852.0999999999995</v>
      </c>
      <c r="G576" s="60" t="s">
        <v>1956</v>
      </c>
    </row>
    <row r="577" spans="2:7" x14ac:dyDescent="0.2">
      <c r="B577" s="6" t="s">
        <v>1798</v>
      </c>
      <c r="C577" s="6" t="s">
        <v>1799</v>
      </c>
      <c r="D577" s="20"/>
      <c r="E577" s="39">
        <v>22750</v>
      </c>
      <c r="G577" s="60" t="s">
        <v>1956</v>
      </c>
    </row>
    <row r="578" spans="2:7" x14ac:dyDescent="0.2">
      <c r="B578" s="6" t="s">
        <v>1800</v>
      </c>
      <c r="C578" s="6" t="s">
        <v>1801</v>
      </c>
      <c r="D578" s="20"/>
      <c r="E578" s="39">
        <v>720</v>
      </c>
      <c r="G578" s="60" t="s">
        <v>1956</v>
      </c>
    </row>
    <row r="579" spans="2:7" x14ac:dyDescent="0.2">
      <c r="B579" s="6" t="s">
        <v>1796</v>
      </c>
      <c r="C579" s="6" t="s">
        <v>1797</v>
      </c>
      <c r="D579" s="20"/>
      <c r="E579" s="39">
        <v>3079.7999999999997</v>
      </c>
      <c r="G579" s="60" t="s">
        <v>1956</v>
      </c>
    </row>
    <row r="580" spans="2:7" x14ac:dyDescent="0.2">
      <c r="B580" s="6" t="s">
        <v>1884</v>
      </c>
      <c r="C580" s="6" t="s">
        <v>1885</v>
      </c>
      <c r="D580" s="20"/>
      <c r="E580" s="39">
        <v>0</v>
      </c>
      <c r="G580" s="60" t="s">
        <v>1956</v>
      </c>
    </row>
    <row r="581" spans="2:7" x14ac:dyDescent="0.2">
      <c r="B581" s="6" t="s">
        <v>1926</v>
      </c>
      <c r="C581" s="6" t="s">
        <v>1927</v>
      </c>
      <c r="D581" s="20"/>
      <c r="E581" s="39">
        <v>0</v>
      </c>
      <c r="G581" s="60" t="s">
        <v>1956</v>
      </c>
    </row>
    <row r="582" spans="2:7" x14ac:dyDescent="0.2">
      <c r="B582" s="6" t="s">
        <v>1666</v>
      </c>
      <c r="C582" s="6" t="s">
        <v>1667</v>
      </c>
      <c r="D582" s="20"/>
      <c r="E582" s="39">
        <v>35</v>
      </c>
      <c r="G582" s="60" t="s">
        <v>1956</v>
      </c>
    </row>
    <row r="583" spans="2:7" x14ac:dyDescent="0.2">
      <c r="B583" s="6" t="s">
        <v>1654</v>
      </c>
      <c r="C583" s="6" t="s">
        <v>1655</v>
      </c>
      <c r="D583" s="20"/>
      <c r="E583" s="39"/>
      <c r="G583" s="60" t="s">
        <v>1956</v>
      </c>
    </row>
    <row r="584" spans="2:7" x14ac:dyDescent="0.2">
      <c r="B584" s="6" t="s">
        <v>1706</v>
      </c>
      <c r="C584" s="6" t="s">
        <v>1707</v>
      </c>
      <c r="D584" s="20"/>
      <c r="E584" s="39">
        <v>45</v>
      </c>
      <c r="G584" s="60" t="s">
        <v>1956</v>
      </c>
    </row>
    <row r="585" spans="2:7" x14ac:dyDescent="0.2">
      <c r="B585" s="6" t="s">
        <v>1660</v>
      </c>
      <c r="C585" s="6" t="s">
        <v>1661</v>
      </c>
      <c r="D585" s="20"/>
      <c r="E585" s="39">
        <v>180</v>
      </c>
      <c r="G585" s="60" t="s">
        <v>1956</v>
      </c>
    </row>
    <row r="586" spans="2:7" x14ac:dyDescent="0.2">
      <c r="B586" s="6" t="s">
        <v>1656</v>
      </c>
      <c r="C586" s="6" t="s">
        <v>1657</v>
      </c>
      <c r="D586" s="20"/>
      <c r="E586" s="39">
        <v>180</v>
      </c>
      <c r="G586" s="60" t="s">
        <v>1956</v>
      </c>
    </row>
    <row r="587" spans="2:7" x14ac:dyDescent="0.2">
      <c r="B587" s="6" t="s">
        <v>1658</v>
      </c>
      <c r="C587" s="6" t="s">
        <v>1659</v>
      </c>
      <c r="D587" s="20"/>
      <c r="E587" s="39">
        <v>180</v>
      </c>
      <c r="G587" s="60" t="s">
        <v>1956</v>
      </c>
    </row>
    <row r="588" spans="2:7" x14ac:dyDescent="0.2">
      <c r="B588" s="6" t="s">
        <v>1435</v>
      </c>
      <c r="C588" s="6" t="s">
        <v>1436</v>
      </c>
      <c r="D588" s="20"/>
      <c r="E588" s="39">
        <v>52</v>
      </c>
      <c r="G588" s="60" t="s">
        <v>1956</v>
      </c>
    </row>
    <row r="589" spans="2:7" x14ac:dyDescent="0.2">
      <c r="B589" s="6" t="s">
        <v>1439</v>
      </c>
      <c r="C589" s="6" t="s">
        <v>1440</v>
      </c>
      <c r="D589" s="20"/>
      <c r="E589" s="39">
        <v>60</v>
      </c>
      <c r="G589" s="60" t="s">
        <v>1956</v>
      </c>
    </row>
    <row r="590" spans="2:7" x14ac:dyDescent="0.2">
      <c r="B590" s="6" t="s">
        <v>1696</v>
      </c>
      <c r="C590" s="6" t="s">
        <v>1697</v>
      </c>
      <c r="D590" s="20"/>
      <c r="E590" s="39">
        <v>110</v>
      </c>
      <c r="G590" s="60" t="s">
        <v>1956</v>
      </c>
    </row>
    <row r="591" spans="2:7" x14ac:dyDescent="0.2">
      <c r="B591" s="6" t="s">
        <v>1818</v>
      </c>
      <c r="C591" s="6" t="s">
        <v>1819</v>
      </c>
      <c r="D591" s="20"/>
      <c r="E591" s="39">
        <v>0</v>
      </c>
      <c r="G591" s="60" t="s">
        <v>1956</v>
      </c>
    </row>
    <row r="592" spans="2:7" x14ac:dyDescent="0.2">
      <c r="B592" s="6" t="s">
        <v>1952</v>
      </c>
      <c r="C592" s="6" t="s">
        <v>1953</v>
      </c>
      <c r="D592" s="20"/>
      <c r="E592" s="39">
        <v>0</v>
      </c>
      <c r="G592" s="60" t="s">
        <v>1956</v>
      </c>
    </row>
    <row r="593" spans="2:7" x14ac:dyDescent="0.2">
      <c r="B593" s="6" t="s">
        <v>1824</v>
      </c>
      <c r="C593" s="6" t="s">
        <v>1825</v>
      </c>
      <c r="D593" s="20"/>
      <c r="E593" s="39">
        <v>500</v>
      </c>
      <c r="G593" s="60" t="s">
        <v>1956</v>
      </c>
    </row>
    <row r="594" spans="2:7" x14ac:dyDescent="0.2">
      <c r="B594" s="6" t="s">
        <v>1627</v>
      </c>
      <c r="C594" s="6" t="s">
        <v>1628</v>
      </c>
      <c r="D594" s="20"/>
      <c r="E594" s="39">
        <v>0.25</v>
      </c>
      <c r="G594" s="60" t="s">
        <v>1956</v>
      </c>
    </row>
    <row r="595" spans="2:7" x14ac:dyDescent="0.2">
      <c r="B595" s="6" t="s">
        <v>1625</v>
      </c>
      <c r="C595" s="6" t="s">
        <v>1626</v>
      </c>
      <c r="D595" s="20"/>
      <c r="E595" s="39">
        <v>0.3</v>
      </c>
      <c r="G595" s="60" t="s">
        <v>1956</v>
      </c>
    </row>
    <row r="596" spans="2:7" x14ac:dyDescent="0.2">
      <c r="B596" s="6" t="s">
        <v>1629</v>
      </c>
      <c r="C596" s="6" t="s">
        <v>1630</v>
      </c>
      <c r="D596" s="20"/>
      <c r="E596" s="39">
        <v>0.4</v>
      </c>
      <c r="G596" s="60" t="s">
        <v>1956</v>
      </c>
    </row>
    <row r="597" spans="2:7" x14ac:dyDescent="0.2">
      <c r="B597" s="6" t="s">
        <v>1644</v>
      </c>
      <c r="C597" s="6" t="s">
        <v>1645</v>
      </c>
      <c r="D597" s="20"/>
      <c r="E597" s="39">
        <v>25</v>
      </c>
      <c r="G597" s="60" t="s">
        <v>1956</v>
      </c>
    </row>
    <row r="598" spans="2:7" x14ac:dyDescent="0.2">
      <c r="B598" s="6" t="s">
        <v>1902</v>
      </c>
      <c r="C598" s="6" t="s">
        <v>1903</v>
      </c>
      <c r="D598" s="20"/>
      <c r="E598" s="39">
        <v>0</v>
      </c>
      <c r="G598" s="60" t="s">
        <v>1956</v>
      </c>
    </row>
    <row r="599" spans="2:7" x14ac:dyDescent="0.2">
      <c r="B599" s="6" t="s">
        <v>1684</v>
      </c>
      <c r="C599" s="6" t="s">
        <v>1685</v>
      </c>
      <c r="D599" s="20"/>
      <c r="E599" s="39">
        <v>1200</v>
      </c>
      <c r="G599" s="60" t="s">
        <v>1956</v>
      </c>
    </row>
    <row r="600" spans="2:7" x14ac:dyDescent="0.2">
      <c r="B600" s="6" t="s">
        <v>1854</v>
      </c>
      <c r="C600" s="6" t="s">
        <v>1855</v>
      </c>
      <c r="D600" s="20"/>
      <c r="E600" s="39">
        <v>0</v>
      </c>
      <c r="G600" s="60" t="s">
        <v>1956</v>
      </c>
    </row>
    <row r="601" spans="2:7" x14ac:dyDescent="0.2">
      <c r="B601" s="6" t="s">
        <v>1858</v>
      </c>
      <c r="C601" s="6" t="s">
        <v>1859</v>
      </c>
      <c r="D601" s="20"/>
      <c r="E601" s="39">
        <v>0</v>
      </c>
      <c r="G601" s="60" t="s">
        <v>1956</v>
      </c>
    </row>
    <row r="602" spans="2:7" x14ac:dyDescent="0.2">
      <c r="B602" s="6" t="s">
        <v>1920</v>
      </c>
      <c r="C602" s="6" t="s">
        <v>1921</v>
      </c>
      <c r="D602" s="20"/>
      <c r="E602" s="39">
        <v>0</v>
      </c>
      <c r="G602" s="60" t="s">
        <v>1956</v>
      </c>
    </row>
    <row r="603" spans="2:7" x14ac:dyDescent="0.2">
      <c r="B603" s="6" t="s">
        <v>1850</v>
      </c>
      <c r="C603" s="6" t="s">
        <v>1851</v>
      </c>
      <c r="D603" s="20"/>
      <c r="E603" s="39">
        <v>0</v>
      </c>
      <c r="G603" s="60" t="s">
        <v>1956</v>
      </c>
    </row>
    <row r="604" spans="2:7" x14ac:dyDescent="0.2">
      <c r="B604" s="6" t="s">
        <v>1838</v>
      </c>
      <c r="C604" s="6" t="s">
        <v>1839</v>
      </c>
      <c r="D604" s="20"/>
      <c r="E604" s="39">
        <v>0</v>
      </c>
      <c r="G604" s="60" t="s">
        <v>1956</v>
      </c>
    </row>
    <row r="605" spans="2:7" x14ac:dyDescent="0.2">
      <c r="B605" s="6" t="s">
        <v>1904</v>
      </c>
      <c r="C605" s="6" t="s">
        <v>1905</v>
      </c>
      <c r="D605" s="20"/>
      <c r="E605" s="39">
        <v>0</v>
      </c>
      <c r="G605" s="60" t="s">
        <v>1956</v>
      </c>
    </row>
    <row r="606" spans="2:7" x14ac:dyDescent="0.2">
      <c r="B606" s="6" t="s">
        <v>1646</v>
      </c>
      <c r="C606" s="6" t="s">
        <v>1647</v>
      </c>
      <c r="D606" s="20"/>
      <c r="E606" s="39">
        <v>25</v>
      </c>
      <c r="G606" s="60" t="s">
        <v>1956</v>
      </c>
    </row>
    <row r="607" spans="2:7" x14ac:dyDescent="0.2">
      <c r="B607" s="6" t="s">
        <v>1932</v>
      </c>
      <c r="C607" s="6" t="s">
        <v>1933</v>
      </c>
      <c r="D607" s="20"/>
      <c r="E607" s="39">
        <v>0</v>
      </c>
      <c r="G607" s="60" t="s">
        <v>1956</v>
      </c>
    </row>
    <row r="608" spans="2:7" x14ac:dyDescent="0.2">
      <c r="B608" s="6" t="s">
        <v>1872</v>
      </c>
      <c r="C608" s="6" t="s">
        <v>1873</v>
      </c>
      <c r="D608" s="20"/>
      <c r="E608" s="39">
        <v>0</v>
      </c>
      <c r="G608" s="60" t="s">
        <v>1956</v>
      </c>
    </row>
    <row r="609" spans="2:7" x14ac:dyDescent="0.2">
      <c r="B609" s="6" t="s">
        <v>1866</v>
      </c>
      <c r="C609" s="6" t="s">
        <v>1867</v>
      </c>
      <c r="D609" s="20"/>
      <c r="E609" s="39">
        <v>0</v>
      </c>
      <c r="G609" s="60" t="s">
        <v>1956</v>
      </c>
    </row>
    <row r="610" spans="2:7" x14ac:dyDescent="0.2">
      <c r="B610" s="6" t="s">
        <v>1832</v>
      </c>
      <c r="C610" s="6" t="s">
        <v>1833</v>
      </c>
      <c r="D610" s="20"/>
      <c r="E610" s="39">
        <v>137</v>
      </c>
      <c r="G610" s="60" t="s">
        <v>1956</v>
      </c>
    </row>
    <row r="611" spans="2:7" x14ac:dyDescent="0.2">
      <c r="B611" s="6" t="s">
        <v>1740</v>
      </c>
      <c r="C611" s="6" t="s">
        <v>1741</v>
      </c>
      <c r="D611" s="20"/>
      <c r="E611" s="39">
        <v>150</v>
      </c>
      <c r="G611" s="60" t="s">
        <v>1956</v>
      </c>
    </row>
    <row r="612" spans="2:7" x14ac:dyDescent="0.2">
      <c r="B612" s="6" t="s">
        <v>1437</v>
      </c>
      <c r="C612" s="6" t="s">
        <v>1438</v>
      </c>
      <c r="D612" s="20"/>
      <c r="E612" s="39">
        <v>54</v>
      </c>
      <c r="G612" s="60" t="s">
        <v>1956</v>
      </c>
    </row>
    <row r="613" spans="2:7" x14ac:dyDescent="0.2">
      <c r="B613" s="6" t="s">
        <v>1421</v>
      </c>
      <c r="C613" s="6" t="s">
        <v>1422</v>
      </c>
      <c r="D613" s="20"/>
      <c r="E613" s="39">
        <v>47</v>
      </c>
      <c r="G613" s="60" t="s">
        <v>1956</v>
      </c>
    </row>
    <row r="614" spans="2:7" x14ac:dyDescent="0.2">
      <c r="B614" s="6" t="s">
        <v>1419</v>
      </c>
      <c r="C614" s="6" t="s">
        <v>1420</v>
      </c>
      <c r="D614" s="20"/>
      <c r="E614" s="39">
        <v>27</v>
      </c>
      <c r="G614" s="60" t="s">
        <v>1956</v>
      </c>
    </row>
    <row r="615" spans="2:7" x14ac:dyDescent="0.2">
      <c r="B615" s="6" t="s">
        <v>1441</v>
      </c>
      <c r="C615" s="6" t="s">
        <v>1442</v>
      </c>
      <c r="D615" s="20"/>
      <c r="E615" s="39">
        <v>255</v>
      </c>
      <c r="G615" s="60" t="s">
        <v>1956</v>
      </c>
    </row>
    <row r="616" spans="2:7" x14ac:dyDescent="0.2">
      <c r="B616" s="6" t="s">
        <v>1423</v>
      </c>
      <c r="C616" s="6" t="s">
        <v>1424</v>
      </c>
      <c r="D616" s="20"/>
      <c r="E616" s="39">
        <v>1.4</v>
      </c>
      <c r="G616" s="60" t="s">
        <v>1956</v>
      </c>
    </row>
    <row r="617" spans="2:7" x14ac:dyDescent="0.2">
      <c r="B617" s="6" t="s">
        <v>1431</v>
      </c>
      <c r="C617" s="6" t="s">
        <v>1432</v>
      </c>
      <c r="D617" s="20"/>
      <c r="E617" s="39">
        <v>2.57</v>
      </c>
      <c r="G617" s="60" t="s">
        <v>1956</v>
      </c>
    </row>
    <row r="618" spans="2:7" x14ac:dyDescent="0.2">
      <c r="B618" s="6" t="s">
        <v>1425</v>
      </c>
      <c r="C618" s="6" t="s">
        <v>1426</v>
      </c>
      <c r="D618" s="20"/>
      <c r="E618" s="39">
        <v>3</v>
      </c>
      <c r="G618" s="60" t="s">
        <v>1956</v>
      </c>
    </row>
    <row r="619" spans="2:7" x14ac:dyDescent="0.2">
      <c r="B619" s="6" t="s">
        <v>1429</v>
      </c>
      <c r="C619" s="6" t="s">
        <v>1430</v>
      </c>
      <c r="D619" s="20"/>
      <c r="E619" s="39">
        <v>4</v>
      </c>
      <c r="G619" s="60" t="s">
        <v>1956</v>
      </c>
    </row>
    <row r="620" spans="2:7" x14ac:dyDescent="0.2">
      <c r="B620" s="6" t="s">
        <v>1433</v>
      </c>
      <c r="C620" s="6" t="s">
        <v>1434</v>
      </c>
      <c r="D620" s="20"/>
      <c r="E620" s="39">
        <v>5</v>
      </c>
      <c r="G620" s="60" t="s">
        <v>1956</v>
      </c>
    </row>
    <row r="621" spans="2:7" x14ac:dyDescent="0.2">
      <c r="B621" s="6" t="s">
        <v>1790</v>
      </c>
      <c r="C621" s="6" t="s">
        <v>1791</v>
      </c>
      <c r="D621" s="20"/>
      <c r="E621" s="39">
        <v>57</v>
      </c>
      <c r="G621" s="60" t="s">
        <v>1956</v>
      </c>
    </row>
    <row r="622" spans="2:7" x14ac:dyDescent="0.2">
      <c r="B622" s="6" t="s">
        <v>1736</v>
      </c>
      <c r="C622" s="6" t="s">
        <v>1737</v>
      </c>
      <c r="D622" s="20"/>
      <c r="E622" s="39">
        <v>120</v>
      </c>
      <c r="G622" s="60" t="s">
        <v>1956</v>
      </c>
    </row>
    <row r="623" spans="2:7" x14ac:dyDescent="0.2">
      <c r="B623" s="6" t="s">
        <v>1738</v>
      </c>
      <c r="C623" s="6" t="s">
        <v>1739</v>
      </c>
      <c r="D623" s="20"/>
      <c r="E623" s="39">
        <v>220</v>
      </c>
      <c r="G623" s="60" t="s">
        <v>1956</v>
      </c>
    </row>
    <row r="624" spans="2:7" x14ac:dyDescent="0.2">
      <c r="B624" s="6" t="s">
        <v>1742</v>
      </c>
      <c r="C624" s="6" t="s">
        <v>1743</v>
      </c>
      <c r="D624" s="20"/>
      <c r="E624" s="39">
        <v>750</v>
      </c>
      <c r="G624" s="60" t="s">
        <v>1956</v>
      </c>
    </row>
    <row r="625" spans="2:7" x14ac:dyDescent="0.2">
      <c r="B625" s="6" t="s">
        <v>1754</v>
      </c>
      <c r="C625" s="6" t="s">
        <v>1755</v>
      </c>
      <c r="D625" s="20"/>
      <c r="E625" s="39">
        <v>220</v>
      </c>
      <c r="G625" s="60" t="s">
        <v>1956</v>
      </c>
    </row>
    <row r="626" spans="2:7" x14ac:dyDescent="0.2">
      <c r="B626" s="6" t="s">
        <v>1748</v>
      </c>
      <c r="C626" s="6" t="s">
        <v>1749</v>
      </c>
      <c r="D626" s="20"/>
      <c r="E626" s="39">
        <v>220</v>
      </c>
      <c r="G626" s="60" t="s">
        <v>1956</v>
      </c>
    </row>
    <row r="627" spans="2:7" x14ac:dyDescent="0.2">
      <c r="B627" s="6" t="s">
        <v>1710</v>
      </c>
      <c r="C627" s="6" t="s">
        <v>1711</v>
      </c>
      <c r="D627" s="20"/>
      <c r="E627" s="39"/>
      <c r="G627" s="60" t="s">
        <v>1956</v>
      </c>
    </row>
    <row r="628" spans="2:7" x14ac:dyDescent="0.2">
      <c r="B628" s="6" t="s">
        <v>1702</v>
      </c>
      <c r="C628" s="6" t="s">
        <v>1703</v>
      </c>
      <c r="D628" s="20"/>
      <c r="E628" s="39">
        <v>120</v>
      </c>
      <c r="G628" s="60" t="s">
        <v>1956</v>
      </c>
    </row>
    <row r="629" spans="2:7" x14ac:dyDescent="0.2">
      <c r="B629" s="6" t="s">
        <v>1788</v>
      </c>
      <c r="C629" s="6" t="s">
        <v>1789</v>
      </c>
      <c r="D629" s="20"/>
      <c r="E629" s="39">
        <v>95</v>
      </c>
      <c r="G629" s="60" t="s">
        <v>1956</v>
      </c>
    </row>
    <row r="630" spans="2:7" x14ac:dyDescent="0.2">
      <c r="B630" s="6" t="s">
        <v>1830</v>
      </c>
      <c r="C630" s="6" t="s">
        <v>1831</v>
      </c>
      <c r="D630" s="20"/>
      <c r="E630" s="39">
        <v>0</v>
      </c>
      <c r="G630" s="60" t="s">
        <v>1956</v>
      </c>
    </row>
    <row r="631" spans="2:7" x14ac:dyDescent="0.2">
      <c r="B631" s="6" t="s">
        <v>1814</v>
      </c>
      <c r="C631" s="6" t="s">
        <v>1815</v>
      </c>
      <c r="D631" s="20"/>
      <c r="E631" s="39">
        <v>998</v>
      </c>
      <c r="G631" s="60" t="s">
        <v>1956</v>
      </c>
    </row>
    <row r="632" spans="2:7" x14ac:dyDescent="0.2">
      <c r="B632" s="6" t="s">
        <v>1820</v>
      </c>
      <c r="C632" s="6" t="s">
        <v>1821</v>
      </c>
      <c r="D632" s="20"/>
      <c r="E632" s="39">
        <v>756</v>
      </c>
      <c r="G632" s="60" t="s">
        <v>1956</v>
      </c>
    </row>
    <row r="633" spans="2:7" x14ac:dyDescent="0.2">
      <c r="B633" s="6" t="s">
        <v>1868</v>
      </c>
      <c r="C633" s="6" t="s">
        <v>1869</v>
      </c>
      <c r="D633" s="20"/>
      <c r="E633" s="39">
        <v>0</v>
      </c>
      <c r="G633" s="60" t="s">
        <v>1956</v>
      </c>
    </row>
    <row r="634" spans="2:7" x14ac:dyDescent="0.2">
      <c r="B634" s="6" t="s">
        <v>1810</v>
      </c>
      <c r="C634" s="6" t="s">
        <v>1811</v>
      </c>
      <c r="D634" s="20"/>
      <c r="E634" s="39">
        <v>283</v>
      </c>
      <c r="G634" s="60" t="s">
        <v>1956</v>
      </c>
    </row>
    <row r="635" spans="2:7" x14ac:dyDescent="0.2">
      <c r="B635" s="6" t="s">
        <v>1898</v>
      </c>
      <c r="C635" s="6" t="s">
        <v>1899</v>
      </c>
      <c r="D635" s="20"/>
      <c r="E635" s="39">
        <v>0</v>
      </c>
      <c r="G635" s="60" t="s">
        <v>1956</v>
      </c>
    </row>
    <row r="636" spans="2:7" x14ac:dyDescent="0.2">
      <c r="B636" s="6" t="s">
        <v>1650</v>
      </c>
      <c r="C636" s="6" t="s">
        <v>1651</v>
      </c>
      <c r="D636" s="20"/>
      <c r="E636" s="39">
        <v>4</v>
      </c>
      <c r="G636" s="60" t="s">
        <v>1956</v>
      </c>
    </row>
    <row r="637" spans="2:7" x14ac:dyDescent="0.2">
      <c r="B637" s="6" t="s">
        <v>1856</v>
      </c>
      <c r="C637" s="6" t="s">
        <v>1857</v>
      </c>
      <c r="D637" s="20"/>
      <c r="E637" s="39">
        <v>0</v>
      </c>
      <c r="G637" s="60" t="s">
        <v>1956</v>
      </c>
    </row>
    <row r="638" spans="2:7" x14ac:dyDescent="0.2">
      <c r="B638" s="6" t="s">
        <v>1672</v>
      </c>
      <c r="C638" s="6" t="s">
        <v>1673</v>
      </c>
      <c r="D638" s="20"/>
      <c r="E638" s="39">
        <v>65</v>
      </c>
      <c r="G638" s="60" t="s">
        <v>1956</v>
      </c>
    </row>
    <row r="639" spans="2:7" x14ac:dyDescent="0.2">
      <c r="B639" s="6" t="s">
        <v>1674</v>
      </c>
      <c r="C639" s="6" t="s">
        <v>1675</v>
      </c>
      <c r="D639" s="20"/>
      <c r="E639" s="39">
        <v>18</v>
      </c>
      <c r="G639" s="60" t="s">
        <v>1956</v>
      </c>
    </row>
    <row r="640" spans="2:7" x14ac:dyDescent="0.2">
      <c r="B640" s="6" t="s">
        <v>1668</v>
      </c>
      <c r="C640" s="6" t="s">
        <v>1669</v>
      </c>
      <c r="D640" s="20"/>
      <c r="E640" s="39">
        <v>55</v>
      </c>
      <c r="G640" s="60" t="s">
        <v>1956</v>
      </c>
    </row>
    <row r="641" spans="2:7" x14ac:dyDescent="0.2">
      <c r="B641" s="6" t="s">
        <v>1852</v>
      </c>
      <c r="C641" s="6" t="s">
        <v>1853</v>
      </c>
      <c r="D641" s="20"/>
      <c r="E641" s="39">
        <v>543.6</v>
      </c>
      <c r="G641" s="60" t="s">
        <v>1956</v>
      </c>
    </row>
    <row r="642" spans="2:7" x14ac:dyDescent="0.2">
      <c r="B642" s="6" t="s">
        <v>1676</v>
      </c>
      <c r="C642" s="6" t="s">
        <v>1677</v>
      </c>
      <c r="D642" s="20"/>
      <c r="E642" s="39">
        <v>150</v>
      </c>
      <c r="G642" s="60" t="s">
        <v>1956</v>
      </c>
    </row>
    <row r="643" spans="2:7" x14ac:dyDescent="0.2">
      <c r="B643" s="6" t="s">
        <v>1812</v>
      </c>
      <c r="C643" s="6" t="s">
        <v>1813</v>
      </c>
      <c r="D643" s="20"/>
      <c r="E643" s="39"/>
      <c r="G643" s="60" t="s">
        <v>1956</v>
      </c>
    </row>
    <row r="644" spans="2:7" x14ac:dyDescent="0.2">
      <c r="B644" s="6" t="s">
        <v>1648</v>
      </c>
      <c r="C644" s="6" t="s">
        <v>1649</v>
      </c>
      <c r="D644" s="20"/>
      <c r="E644" s="39">
        <v>3.5</v>
      </c>
      <c r="G644" s="60" t="s">
        <v>1956</v>
      </c>
    </row>
    <row r="645" spans="2:7" x14ac:dyDescent="0.2">
      <c r="B645" s="6" t="s">
        <v>1828</v>
      </c>
      <c r="C645" s="6" t="s">
        <v>1829</v>
      </c>
      <c r="D645" s="20"/>
      <c r="E645" s="39">
        <v>0</v>
      </c>
      <c r="G645" s="60" t="s">
        <v>1956</v>
      </c>
    </row>
    <row r="646" spans="2:7" x14ac:dyDescent="0.2">
      <c r="B646" s="6" t="s">
        <v>1443</v>
      </c>
      <c r="C646" s="6" t="s">
        <v>1444</v>
      </c>
      <c r="D646" s="20"/>
      <c r="E646" s="39">
        <v>250</v>
      </c>
      <c r="G646" s="60" t="s">
        <v>1956</v>
      </c>
    </row>
    <row r="647" spans="2:7" x14ac:dyDescent="0.2">
      <c r="B647" s="6" t="s">
        <v>1752</v>
      </c>
      <c r="C647" s="6" t="s">
        <v>1753</v>
      </c>
      <c r="D647" s="20"/>
      <c r="E647" s="39">
        <v>180</v>
      </c>
      <c r="G647" s="60" t="s">
        <v>1956</v>
      </c>
    </row>
    <row r="648" spans="2:7" x14ac:dyDescent="0.2">
      <c r="B648" s="6" t="s">
        <v>1720</v>
      </c>
      <c r="C648" s="6" t="s">
        <v>1721</v>
      </c>
      <c r="D648" s="20"/>
      <c r="E648" s="39"/>
      <c r="G648" s="60" t="s">
        <v>1956</v>
      </c>
    </row>
    <row r="649" spans="2:7" x14ac:dyDescent="0.2">
      <c r="B649" s="6" t="s">
        <v>1886</v>
      </c>
      <c r="C649" s="6" t="s">
        <v>1887</v>
      </c>
      <c r="D649" s="20"/>
      <c r="E649" s="39">
        <v>0</v>
      </c>
      <c r="G649" s="60" t="s">
        <v>1956</v>
      </c>
    </row>
    <row r="650" spans="2:7" x14ac:dyDescent="0.2">
      <c r="B650" s="6" t="s">
        <v>1808</v>
      </c>
      <c r="C650" s="6" t="s">
        <v>1809</v>
      </c>
      <c r="D650" s="20"/>
      <c r="E650" s="39">
        <v>300</v>
      </c>
      <c r="G650" s="60" t="s">
        <v>1956</v>
      </c>
    </row>
    <row r="651" spans="2:7" x14ac:dyDescent="0.2">
      <c r="B651" s="6" t="s">
        <v>1776</v>
      </c>
      <c r="C651" s="6" t="s">
        <v>1777</v>
      </c>
      <c r="D651" s="20"/>
      <c r="E651" s="39">
        <v>80</v>
      </c>
      <c r="G651" s="60" t="s">
        <v>1956</v>
      </c>
    </row>
    <row r="652" spans="2:7" x14ac:dyDescent="0.2">
      <c r="B652" s="6" t="s">
        <v>1686</v>
      </c>
      <c r="C652" s="6" t="s">
        <v>1687</v>
      </c>
      <c r="D652" s="20"/>
      <c r="E652" s="39">
        <v>95</v>
      </c>
      <c r="G652" s="60" t="s">
        <v>1956</v>
      </c>
    </row>
    <row r="653" spans="2:7" x14ac:dyDescent="0.2">
      <c r="B653" s="6" t="s">
        <v>1664</v>
      </c>
      <c r="C653" s="6" t="s">
        <v>1665</v>
      </c>
      <c r="D653" s="20"/>
      <c r="E653" s="39">
        <v>300</v>
      </c>
      <c r="G653" s="60" t="s">
        <v>1956</v>
      </c>
    </row>
    <row r="654" spans="2:7" x14ac:dyDescent="0.2">
      <c r="B654" s="6" t="s">
        <v>1670</v>
      </c>
      <c r="C654" s="6" t="s">
        <v>1671</v>
      </c>
      <c r="D654" s="20"/>
      <c r="E654" s="39">
        <v>120</v>
      </c>
      <c r="G654" s="60" t="s">
        <v>1956</v>
      </c>
    </row>
    <row r="655" spans="2:7" x14ac:dyDescent="0.2">
      <c r="B655" s="6" t="s">
        <v>1822</v>
      </c>
      <c r="C655" s="6" t="s">
        <v>1823</v>
      </c>
      <c r="D655" s="20"/>
      <c r="E655" s="39">
        <v>0</v>
      </c>
      <c r="G655" s="60" t="s">
        <v>1956</v>
      </c>
    </row>
    <row r="656" spans="2:7" x14ac:dyDescent="0.2">
      <c r="B656" s="6" t="s">
        <v>1880</v>
      </c>
      <c r="C656" s="6" t="s">
        <v>1881</v>
      </c>
      <c r="D656" s="20"/>
      <c r="E656" s="39">
        <v>1125</v>
      </c>
      <c r="G656" s="60" t="s">
        <v>1956</v>
      </c>
    </row>
    <row r="657" spans="2:7" x14ac:dyDescent="0.2">
      <c r="B657" s="6" t="s">
        <v>1836</v>
      </c>
      <c r="C657" s="6" t="s">
        <v>1837</v>
      </c>
      <c r="D657" s="20"/>
      <c r="E657" s="39">
        <v>0</v>
      </c>
      <c r="G657" s="60" t="s">
        <v>1956</v>
      </c>
    </row>
    <row r="658" spans="2:7" x14ac:dyDescent="0.2">
      <c r="B658" s="6" t="s">
        <v>1878</v>
      </c>
      <c r="C658" s="6" t="s">
        <v>1879</v>
      </c>
      <c r="D658" s="20"/>
      <c r="E658" s="39">
        <v>0</v>
      </c>
      <c r="G658" s="60" t="s">
        <v>1956</v>
      </c>
    </row>
    <row r="659" spans="2:7" x14ac:dyDescent="0.2">
      <c r="B659" s="6" t="s">
        <v>1876</v>
      </c>
      <c r="C659" s="6" t="s">
        <v>1877</v>
      </c>
      <c r="D659" s="20"/>
      <c r="E659" s="39">
        <v>0</v>
      </c>
      <c r="G659" s="60" t="s">
        <v>1956</v>
      </c>
    </row>
    <row r="660" spans="2:7" x14ac:dyDescent="0.2">
      <c r="B660" s="6" t="s">
        <v>1874</v>
      </c>
      <c r="C660" s="6" t="s">
        <v>1875</v>
      </c>
      <c r="D660" s="20"/>
      <c r="E660" s="39">
        <v>0</v>
      </c>
      <c r="G660" s="60" t="s">
        <v>1956</v>
      </c>
    </row>
    <row r="661" spans="2:7" x14ac:dyDescent="0.2">
      <c r="B661" s="6" t="s">
        <v>1756</v>
      </c>
      <c r="C661" s="6" t="s">
        <v>1757</v>
      </c>
      <c r="D661" s="20"/>
      <c r="E661" s="39">
        <v>85</v>
      </c>
      <c r="G661" s="60" t="s">
        <v>1956</v>
      </c>
    </row>
    <row r="662" spans="2:7" x14ac:dyDescent="0.2">
      <c r="B662" s="6" t="s">
        <v>1914</v>
      </c>
      <c r="C662" s="6" t="s">
        <v>1915</v>
      </c>
      <c r="D662" s="20"/>
      <c r="E662" s="39">
        <v>0</v>
      </c>
      <c r="G662" s="60" t="s">
        <v>1956</v>
      </c>
    </row>
    <row r="663" spans="2:7" x14ac:dyDescent="0.2">
      <c r="B663" s="6" t="s">
        <v>1642</v>
      </c>
      <c r="C663" s="6" t="s">
        <v>1643</v>
      </c>
      <c r="D663" s="20"/>
      <c r="E663" s="39">
        <v>1.5</v>
      </c>
      <c r="G663" s="60" t="s">
        <v>1956</v>
      </c>
    </row>
    <row r="664" spans="2:7" x14ac:dyDescent="0.2">
      <c r="B664" s="6" t="s">
        <v>1638</v>
      </c>
      <c r="C664" s="6" t="s">
        <v>1639</v>
      </c>
      <c r="D664" s="20"/>
      <c r="E664" s="39">
        <v>3.5</v>
      </c>
      <c r="G664" s="60" t="s">
        <v>1956</v>
      </c>
    </row>
    <row r="665" spans="2:7" x14ac:dyDescent="0.2">
      <c r="B665" s="6" t="s">
        <v>1640</v>
      </c>
      <c r="C665" s="6" t="s">
        <v>1641</v>
      </c>
      <c r="D665" s="20"/>
      <c r="E665" s="39">
        <v>3</v>
      </c>
      <c r="G665" s="60" t="s">
        <v>1956</v>
      </c>
    </row>
    <row r="666" spans="2:7" x14ac:dyDescent="0.2">
      <c r="B666" s="6" t="s">
        <v>1912</v>
      </c>
      <c r="C666" s="6" t="s">
        <v>1913</v>
      </c>
      <c r="D666" s="20"/>
      <c r="E666" s="39">
        <v>0</v>
      </c>
      <c r="G666" s="60" t="s">
        <v>1956</v>
      </c>
    </row>
    <row r="667" spans="2:7" x14ac:dyDescent="0.2">
      <c r="B667" s="6" t="s">
        <v>1633</v>
      </c>
      <c r="C667" s="6" t="s">
        <v>1634</v>
      </c>
      <c r="D667" s="20"/>
      <c r="E667" s="39">
        <v>0.8</v>
      </c>
      <c r="G667" s="60" t="s">
        <v>1956</v>
      </c>
    </row>
    <row r="668" spans="2:7" x14ac:dyDescent="0.2">
      <c r="B668" s="6" t="s">
        <v>1631</v>
      </c>
      <c r="C668" s="6" t="s">
        <v>1635</v>
      </c>
      <c r="D668" s="20"/>
      <c r="E668" s="39">
        <v>0.6</v>
      </c>
      <c r="G668" s="60" t="s">
        <v>1956</v>
      </c>
    </row>
    <row r="669" spans="2:7" x14ac:dyDescent="0.2">
      <c r="B669" s="6" t="s">
        <v>1974</v>
      </c>
      <c r="C669" s="6" t="s">
        <v>1632</v>
      </c>
      <c r="D669" s="20"/>
      <c r="E669" s="39">
        <v>0.7</v>
      </c>
      <c r="G669" s="60" t="s">
        <v>1956</v>
      </c>
    </row>
    <row r="670" spans="2:7" x14ac:dyDescent="0.2">
      <c r="B670" s="6" t="s">
        <v>1636</v>
      </c>
      <c r="C670" s="6" t="s">
        <v>1637</v>
      </c>
      <c r="D670" s="20"/>
      <c r="E670" s="39">
        <v>1.2</v>
      </c>
      <c r="G670" s="60" t="s">
        <v>1956</v>
      </c>
    </row>
    <row r="671" spans="2:7" x14ac:dyDescent="0.2">
      <c r="B671" s="6" t="s">
        <v>1975</v>
      </c>
      <c r="C671" s="6" t="s">
        <v>1976</v>
      </c>
      <c r="D671" s="20"/>
      <c r="E671" s="39">
        <v>1.5</v>
      </c>
      <c r="G671" s="60" t="s">
        <v>1956</v>
      </c>
    </row>
    <row r="672" spans="2:7" x14ac:dyDescent="0.2">
      <c r="B672" s="6" t="s">
        <v>1724</v>
      </c>
      <c r="C672" s="6" t="s">
        <v>1725</v>
      </c>
      <c r="D672" s="20"/>
      <c r="E672" s="39">
        <v>680</v>
      </c>
      <c r="G672" s="60" t="s">
        <v>1956</v>
      </c>
    </row>
    <row r="673" spans="2:7" x14ac:dyDescent="0.2">
      <c r="B673" s="6" t="s">
        <v>1716</v>
      </c>
      <c r="C673" s="6" t="s">
        <v>1717</v>
      </c>
      <c r="D673" s="20"/>
      <c r="E673" s="39"/>
      <c r="G673" s="60" t="s">
        <v>1956</v>
      </c>
    </row>
    <row r="674" spans="2:7" x14ac:dyDescent="0.2">
      <c r="B674" s="6" t="s">
        <v>1718</v>
      </c>
      <c r="C674" s="6" t="s">
        <v>1719</v>
      </c>
      <c r="D674" s="20"/>
      <c r="E674" s="39"/>
      <c r="G674" s="60" t="s">
        <v>1956</v>
      </c>
    </row>
    <row r="675" spans="2:7" x14ac:dyDescent="0.2">
      <c r="B675" s="6" t="s">
        <v>1744</v>
      </c>
      <c r="C675" s="6" t="s">
        <v>1745</v>
      </c>
      <c r="D675" s="20"/>
      <c r="E675" s="39">
        <v>750</v>
      </c>
      <c r="G675" s="60" t="s">
        <v>1956</v>
      </c>
    </row>
    <row r="676" spans="2:7" x14ac:dyDescent="0.2">
      <c r="B676" s="6" t="s">
        <v>1746</v>
      </c>
      <c r="C676" s="6" t="s">
        <v>1747</v>
      </c>
      <c r="D676" s="20"/>
      <c r="E676" s="39">
        <v>750</v>
      </c>
      <c r="G676" s="60" t="s">
        <v>1956</v>
      </c>
    </row>
    <row r="677" spans="2:7" x14ac:dyDescent="0.2">
      <c r="B677" s="6" t="s">
        <v>1816</v>
      </c>
      <c r="C677" s="6" t="s">
        <v>1817</v>
      </c>
      <c r="D677" s="20"/>
      <c r="E677" s="39">
        <v>960</v>
      </c>
      <c r="G677" s="60" t="s">
        <v>1956</v>
      </c>
    </row>
    <row r="678" spans="2:7" x14ac:dyDescent="0.2">
      <c r="B678" s="6" t="s">
        <v>1730</v>
      </c>
      <c r="C678" s="6" t="s">
        <v>1731</v>
      </c>
      <c r="D678" s="20"/>
      <c r="E678" s="39">
        <v>680</v>
      </c>
      <c r="G678" s="60" t="s">
        <v>1956</v>
      </c>
    </row>
    <row r="679" spans="2:7" x14ac:dyDescent="0.2">
      <c r="B679" s="6" t="s">
        <v>1722</v>
      </c>
      <c r="C679" s="6" t="s">
        <v>1723</v>
      </c>
      <c r="D679" s="20"/>
      <c r="E679" s="39"/>
      <c r="G679" s="60" t="s">
        <v>1956</v>
      </c>
    </row>
    <row r="680" spans="2:7" x14ac:dyDescent="0.2">
      <c r="B680" s="6" t="s">
        <v>1726</v>
      </c>
      <c r="C680" s="6" t="s">
        <v>1727</v>
      </c>
      <c r="D680" s="20"/>
      <c r="E680" s="39"/>
      <c r="G680" s="60" t="s">
        <v>1956</v>
      </c>
    </row>
    <row r="681" spans="2:7" x14ac:dyDescent="0.2">
      <c r="B681" s="6" t="s">
        <v>1728</v>
      </c>
      <c r="C681" s="6" t="s">
        <v>1729</v>
      </c>
      <c r="D681" s="20"/>
      <c r="E681" s="39">
        <v>680</v>
      </c>
      <c r="G681" s="60" t="s">
        <v>1956</v>
      </c>
    </row>
    <row r="682" spans="2:7" x14ac:dyDescent="0.2">
      <c r="B682" s="6" t="s">
        <v>1714</v>
      </c>
      <c r="C682" s="6" t="s">
        <v>1715</v>
      </c>
      <c r="D682" s="20"/>
      <c r="E682" s="39"/>
      <c r="G682" s="60" t="s">
        <v>1956</v>
      </c>
    </row>
    <row r="683" spans="2:7" x14ac:dyDescent="0.2">
      <c r="B683" s="6" t="s">
        <v>1704</v>
      </c>
      <c r="C683" s="6" t="s">
        <v>1705</v>
      </c>
      <c r="D683" s="20"/>
      <c r="E683" s="39">
        <v>650</v>
      </c>
      <c r="G683" s="60" t="s">
        <v>1956</v>
      </c>
    </row>
    <row r="684" spans="2:7" x14ac:dyDescent="0.2">
      <c r="B684" s="6" t="s">
        <v>1930</v>
      </c>
      <c r="C684" s="6" t="s">
        <v>1931</v>
      </c>
      <c r="D684" s="20"/>
      <c r="E684" s="39">
        <v>0</v>
      </c>
      <c r="G684" s="60" t="s">
        <v>1956</v>
      </c>
    </row>
    <row r="685" spans="2:7" x14ac:dyDescent="0.2">
      <c r="B685" s="6" t="s">
        <v>1900</v>
      </c>
      <c r="C685" s="6" t="s">
        <v>1901</v>
      </c>
      <c r="D685" s="20"/>
      <c r="E685" s="39">
        <v>0</v>
      </c>
      <c r="G685" s="60" t="s">
        <v>1956</v>
      </c>
    </row>
    <row r="686" spans="2:7" x14ac:dyDescent="0.2">
      <c r="B686" s="6" t="s">
        <v>1662</v>
      </c>
      <c r="C686" s="6" t="s">
        <v>1663</v>
      </c>
      <c r="D686" s="20"/>
      <c r="E686" s="39">
        <v>250</v>
      </c>
      <c r="G686" s="60" t="s">
        <v>1956</v>
      </c>
    </row>
    <row r="687" spans="2:7" x14ac:dyDescent="0.2">
      <c r="B687" s="6" t="s">
        <v>1938</v>
      </c>
      <c r="C687" s="6" t="s">
        <v>1939</v>
      </c>
      <c r="D687" s="20"/>
      <c r="E687" s="39">
        <v>0</v>
      </c>
      <c r="G687" s="60" t="s">
        <v>1956</v>
      </c>
    </row>
    <row r="688" spans="2:7" x14ac:dyDescent="0.2">
      <c r="B688" s="6" t="s">
        <v>1936</v>
      </c>
      <c r="C688" s="6" t="s">
        <v>1937</v>
      </c>
      <c r="D688" s="20"/>
      <c r="E688" s="39">
        <v>0</v>
      </c>
      <c r="G688" s="60" t="s">
        <v>1956</v>
      </c>
    </row>
    <row r="689" spans="2:7" x14ac:dyDescent="0.2">
      <c r="B689" s="6" t="s">
        <v>1934</v>
      </c>
      <c r="C689" s="6" t="s">
        <v>1935</v>
      </c>
      <c r="D689" s="20"/>
      <c r="E689" s="39">
        <v>0</v>
      </c>
      <c r="G689" s="60" t="s">
        <v>1956</v>
      </c>
    </row>
    <row r="690" spans="2:7" x14ac:dyDescent="0.2">
      <c r="B690" s="6" t="s">
        <v>1940</v>
      </c>
      <c r="C690" s="6" t="s">
        <v>1941</v>
      </c>
      <c r="D690" s="20"/>
      <c r="E690" s="39">
        <v>0</v>
      </c>
      <c r="G690" s="60" t="s">
        <v>1956</v>
      </c>
    </row>
    <row r="691" spans="2:7" x14ac:dyDescent="0.2">
      <c r="B691" s="6" t="s">
        <v>1942</v>
      </c>
      <c r="C691" s="6" t="s">
        <v>1943</v>
      </c>
      <c r="D691" s="20"/>
      <c r="E691" s="39">
        <v>0</v>
      </c>
      <c r="G691" s="60" t="s">
        <v>1956</v>
      </c>
    </row>
    <row r="692" spans="2:7" x14ac:dyDescent="0.2">
      <c r="B692" s="6" t="s">
        <v>1690</v>
      </c>
      <c r="C692" s="6" t="s">
        <v>1691</v>
      </c>
      <c r="D692" s="20"/>
      <c r="E692" s="39">
        <v>420</v>
      </c>
      <c r="G692" s="60" t="s">
        <v>1956</v>
      </c>
    </row>
    <row r="693" spans="2:7" x14ac:dyDescent="0.2">
      <c r="B693" s="6" t="s">
        <v>1842</v>
      </c>
      <c r="C693" s="6" t="s">
        <v>1843</v>
      </c>
      <c r="D693" s="20"/>
      <c r="E693" s="39">
        <v>350</v>
      </c>
      <c r="G693" s="60" t="s">
        <v>1956</v>
      </c>
    </row>
    <row r="694" spans="2:7" x14ac:dyDescent="0.2">
      <c r="B694" s="6" t="s">
        <v>1734</v>
      </c>
      <c r="C694" s="6" t="s">
        <v>1735</v>
      </c>
      <c r="D694" s="20"/>
      <c r="E694" s="39">
        <v>290</v>
      </c>
      <c r="G694" s="60" t="s">
        <v>1956</v>
      </c>
    </row>
    <row r="695" spans="2:7" x14ac:dyDescent="0.2">
      <c r="B695" s="6" t="s">
        <v>1694</v>
      </c>
      <c r="C695" s="6" t="s">
        <v>1695</v>
      </c>
      <c r="D695" s="20"/>
      <c r="E695" s="39">
        <v>80</v>
      </c>
      <c r="G695" s="60" t="s">
        <v>1956</v>
      </c>
    </row>
    <row r="696" spans="2:7" x14ac:dyDescent="0.2">
      <c r="B696" s="6" t="s">
        <v>1583</v>
      </c>
      <c r="C696" s="6" t="s">
        <v>1584</v>
      </c>
      <c r="D696" s="20"/>
      <c r="E696" s="39">
        <v>0.85</v>
      </c>
      <c r="G696" s="60" t="s">
        <v>1956</v>
      </c>
    </row>
    <row r="697" spans="2:7" x14ac:dyDescent="0.2">
      <c r="B697" s="6" t="s">
        <v>1601</v>
      </c>
      <c r="C697" s="6" t="s">
        <v>1602</v>
      </c>
      <c r="D697" s="20"/>
      <c r="E697" s="39">
        <v>0.8</v>
      </c>
      <c r="G697" s="60" t="s">
        <v>1956</v>
      </c>
    </row>
    <row r="698" spans="2:7" x14ac:dyDescent="0.2">
      <c r="B698" s="6" t="s">
        <v>1599</v>
      </c>
      <c r="C698" s="6" t="s">
        <v>1600</v>
      </c>
      <c r="D698" s="20"/>
      <c r="E698" s="39">
        <v>0.85</v>
      </c>
      <c r="G698" s="60" t="s">
        <v>1956</v>
      </c>
    </row>
    <row r="699" spans="2:7" x14ac:dyDescent="0.2">
      <c r="B699" s="6" t="s">
        <v>1597</v>
      </c>
      <c r="C699" s="6" t="s">
        <v>1598</v>
      </c>
      <c r="D699" s="20"/>
      <c r="E699" s="39">
        <v>0.9</v>
      </c>
      <c r="G699" s="60" t="s">
        <v>1956</v>
      </c>
    </row>
    <row r="700" spans="2:7" x14ac:dyDescent="0.2">
      <c r="B700" s="6" t="s">
        <v>1595</v>
      </c>
      <c r="C700" s="6" t="s">
        <v>1596</v>
      </c>
      <c r="D700" s="20"/>
      <c r="E700" s="39">
        <v>1</v>
      </c>
      <c r="G700" s="60" t="s">
        <v>1956</v>
      </c>
    </row>
    <row r="701" spans="2:7" x14ac:dyDescent="0.2">
      <c r="B701" s="6" t="s">
        <v>1593</v>
      </c>
      <c r="C701" s="6" t="s">
        <v>1594</v>
      </c>
      <c r="D701" s="20"/>
      <c r="E701" s="39">
        <v>1.2</v>
      </c>
      <c r="G701" s="60" t="s">
        <v>1956</v>
      </c>
    </row>
    <row r="702" spans="2:7" x14ac:dyDescent="0.2">
      <c r="B702" s="6" t="s">
        <v>1591</v>
      </c>
      <c r="C702" s="6" t="s">
        <v>1592</v>
      </c>
      <c r="D702" s="20"/>
      <c r="E702" s="39">
        <v>1.5</v>
      </c>
      <c r="G702" s="60" t="s">
        <v>1956</v>
      </c>
    </row>
    <row r="703" spans="2:7" x14ac:dyDescent="0.2">
      <c r="B703" s="6" t="s">
        <v>1587</v>
      </c>
      <c r="C703" s="6" t="s">
        <v>1588</v>
      </c>
      <c r="D703" s="20"/>
      <c r="E703" s="39">
        <v>0.6</v>
      </c>
      <c r="G703" s="60" t="s">
        <v>1956</v>
      </c>
    </row>
    <row r="704" spans="2:7" x14ac:dyDescent="0.2">
      <c r="B704" s="6" t="s">
        <v>1585</v>
      </c>
      <c r="C704" s="6" t="s">
        <v>1586</v>
      </c>
      <c r="D704" s="20"/>
      <c r="E704" s="39">
        <v>0.5</v>
      </c>
      <c r="G704" s="60" t="s">
        <v>1956</v>
      </c>
    </row>
    <row r="705" spans="2:7" x14ac:dyDescent="0.2">
      <c r="B705" s="6" t="s">
        <v>1589</v>
      </c>
      <c r="C705" s="6" t="s">
        <v>1590</v>
      </c>
      <c r="D705" s="20"/>
      <c r="E705" s="39">
        <v>1.1000000000000001</v>
      </c>
      <c r="G705" s="60" t="s">
        <v>1956</v>
      </c>
    </row>
    <row r="706" spans="2:7" x14ac:dyDescent="0.2">
      <c r="B706" s="6" t="s">
        <v>1581</v>
      </c>
      <c r="C706" s="6" t="s">
        <v>1582</v>
      </c>
      <c r="D706" s="20"/>
      <c r="E706" s="39">
        <v>0.7</v>
      </c>
      <c r="G706" s="60" t="s">
        <v>1956</v>
      </c>
    </row>
    <row r="707" spans="2:7" x14ac:dyDescent="0.2">
      <c r="B707" s="6" t="s">
        <v>1605</v>
      </c>
      <c r="C707" s="6" t="s">
        <v>1606</v>
      </c>
      <c r="D707" s="20"/>
      <c r="E707" s="39">
        <v>1</v>
      </c>
      <c r="G707" s="60" t="s">
        <v>1956</v>
      </c>
    </row>
    <row r="708" spans="2:7" x14ac:dyDescent="0.2">
      <c r="B708" s="6" t="s">
        <v>1603</v>
      </c>
      <c r="C708" s="6" t="s">
        <v>1604</v>
      </c>
      <c r="D708" s="20"/>
      <c r="E708" s="39">
        <v>1.1000000000000001</v>
      </c>
      <c r="G708" s="60" t="s">
        <v>1956</v>
      </c>
    </row>
    <row r="709" spans="2:7" x14ac:dyDescent="0.2">
      <c r="B709" s="6" t="s">
        <v>1621</v>
      </c>
      <c r="C709" s="6" t="s">
        <v>1622</v>
      </c>
      <c r="D709" s="20"/>
      <c r="E709" s="39">
        <v>1.4</v>
      </c>
      <c r="G709" s="60" t="s">
        <v>1956</v>
      </c>
    </row>
    <row r="710" spans="2:7" x14ac:dyDescent="0.2">
      <c r="B710" s="6" t="s">
        <v>1619</v>
      </c>
      <c r="C710" s="6" t="s">
        <v>1620</v>
      </c>
      <c r="D710" s="20"/>
      <c r="E710" s="39">
        <v>0.8</v>
      </c>
      <c r="G710" s="60" t="s">
        <v>1956</v>
      </c>
    </row>
    <row r="711" spans="2:7" x14ac:dyDescent="0.2">
      <c r="B711" s="6" t="s">
        <v>1623</v>
      </c>
      <c r="C711" s="6" t="s">
        <v>1624</v>
      </c>
      <c r="D711" s="20"/>
      <c r="E711" s="39">
        <v>1.1000000000000001</v>
      </c>
      <c r="G711" s="60" t="s">
        <v>1956</v>
      </c>
    </row>
    <row r="712" spans="2:7" x14ac:dyDescent="0.2">
      <c r="B712" s="6" t="s">
        <v>1609</v>
      </c>
      <c r="C712" s="6" t="s">
        <v>1610</v>
      </c>
      <c r="D712" s="20"/>
      <c r="E712" s="39">
        <v>1.2</v>
      </c>
      <c r="G712" s="60" t="s">
        <v>1956</v>
      </c>
    </row>
    <row r="713" spans="2:7" x14ac:dyDescent="0.2">
      <c r="B713" s="6" t="s">
        <v>1613</v>
      </c>
      <c r="C713" s="6" t="s">
        <v>1614</v>
      </c>
      <c r="D713" s="20"/>
      <c r="E713" s="39">
        <v>1.2</v>
      </c>
      <c r="G713" s="60" t="s">
        <v>1956</v>
      </c>
    </row>
    <row r="714" spans="2:7" x14ac:dyDescent="0.2">
      <c r="B714" s="6" t="s">
        <v>1615</v>
      </c>
      <c r="C714" s="6" t="s">
        <v>1616</v>
      </c>
      <c r="D714" s="20"/>
      <c r="E714" s="39">
        <v>1.3</v>
      </c>
      <c r="G714" s="60" t="s">
        <v>1956</v>
      </c>
    </row>
    <row r="715" spans="2:7" x14ac:dyDescent="0.2">
      <c r="B715" s="6" t="s">
        <v>1607</v>
      </c>
      <c r="C715" s="6" t="s">
        <v>1608</v>
      </c>
      <c r="D715" s="20"/>
      <c r="E715" s="39">
        <v>1.5</v>
      </c>
      <c r="G715" s="60" t="s">
        <v>1956</v>
      </c>
    </row>
    <row r="716" spans="2:7" x14ac:dyDescent="0.2">
      <c r="B716" s="6" t="s">
        <v>1617</v>
      </c>
      <c r="C716" s="6" t="s">
        <v>1618</v>
      </c>
      <c r="D716" s="20"/>
      <c r="E716" s="39">
        <v>0.9</v>
      </c>
      <c r="G716" s="60" t="s">
        <v>1956</v>
      </c>
    </row>
    <row r="717" spans="2:7" x14ac:dyDescent="0.2">
      <c r="B717" s="6" t="s">
        <v>1611</v>
      </c>
      <c r="C717" s="6" t="s">
        <v>1612</v>
      </c>
      <c r="D717" s="20"/>
      <c r="E717" s="39">
        <v>1</v>
      </c>
      <c r="G717" s="60" t="s">
        <v>1956</v>
      </c>
    </row>
    <row r="718" spans="2:7" x14ac:dyDescent="0.2">
      <c r="B718" s="6" t="s">
        <v>1864</v>
      </c>
      <c r="C718" s="6" t="s">
        <v>1865</v>
      </c>
      <c r="D718" s="20"/>
      <c r="E718" s="39">
        <v>0</v>
      </c>
      <c r="G718" s="60" t="s">
        <v>1956</v>
      </c>
    </row>
    <row r="719" spans="2:7" x14ac:dyDescent="0.2">
      <c r="B719" s="6" t="s">
        <v>1732</v>
      </c>
      <c r="C719" s="6" t="s">
        <v>1733</v>
      </c>
      <c r="D719" s="20"/>
      <c r="E719" s="39">
        <v>65</v>
      </c>
      <c r="G719" s="60" t="s">
        <v>1956</v>
      </c>
    </row>
    <row r="720" spans="2:7" x14ac:dyDescent="0.2">
      <c r="B720" s="6" t="s">
        <v>1834</v>
      </c>
      <c r="C720" s="6" t="s">
        <v>1835</v>
      </c>
      <c r="D720" s="20"/>
      <c r="E720" s="39">
        <v>0</v>
      </c>
      <c r="G720" s="60" t="s">
        <v>1956</v>
      </c>
    </row>
    <row r="721" spans="2:7" x14ac:dyDescent="0.2">
      <c r="B721" s="6" t="s">
        <v>1896</v>
      </c>
      <c r="C721" s="6" t="s">
        <v>1897</v>
      </c>
      <c r="D721" s="20"/>
      <c r="E721" s="39">
        <v>0</v>
      </c>
      <c r="G721" s="60" t="s">
        <v>1956</v>
      </c>
    </row>
    <row r="722" spans="2:7" x14ac:dyDescent="0.2">
      <c r="B722" s="6" t="s">
        <v>1908</v>
      </c>
      <c r="C722" s="6" t="s">
        <v>1909</v>
      </c>
      <c r="D722" s="20"/>
      <c r="E722" s="39">
        <v>0</v>
      </c>
      <c r="G722" s="60" t="s">
        <v>1956</v>
      </c>
    </row>
    <row r="723" spans="2:7" x14ac:dyDescent="0.2">
      <c r="B723" s="6" t="s">
        <v>1906</v>
      </c>
      <c r="C723" s="6" t="s">
        <v>1907</v>
      </c>
      <c r="D723" s="20"/>
      <c r="E723" s="39">
        <v>0</v>
      </c>
      <c r="G723" s="60" t="s">
        <v>1956</v>
      </c>
    </row>
    <row r="724" spans="2:7" x14ac:dyDescent="0.2">
      <c r="B724" s="6" t="s">
        <v>1946</v>
      </c>
      <c r="C724" s="6" t="s">
        <v>1947</v>
      </c>
      <c r="D724" s="20"/>
      <c r="E724" s="39">
        <v>0</v>
      </c>
      <c r="G724" s="60" t="s">
        <v>1956</v>
      </c>
    </row>
    <row r="725" spans="2:7" x14ac:dyDescent="0.2">
      <c r="B725" s="6" t="s">
        <v>1652</v>
      </c>
      <c r="C725" s="6" t="s">
        <v>1653</v>
      </c>
      <c r="D725" s="20"/>
      <c r="E725" s="39">
        <v>0.8</v>
      </c>
      <c r="G725" s="60" t="s">
        <v>1956</v>
      </c>
    </row>
    <row r="726" spans="2:7" x14ac:dyDescent="0.2">
      <c r="B726" s="6" t="s">
        <v>1950</v>
      </c>
      <c r="C726" s="6" t="s">
        <v>1951</v>
      </c>
      <c r="D726" s="20"/>
      <c r="E726" s="39">
        <v>0</v>
      </c>
      <c r="G726" s="60" t="s">
        <v>1956</v>
      </c>
    </row>
    <row r="727" spans="2:7" x14ac:dyDescent="0.2">
      <c r="B727" s="6" t="s">
        <v>1948</v>
      </c>
      <c r="C727" s="6" t="s">
        <v>1949</v>
      </c>
      <c r="D727" s="20"/>
      <c r="E727" s="39">
        <v>0</v>
      </c>
      <c r="G727" s="60" t="s">
        <v>1956</v>
      </c>
    </row>
    <row r="728" spans="2:7" x14ac:dyDescent="0.2">
      <c r="B728" s="6" t="s">
        <v>1692</v>
      </c>
      <c r="C728" s="6" t="s">
        <v>1693</v>
      </c>
      <c r="D728" s="20"/>
      <c r="E728" s="39">
        <v>180</v>
      </c>
      <c r="G728" s="60" t="s">
        <v>1956</v>
      </c>
    </row>
    <row r="729" spans="2:7" x14ac:dyDescent="0.2">
      <c r="B729" s="6" t="s">
        <v>1529</v>
      </c>
      <c r="C729" s="6" t="s">
        <v>1530</v>
      </c>
      <c r="D729" s="20"/>
      <c r="E729" s="39">
        <v>3</v>
      </c>
      <c r="G729" s="60" t="s">
        <v>1956</v>
      </c>
    </row>
    <row r="730" spans="2:7" x14ac:dyDescent="0.2">
      <c r="B730" s="6" t="s">
        <v>1527</v>
      </c>
      <c r="C730" s="6" t="s">
        <v>1528</v>
      </c>
      <c r="D730" s="20"/>
      <c r="E730" s="39">
        <v>4</v>
      </c>
      <c r="G730" s="60" t="s">
        <v>1956</v>
      </c>
    </row>
    <row r="731" spans="2:7" x14ac:dyDescent="0.2">
      <c r="B731" s="6" t="s">
        <v>1487</v>
      </c>
      <c r="C731" s="6" t="s">
        <v>1488</v>
      </c>
      <c r="D731" s="20"/>
      <c r="E731" s="39">
        <v>4.5</v>
      </c>
      <c r="G731" s="60" t="s">
        <v>1956</v>
      </c>
    </row>
    <row r="732" spans="2:7" x14ac:dyDescent="0.2">
      <c r="B732" s="6" t="s">
        <v>1485</v>
      </c>
      <c r="C732" s="6" t="s">
        <v>1486</v>
      </c>
      <c r="D732" s="20"/>
      <c r="E732" s="39">
        <v>5.5</v>
      </c>
      <c r="G732" s="60" t="s">
        <v>1956</v>
      </c>
    </row>
    <row r="733" spans="2:7" x14ac:dyDescent="0.2">
      <c r="B733" s="6" t="s">
        <v>1485</v>
      </c>
      <c r="C733" s="6" t="s">
        <v>1486</v>
      </c>
      <c r="D733" s="20"/>
      <c r="E733" s="39">
        <v>5.55</v>
      </c>
      <c r="G733" s="60" t="s">
        <v>1956</v>
      </c>
    </row>
    <row r="734" spans="2:7" x14ac:dyDescent="0.2">
      <c r="B734" s="6" t="s">
        <v>1483</v>
      </c>
      <c r="C734" s="6" t="s">
        <v>1484</v>
      </c>
      <c r="D734" s="20"/>
      <c r="E734" s="39">
        <v>6.5</v>
      </c>
      <c r="G734" s="60" t="s">
        <v>1956</v>
      </c>
    </row>
    <row r="735" spans="2:7" x14ac:dyDescent="0.2">
      <c r="B735" s="6" t="s">
        <v>1533</v>
      </c>
      <c r="C735" s="6" t="s">
        <v>1534</v>
      </c>
      <c r="D735" s="20"/>
      <c r="E735" s="39">
        <v>2.5</v>
      </c>
      <c r="G735" s="60" t="s">
        <v>1956</v>
      </c>
    </row>
    <row r="736" spans="2:7" x14ac:dyDescent="0.2">
      <c r="B736" s="6" t="s">
        <v>1481</v>
      </c>
      <c r="C736" s="6" t="s">
        <v>1482</v>
      </c>
      <c r="D736" s="20"/>
      <c r="E736" s="39">
        <v>11</v>
      </c>
      <c r="G736" s="60" t="s">
        <v>1956</v>
      </c>
    </row>
    <row r="737" spans="2:7" x14ac:dyDescent="0.2">
      <c r="B737" s="6" t="s">
        <v>1517</v>
      </c>
      <c r="C737" s="6" t="s">
        <v>1518</v>
      </c>
      <c r="D737" s="20"/>
      <c r="E737" s="39">
        <v>12</v>
      </c>
      <c r="G737" s="60" t="s">
        <v>1956</v>
      </c>
    </row>
    <row r="738" spans="2:7" x14ac:dyDescent="0.2">
      <c r="B738" s="6" t="s">
        <v>1515</v>
      </c>
      <c r="C738" s="6" t="s">
        <v>1516</v>
      </c>
      <c r="D738" s="20"/>
      <c r="E738" s="39">
        <v>14</v>
      </c>
      <c r="G738" s="60" t="s">
        <v>1956</v>
      </c>
    </row>
    <row r="739" spans="2:7" x14ac:dyDescent="0.2">
      <c r="B739" s="6" t="s">
        <v>1519</v>
      </c>
      <c r="C739" s="6" t="s">
        <v>1520</v>
      </c>
      <c r="D739" s="20"/>
      <c r="E739" s="39">
        <v>4</v>
      </c>
      <c r="G739" s="60" t="s">
        <v>1956</v>
      </c>
    </row>
    <row r="740" spans="2:7" x14ac:dyDescent="0.2">
      <c r="B740" s="6" t="s">
        <v>1501</v>
      </c>
      <c r="C740" s="6" t="s">
        <v>1502</v>
      </c>
      <c r="D740" s="20"/>
      <c r="E740" s="39">
        <v>2</v>
      </c>
      <c r="G740" s="60" t="s">
        <v>1956</v>
      </c>
    </row>
    <row r="741" spans="2:7" x14ac:dyDescent="0.2">
      <c r="B741" s="6" t="s">
        <v>1503</v>
      </c>
      <c r="C741" s="6" t="s">
        <v>1504</v>
      </c>
      <c r="D741" s="20"/>
      <c r="E741" s="39">
        <v>2.5</v>
      </c>
      <c r="G741" s="60" t="s">
        <v>1956</v>
      </c>
    </row>
    <row r="742" spans="2:7" x14ac:dyDescent="0.2">
      <c r="B742" s="6" t="s">
        <v>1531</v>
      </c>
      <c r="C742" s="6" t="s">
        <v>1532</v>
      </c>
      <c r="D742" s="20"/>
      <c r="E742" s="39">
        <v>2.8</v>
      </c>
      <c r="G742" s="60" t="s">
        <v>1956</v>
      </c>
    </row>
    <row r="743" spans="2:7" x14ac:dyDescent="0.2">
      <c r="B743" s="6" t="s">
        <v>1535</v>
      </c>
      <c r="C743" s="6" t="s">
        <v>1536</v>
      </c>
      <c r="D743" s="20"/>
      <c r="E743" s="39">
        <v>3</v>
      </c>
      <c r="G743" s="60" t="s">
        <v>1956</v>
      </c>
    </row>
    <row r="744" spans="2:7" x14ac:dyDescent="0.2">
      <c r="B744" s="6" t="s">
        <v>1499</v>
      </c>
      <c r="C744" s="6" t="s">
        <v>1500</v>
      </c>
      <c r="D744" s="20"/>
      <c r="E744" s="39">
        <v>1.8</v>
      </c>
      <c r="G744" s="60" t="s">
        <v>1956</v>
      </c>
    </row>
    <row r="745" spans="2:7" x14ac:dyDescent="0.2">
      <c r="B745" s="6" t="s">
        <v>1509</v>
      </c>
      <c r="C745" s="6" t="s">
        <v>1510</v>
      </c>
      <c r="D745" s="20"/>
      <c r="E745" s="39">
        <v>2.2000000000000002</v>
      </c>
      <c r="G745" s="60" t="s">
        <v>1956</v>
      </c>
    </row>
    <row r="746" spans="2:7" x14ac:dyDescent="0.2">
      <c r="B746" s="6" t="s">
        <v>1521</v>
      </c>
      <c r="C746" s="6" t="s">
        <v>1522</v>
      </c>
      <c r="D746" s="20"/>
      <c r="E746" s="39">
        <v>1.5</v>
      </c>
      <c r="G746" s="60" t="s">
        <v>1956</v>
      </c>
    </row>
    <row r="747" spans="2:7" x14ac:dyDescent="0.2">
      <c r="B747" s="6" t="s">
        <v>1513</v>
      </c>
      <c r="C747" s="6" t="s">
        <v>1514</v>
      </c>
      <c r="D747" s="20"/>
      <c r="E747" s="39">
        <v>7.5</v>
      </c>
      <c r="G747" s="60" t="s">
        <v>1956</v>
      </c>
    </row>
    <row r="748" spans="2:7" x14ac:dyDescent="0.2">
      <c r="B748" s="6" t="s">
        <v>1507</v>
      </c>
      <c r="C748" s="6" t="s">
        <v>1508</v>
      </c>
      <c r="D748" s="20"/>
      <c r="E748" s="39">
        <v>8.5</v>
      </c>
      <c r="G748" s="60" t="s">
        <v>1956</v>
      </c>
    </row>
    <row r="749" spans="2:7" x14ac:dyDescent="0.2">
      <c r="B749" s="6" t="s">
        <v>1479</v>
      </c>
      <c r="C749" s="6" t="s">
        <v>1480</v>
      </c>
      <c r="D749" s="20"/>
      <c r="E749" s="39">
        <v>9</v>
      </c>
      <c r="G749" s="60" t="s">
        <v>1956</v>
      </c>
    </row>
    <row r="750" spans="2:7" x14ac:dyDescent="0.2">
      <c r="B750" s="6" t="s">
        <v>1511</v>
      </c>
      <c r="C750" s="6" t="s">
        <v>1512</v>
      </c>
      <c r="D750" s="20"/>
      <c r="E750" s="39">
        <v>12.5</v>
      </c>
      <c r="G750" s="60" t="s">
        <v>1956</v>
      </c>
    </row>
    <row r="751" spans="2:7" x14ac:dyDescent="0.2">
      <c r="B751" s="6" t="s">
        <v>1491</v>
      </c>
      <c r="C751" s="6" t="s">
        <v>1492</v>
      </c>
      <c r="D751" s="20"/>
      <c r="E751" s="39">
        <v>2.2999999999999998</v>
      </c>
      <c r="G751" s="60" t="s">
        <v>1956</v>
      </c>
    </row>
    <row r="752" spans="2:7" x14ac:dyDescent="0.2">
      <c r="B752" s="6" t="s">
        <v>1493</v>
      </c>
      <c r="C752" s="6" t="s">
        <v>1494</v>
      </c>
      <c r="D752" s="20"/>
      <c r="E752" s="39">
        <v>3</v>
      </c>
      <c r="G752" s="60" t="s">
        <v>1956</v>
      </c>
    </row>
    <row r="753" spans="2:7" x14ac:dyDescent="0.2">
      <c r="B753" s="6" t="s">
        <v>1495</v>
      </c>
      <c r="C753" s="6" t="s">
        <v>1496</v>
      </c>
      <c r="D753" s="20"/>
      <c r="E753" s="39">
        <v>3.2</v>
      </c>
      <c r="G753" s="60" t="s">
        <v>1956</v>
      </c>
    </row>
    <row r="754" spans="2:7" x14ac:dyDescent="0.2">
      <c r="B754" s="6" t="s">
        <v>1497</v>
      </c>
      <c r="C754" s="6" t="s">
        <v>1498</v>
      </c>
      <c r="D754" s="20"/>
      <c r="E754" s="39">
        <v>3.5</v>
      </c>
      <c r="G754" s="60" t="s">
        <v>1956</v>
      </c>
    </row>
    <row r="755" spans="2:7" x14ac:dyDescent="0.2">
      <c r="B755" s="6" t="s">
        <v>1523</v>
      </c>
      <c r="C755" s="6" t="s">
        <v>1524</v>
      </c>
      <c r="D755" s="20"/>
      <c r="E755" s="39">
        <v>3.8</v>
      </c>
      <c r="G755" s="60" t="s">
        <v>1956</v>
      </c>
    </row>
    <row r="756" spans="2:7" x14ac:dyDescent="0.2">
      <c r="B756" s="6" t="s">
        <v>1523</v>
      </c>
      <c r="C756" s="6" t="s">
        <v>1524</v>
      </c>
      <c r="D756" s="20"/>
      <c r="E756" s="39">
        <v>4.8</v>
      </c>
      <c r="G756" s="60" t="s">
        <v>1956</v>
      </c>
    </row>
    <row r="757" spans="2:7" x14ac:dyDescent="0.2">
      <c r="B757" s="6" t="s">
        <v>1525</v>
      </c>
      <c r="C757" s="6" t="s">
        <v>1526</v>
      </c>
      <c r="D757" s="20"/>
      <c r="E757" s="39">
        <v>4.2</v>
      </c>
      <c r="G757" s="60" t="s">
        <v>1956</v>
      </c>
    </row>
    <row r="758" spans="2:7" x14ac:dyDescent="0.2">
      <c r="B758" s="6" t="s">
        <v>1505</v>
      </c>
      <c r="C758" s="6" t="s">
        <v>1506</v>
      </c>
      <c r="D758" s="20"/>
      <c r="E758" s="39">
        <v>5</v>
      </c>
      <c r="G758" s="60" t="s">
        <v>1956</v>
      </c>
    </row>
    <row r="759" spans="2:7" x14ac:dyDescent="0.2">
      <c r="B759" s="6" t="s">
        <v>1489</v>
      </c>
      <c r="C759" s="6" t="s">
        <v>1490</v>
      </c>
      <c r="D759" s="20"/>
      <c r="E759" s="39">
        <v>2</v>
      </c>
      <c r="G759" s="60" t="s">
        <v>1956</v>
      </c>
    </row>
    <row r="760" spans="2:7" x14ac:dyDescent="0.2">
      <c r="B760" s="6" t="s">
        <v>1846</v>
      </c>
      <c r="C760" s="6" t="s">
        <v>1847</v>
      </c>
      <c r="D760" s="20"/>
      <c r="E760" s="39">
        <v>0</v>
      </c>
      <c r="G760" s="60" t="s">
        <v>1956</v>
      </c>
    </row>
    <row r="761" spans="2:7" x14ac:dyDescent="0.2">
      <c r="B761" s="6" t="s">
        <v>1543</v>
      </c>
      <c r="C761" s="6" t="s">
        <v>1544</v>
      </c>
      <c r="D761" s="20"/>
      <c r="E761" s="39">
        <v>11</v>
      </c>
      <c r="G761" s="60" t="s">
        <v>1956</v>
      </c>
    </row>
    <row r="762" spans="2:7" x14ac:dyDescent="0.2">
      <c r="B762" s="6" t="s">
        <v>1537</v>
      </c>
      <c r="C762" s="6" t="s">
        <v>1538</v>
      </c>
      <c r="D762" s="20"/>
      <c r="E762" s="39">
        <v>7.5</v>
      </c>
      <c r="G762" s="60" t="s">
        <v>1956</v>
      </c>
    </row>
    <row r="763" spans="2:7" x14ac:dyDescent="0.2">
      <c r="B763" s="6" t="s">
        <v>1549</v>
      </c>
      <c r="C763" s="6" t="s">
        <v>1550</v>
      </c>
      <c r="D763" s="20"/>
      <c r="E763" s="39">
        <v>5</v>
      </c>
      <c r="G763" s="60" t="s">
        <v>1956</v>
      </c>
    </row>
    <row r="764" spans="2:7" x14ac:dyDescent="0.2">
      <c r="B764" s="6" t="s">
        <v>1547</v>
      </c>
      <c r="C764" s="6" t="s">
        <v>1548</v>
      </c>
      <c r="D764" s="20"/>
      <c r="E764" s="39">
        <v>6.5</v>
      </c>
      <c r="G764" s="60" t="s">
        <v>1956</v>
      </c>
    </row>
    <row r="765" spans="2:7" x14ac:dyDescent="0.2">
      <c r="B765" s="6" t="s">
        <v>1539</v>
      </c>
      <c r="C765" s="6" t="s">
        <v>1540</v>
      </c>
      <c r="D765" s="20"/>
      <c r="E765" s="39">
        <v>3.2</v>
      </c>
      <c r="G765" s="60" t="s">
        <v>1956</v>
      </c>
    </row>
    <row r="766" spans="2:7" x14ac:dyDescent="0.2">
      <c r="B766" s="6" t="s">
        <v>1541</v>
      </c>
      <c r="C766" s="6" t="s">
        <v>1542</v>
      </c>
      <c r="D766" s="20"/>
      <c r="E766" s="39">
        <v>9.5</v>
      </c>
      <c r="G766" s="60" t="s">
        <v>1956</v>
      </c>
    </row>
    <row r="767" spans="2:7" x14ac:dyDescent="0.2">
      <c r="B767" s="6" t="s">
        <v>1545</v>
      </c>
      <c r="C767" s="6" t="s">
        <v>1546</v>
      </c>
      <c r="D767" s="20"/>
      <c r="E767" s="39">
        <v>4</v>
      </c>
      <c r="G767" s="60" t="s">
        <v>1956</v>
      </c>
    </row>
    <row r="768" spans="2:7" x14ac:dyDescent="0.2">
      <c r="B768" s="6" t="s">
        <v>1571</v>
      </c>
      <c r="C768" s="6" t="s">
        <v>1572</v>
      </c>
      <c r="D768" s="20"/>
      <c r="E768" s="39">
        <v>1.2</v>
      </c>
      <c r="G768" s="60" t="s">
        <v>1956</v>
      </c>
    </row>
    <row r="769" spans="2:7" x14ac:dyDescent="0.2">
      <c r="B769" s="6" t="s">
        <v>1565</v>
      </c>
      <c r="C769" s="6" t="s">
        <v>1566</v>
      </c>
      <c r="D769" s="20"/>
      <c r="E769" s="39">
        <v>1.44</v>
      </c>
      <c r="G769" s="60" t="s">
        <v>1956</v>
      </c>
    </row>
    <row r="770" spans="2:7" x14ac:dyDescent="0.2">
      <c r="B770" s="6" t="s">
        <v>1567</v>
      </c>
      <c r="C770" s="6" t="s">
        <v>1568</v>
      </c>
      <c r="D770" s="20"/>
      <c r="E770" s="39">
        <v>0.8</v>
      </c>
      <c r="G770" s="60" t="s">
        <v>1956</v>
      </c>
    </row>
    <row r="771" spans="2:7" x14ac:dyDescent="0.2">
      <c r="B771" s="6" t="s">
        <v>1569</v>
      </c>
      <c r="C771" s="6" t="s">
        <v>1570</v>
      </c>
      <c r="D771" s="20"/>
      <c r="E771" s="39">
        <v>1.5</v>
      </c>
      <c r="G771" s="60" t="s">
        <v>1956</v>
      </c>
    </row>
    <row r="772" spans="2:7" x14ac:dyDescent="0.2">
      <c r="B772" s="6" t="s">
        <v>1559</v>
      </c>
      <c r="C772" s="6" t="s">
        <v>1560</v>
      </c>
      <c r="D772" s="20"/>
      <c r="E772" s="39">
        <v>5.32</v>
      </c>
      <c r="G772" s="60" t="s">
        <v>1956</v>
      </c>
    </row>
    <row r="773" spans="2:7" x14ac:dyDescent="0.2">
      <c r="B773" s="6" t="s">
        <v>1557</v>
      </c>
      <c r="C773" s="6" t="s">
        <v>1558</v>
      </c>
      <c r="D773" s="20"/>
      <c r="E773" s="39">
        <v>1</v>
      </c>
      <c r="G773" s="60" t="s">
        <v>1956</v>
      </c>
    </row>
    <row r="774" spans="2:7" x14ac:dyDescent="0.2">
      <c r="B774" s="6" t="s">
        <v>1563</v>
      </c>
      <c r="C774" s="6" t="s">
        <v>1564</v>
      </c>
      <c r="D774" s="20"/>
      <c r="E774" s="39">
        <v>1.06</v>
      </c>
      <c r="G774" s="60" t="s">
        <v>1956</v>
      </c>
    </row>
    <row r="775" spans="2:7" x14ac:dyDescent="0.2">
      <c r="B775" s="6" t="s">
        <v>1561</v>
      </c>
      <c r="C775" s="6" t="s">
        <v>1562</v>
      </c>
      <c r="D775" s="20"/>
      <c r="E775" s="39">
        <v>1</v>
      </c>
      <c r="G775" s="60" t="s">
        <v>1956</v>
      </c>
    </row>
    <row r="776" spans="2:7" x14ac:dyDescent="0.2">
      <c r="B776" s="6" t="s">
        <v>1551</v>
      </c>
      <c r="C776" s="6" t="s">
        <v>1552</v>
      </c>
      <c r="D776" s="20"/>
      <c r="E776" s="39">
        <v>4.07</v>
      </c>
      <c r="G776" s="60" t="s">
        <v>1956</v>
      </c>
    </row>
    <row r="777" spans="2:7" x14ac:dyDescent="0.2">
      <c r="B777" s="6" t="s">
        <v>1575</v>
      </c>
      <c r="C777" s="6" t="s">
        <v>1576</v>
      </c>
      <c r="D777" s="20"/>
      <c r="E777" s="39">
        <v>0.9</v>
      </c>
      <c r="G777" s="60" t="s">
        <v>1956</v>
      </c>
    </row>
    <row r="778" spans="2:7" x14ac:dyDescent="0.2">
      <c r="B778" s="6" t="s">
        <v>1553</v>
      </c>
      <c r="C778" s="6" t="s">
        <v>1554</v>
      </c>
      <c r="D778" s="20"/>
      <c r="E778" s="39">
        <v>2</v>
      </c>
      <c r="G778" s="60" t="s">
        <v>1956</v>
      </c>
    </row>
    <row r="779" spans="2:7" x14ac:dyDescent="0.2">
      <c r="B779" s="6" t="s">
        <v>1555</v>
      </c>
      <c r="C779" s="6" t="s">
        <v>1556</v>
      </c>
      <c r="D779" s="20"/>
      <c r="E779" s="39">
        <v>3.2</v>
      </c>
      <c r="G779" s="60" t="s">
        <v>1956</v>
      </c>
    </row>
    <row r="780" spans="2:7" x14ac:dyDescent="0.2">
      <c r="B780" s="6" t="s">
        <v>1573</v>
      </c>
      <c r="C780" s="6" t="s">
        <v>1574</v>
      </c>
      <c r="D780" s="20"/>
      <c r="E780" s="39">
        <v>1</v>
      </c>
      <c r="G780" s="60" t="s">
        <v>1956</v>
      </c>
    </row>
    <row r="781" spans="2:7" x14ac:dyDescent="0.2">
      <c r="B781" s="6" t="s">
        <v>1577</v>
      </c>
      <c r="C781" s="6" t="s">
        <v>1578</v>
      </c>
      <c r="D781" s="20"/>
      <c r="E781" s="39">
        <v>6</v>
      </c>
      <c r="G781" s="60" t="s">
        <v>1956</v>
      </c>
    </row>
    <row r="782" spans="2:7" x14ac:dyDescent="0.2">
      <c r="B782" s="6" t="s">
        <v>1944</v>
      </c>
      <c r="C782" s="6" t="s">
        <v>1945</v>
      </c>
      <c r="D782" s="20"/>
      <c r="E782" s="39">
        <v>0</v>
      </c>
      <c r="G782" s="60" t="s">
        <v>1956</v>
      </c>
    </row>
    <row r="783" spans="2:7" x14ac:dyDescent="0.2">
      <c r="B783" s="6" t="s">
        <v>1579</v>
      </c>
      <c r="C783" s="6" t="s">
        <v>1580</v>
      </c>
      <c r="D783" s="20"/>
      <c r="E783" s="39">
        <v>6.68</v>
      </c>
      <c r="G783" s="60" t="s">
        <v>1956</v>
      </c>
    </row>
    <row r="784" spans="2:7" x14ac:dyDescent="0.2">
      <c r="B784" s="6" t="s">
        <v>1427</v>
      </c>
      <c r="C784" s="6" t="s">
        <v>1428</v>
      </c>
      <c r="D784" s="20"/>
      <c r="E784" s="39">
        <v>10</v>
      </c>
      <c r="G784" s="60" t="s">
        <v>1956</v>
      </c>
    </row>
    <row r="785" spans="2:7" x14ac:dyDescent="0.2">
      <c r="B785" s="6" t="s">
        <v>1826</v>
      </c>
      <c r="C785" s="6" t="s">
        <v>1827</v>
      </c>
      <c r="D785" s="20"/>
      <c r="E785" s="39">
        <v>271</v>
      </c>
      <c r="G785" s="60" t="s">
        <v>1956</v>
      </c>
    </row>
    <row r="786" spans="2:7" x14ac:dyDescent="0.2">
      <c r="B786" s="6" t="s">
        <v>1750</v>
      </c>
      <c r="C786" s="6" t="s">
        <v>1751</v>
      </c>
      <c r="D786" s="20"/>
      <c r="E786" s="39">
        <v>200</v>
      </c>
      <c r="G786" s="60" t="s">
        <v>1956</v>
      </c>
    </row>
    <row r="787" spans="2:7" x14ac:dyDescent="0.2">
      <c r="B787" s="6" t="s">
        <v>1888</v>
      </c>
      <c r="C787" s="6" t="s">
        <v>1889</v>
      </c>
      <c r="D787" s="20"/>
      <c r="E787" s="39">
        <v>0</v>
      </c>
      <c r="G787" s="60" t="s">
        <v>1956</v>
      </c>
    </row>
    <row r="788" spans="2:7" x14ac:dyDescent="0.2">
      <c r="B788" s="6" t="s">
        <v>1176</v>
      </c>
      <c r="C788" s="6" t="s">
        <v>1177</v>
      </c>
      <c r="D788" s="20"/>
      <c r="E788" s="39">
        <v>5005.63</v>
      </c>
      <c r="G788" s="60" t="s">
        <v>1956</v>
      </c>
    </row>
    <row r="789" spans="2:7" x14ac:dyDescent="0.2">
      <c r="B789" s="6" t="s">
        <v>1170</v>
      </c>
      <c r="C789" s="6" t="s">
        <v>1171</v>
      </c>
      <c r="D789" s="20"/>
      <c r="E789" s="39">
        <v>3541</v>
      </c>
      <c r="G789" s="60" t="s">
        <v>1956</v>
      </c>
    </row>
    <row r="790" spans="2:7" x14ac:dyDescent="0.2">
      <c r="B790" s="6" t="s">
        <v>1144</v>
      </c>
      <c r="C790" s="6" t="s">
        <v>1145</v>
      </c>
      <c r="D790" s="20"/>
      <c r="E790" s="39">
        <v>10699</v>
      </c>
      <c r="G790" s="60" t="s">
        <v>1956</v>
      </c>
    </row>
    <row r="791" spans="2:7" x14ac:dyDescent="0.2">
      <c r="B791" s="6" t="s">
        <v>1142</v>
      </c>
      <c r="C791" s="6" t="s">
        <v>1143</v>
      </c>
      <c r="D791" s="20"/>
      <c r="E791" s="39">
        <v>3549</v>
      </c>
      <c r="G791" s="60" t="s">
        <v>1956</v>
      </c>
    </row>
    <row r="792" spans="2:7" x14ac:dyDescent="0.2">
      <c r="B792" s="6" t="s">
        <v>1148</v>
      </c>
      <c r="C792" s="6" t="s">
        <v>1149</v>
      </c>
      <c r="D792" s="20"/>
      <c r="E792" s="39">
        <v>5199</v>
      </c>
      <c r="G792" s="60" t="s">
        <v>1956</v>
      </c>
    </row>
    <row r="793" spans="2:7" x14ac:dyDescent="0.2">
      <c r="B793" s="6" t="s">
        <v>1146</v>
      </c>
      <c r="C793" s="6" t="s">
        <v>1147</v>
      </c>
      <c r="D793" s="20"/>
      <c r="E793" s="39">
        <v>2649</v>
      </c>
      <c r="G793" s="60" t="s">
        <v>1956</v>
      </c>
    </row>
    <row r="794" spans="2:7" x14ac:dyDescent="0.2">
      <c r="B794" s="6" t="s">
        <v>1150</v>
      </c>
      <c r="C794" s="6" t="s">
        <v>1151</v>
      </c>
      <c r="D794" s="20"/>
      <c r="E794" s="39">
        <v>62775</v>
      </c>
      <c r="G794" s="60" t="s">
        <v>1956</v>
      </c>
    </row>
    <row r="795" spans="2:7" x14ac:dyDescent="0.2">
      <c r="B795" s="6" t="s">
        <v>1160</v>
      </c>
      <c r="C795" s="6" t="s">
        <v>1161</v>
      </c>
      <c r="D795" s="20"/>
      <c r="E795" s="39">
        <v>2740</v>
      </c>
      <c r="G795" s="60" t="s">
        <v>1956</v>
      </c>
    </row>
    <row r="796" spans="2:7" x14ac:dyDescent="0.2">
      <c r="B796" s="6" t="s">
        <v>1174</v>
      </c>
      <c r="C796" s="6" t="s">
        <v>1175</v>
      </c>
      <c r="D796" s="20"/>
      <c r="E796" s="39">
        <v>2444.6</v>
      </c>
      <c r="G796" s="60" t="s">
        <v>1956</v>
      </c>
    </row>
    <row r="797" spans="2:7" x14ac:dyDescent="0.2">
      <c r="B797" s="6" t="s">
        <v>1162</v>
      </c>
      <c r="C797" s="6" t="s">
        <v>1163</v>
      </c>
      <c r="D797" s="20"/>
      <c r="E797" s="39">
        <v>1463</v>
      </c>
      <c r="G797" s="60" t="s">
        <v>1956</v>
      </c>
    </row>
    <row r="798" spans="2:7" x14ac:dyDescent="0.2">
      <c r="B798" s="6" t="s">
        <v>1164</v>
      </c>
      <c r="C798" s="6" t="s">
        <v>1165</v>
      </c>
      <c r="D798" s="20"/>
      <c r="E798" s="39">
        <v>2000</v>
      </c>
      <c r="G798" s="60" t="s">
        <v>1956</v>
      </c>
    </row>
    <row r="799" spans="2:7" x14ac:dyDescent="0.2">
      <c r="B799" s="6" t="s">
        <v>1166</v>
      </c>
      <c r="C799" s="6" t="s">
        <v>1167</v>
      </c>
      <c r="D799" s="20"/>
      <c r="E799" s="39">
        <v>2000</v>
      </c>
      <c r="G799" s="60" t="s">
        <v>1956</v>
      </c>
    </row>
    <row r="800" spans="2:7" x14ac:dyDescent="0.2">
      <c r="B800" s="6" t="s">
        <v>1172</v>
      </c>
      <c r="C800" s="6" t="s">
        <v>1173</v>
      </c>
      <c r="D800" s="20"/>
      <c r="E800" s="39">
        <v>1729</v>
      </c>
      <c r="G800" s="60" t="s">
        <v>1956</v>
      </c>
    </row>
    <row r="801" spans="2:7" x14ac:dyDescent="0.2">
      <c r="B801" s="6" t="s">
        <v>1168</v>
      </c>
      <c r="C801" s="6" t="s">
        <v>1169</v>
      </c>
      <c r="D801" s="20"/>
      <c r="E801" s="39">
        <v>2537</v>
      </c>
      <c r="G801" s="60" t="s">
        <v>1956</v>
      </c>
    </row>
    <row r="802" spans="2:7" x14ac:dyDescent="0.2">
      <c r="B802" s="6" t="s">
        <v>1158</v>
      </c>
      <c r="C802" s="6" t="s">
        <v>1159</v>
      </c>
      <c r="D802" s="20"/>
      <c r="E802" s="39">
        <v>7890</v>
      </c>
      <c r="G802" s="60" t="s">
        <v>1956</v>
      </c>
    </row>
    <row r="803" spans="2:7" x14ac:dyDescent="0.2">
      <c r="B803" s="6" t="s">
        <v>1156</v>
      </c>
      <c r="C803" s="6" t="s">
        <v>1157</v>
      </c>
      <c r="D803" s="20"/>
      <c r="E803" s="39">
        <v>16098</v>
      </c>
      <c r="G803" s="60" t="s">
        <v>1956</v>
      </c>
    </row>
    <row r="804" spans="2:7" x14ac:dyDescent="0.2">
      <c r="B804" s="6" t="s">
        <v>1154</v>
      </c>
      <c r="C804" s="6" t="s">
        <v>1155</v>
      </c>
      <c r="D804" s="20"/>
      <c r="E804" s="39">
        <v>37474</v>
      </c>
      <c r="G804" s="60" t="s">
        <v>1956</v>
      </c>
    </row>
    <row r="805" spans="2:7" x14ac:dyDescent="0.2">
      <c r="B805" s="6" t="s">
        <v>1152</v>
      </c>
      <c r="C805" s="6" t="s">
        <v>1153</v>
      </c>
      <c r="D805" s="20"/>
      <c r="E805" s="39">
        <v>255200</v>
      </c>
      <c r="G805" s="60" t="s">
        <v>1956</v>
      </c>
    </row>
    <row r="806" spans="2:7" x14ac:dyDescent="0.2">
      <c r="B806" s="6" t="s">
        <v>1365</v>
      </c>
      <c r="C806" s="6" t="s">
        <v>1366</v>
      </c>
      <c r="D806" s="20"/>
      <c r="E806" s="39">
        <v>297.67</v>
      </c>
      <c r="G806" s="60" t="s">
        <v>1956</v>
      </c>
    </row>
    <row r="807" spans="2:7" x14ac:dyDescent="0.2">
      <c r="B807" s="6" t="s">
        <v>1367</v>
      </c>
      <c r="C807" s="6" t="s">
        <v>1368</v>
      </c>
      <c r="D807" s="20"/>
      <c r="E807" s="39">
        <v>154.22</v>
      </c>
      <c r="G807" s="60" t="s">
        <v>1956</v>
      </c>
    </row>
    <row r="808" spans="2:7" x14ac:dyDescent="0.2">
      <c r="B808" s="6" t="s">
        <v>1367</v>
      </c>
      <c r="C808" s="6" t="s">
        <v>1381</v>
      </c>
      <c r="D808" s="20"/>
      <c r="E808" s="39">
        <v>75.567700000000002</v>
      </c>
      <c r="G808" s="60" t="s">
        <v>1956</v>
      </c>
    </row>
    <row r="809" spans="2:7" x14ac:dyDescent="0.2">
      <c r="B809" s="6" t="s">
        <v>1363</v>
      </c>
      <c r="C809" s="6" t="s">
        <v>1364</v>
      </c>
      <c r="D809" s="20"/>
      <c r="E809" s="39">
        <v>114.07</v>
      </c>
      <c r="G809" s="60" t="s">
        <v>1956</v>
      </c>
    </row>
    <row r="810" spans="2:7" x14ac:dyDescent="0.2">
      <c r="B810" s="6" t="s">
        <v>1354</v>
      </c>
      <c r="C810" s="6" t="s">
        <v>1355</v>
      </c>
      <c r="D810" s="20"/>
      <c r="E810" s="39">
        <v>245.27699999999999</v>
      </c>
      <c r="G810" s="60" t="s">
        <v>1956</v>
      </c>
    </row>
    <row r="811" spans="2:7" x14ac:dyDescent="0.2">
      <c r="B811" s="6" t="s">
        <v>1376</v>
      </c>
      <c r="C811" s="6" t="s">
        <v>1377</v>
      </c>
      <c r="D811" s="20"/>
      <c r="E811" s="39">
        <v>114.07</v>
      </c>
      <c r="G811" s="60" t="s">
        <v>1956</v>
      </c>
    </row>
    <row r="812" spans="2:7" x14ac:dyDescent="0.2">
      <c r="B812" s="6" t="s">
        <v>1369</v>
      </c>
      <c r="C812" s="6" t="s">
        <v>1370</v>
      </c>
      <c r="D812" s="20"/>
      <c r="E812" s="39"/>
      <c r="G812" s="60" t="s">
        <v>1956</v>
      </c>
    </row>
    <row r="813" spans="2:7" x14ac:dyDescent="0.2">
      <c r="B813" s="6" t="s">
        <v>1369</v>
      </c>
      <c r="C813" s="6" t="s">
        <v>1378</v>
      </c>
      <c r="D813" s="20"/>
      <c r="E813" s="39"/>
      <c r="G813" s="60" t="s">
        <v>1956</v>
      </c>
    </row>
    <row r="814" spans="2:7" x14ac:dyDescent="0.2">
      <c r="B814" s="6" t="s">
        <v>1371</v>
      </c>
      <c r="C814" s="6" t="s">
        <v>1372</v>
      </c>
      <c r="D814" s="20"/>
      <c r="E814" s="39"/>
      <c r="G814" s="60" t="s">
        <v>1956</v>
      </c>
    </row>
    <row r="815" spans="2:7" x14ac:dyDescent="0.2">
      <c r="B815" s="6" t="s">
        <v>1371</v>
      </c>
      <c r="C815" s="6" t="s">
        <v>1373</v>
      </c>
      <c r="D815" s="20"/>
      <c r="E815" s="39"/>
      <c r="G815" s="60" t="s">
        <v>1956</v>
      </c>
    </row>
    <row r="816" spans="2:7" x14ac:dyDescent="0.2">
      <c r="B816" s="6" t="s">
        <v>1379</v>
      </c>
      <c r="C816" s="6" t="s">
        <v>1380</v>
      </c>
      <c r="D816" s="20"/>
      <c r="E816" s="39"/>
      <c r="G816" s="60" t="s">
        <v>1956</v>
      </c>
    </row>
    <row r="817" spans="2:7" x14ac:dyDescent="0.2">
      <c r="B817" s="6" t="s">
        <v>1374</v>
      </c>
      <c r="C817" s="6" t="s">
        <v>1375</v>
      </c>
      <c r="D817" s="20"/>
      <c r="E817" s="39"/>
      <c r="G817" s="60" t="s">
        <v>1956</v>
      </c>
    </row>
    <row r="818" spans="2:7" x14ac:dyDescent="0.2">
      <c r="B818" s="6" t="s">
        <v>1351</v>
      </c>
      <c r="C818" s="6" t="s">
        <v>1352</v>
      </c>
      <c r="D818" s="20"/>
      <c r="E818" s="39"/>
      <c r="G818" s="60" t="s">
        <v>1956</v>
      </c>
    </row>
    <row r="819" spans="2:7" x14ac:dyDescent="0.2">
      <c r="B819" s="6" t="s">
        <v>1391</v>
      </c>
      <c r="C819" s="6" t="s">
        <v>1392</v>
      </c>
      <c r="D819" s="20"/>
      <c r="E819" s="39"/>
      <c r="G819" s="60" t="s">
        <v>1956</v>
      </c>
    </row>
    <row r="820" spans="2:7" x14ac:dyDescent="0.2">
      <c r="B820" s="6" t="s">
        <v>1342</v>
      </c>
      <c r="C820" s="6" t="s">
        <v>1343</v>
      </c>
      <c r="D820" s="20"/>
      <c r="E820" s="39">
        <v>85.096999999999994</v>
      </c>
      <c r="G820" s="60" t="s">
        <v>1956</v>
      </c>
    </row>
    <row r="821" spans="2:7" x14ac:dyDescent="0.2">
      <c r="B821" s="6" t="s">
        <v>1349</v>
      </c>
      <c r="C821" s="6" t="s">
        <v>1350</v>
      </c>
      <c r="D821" s="20"/>
      <c r="E821" s="39">
        <v>57.618099999999998</v>
      </c>
      <c r="G821" s="60" t="s">
        <v>1956</v>
      </c>
    </row>
    <row r="822" spans="2:7" x14ac:dyDescent="0.2">
      <c r="B822" s="6" t="s">
        <v>1349</v>
      </c>
      <c r="C822" s="6" t="s">
        <v>1357</v>
      </c>
      <c r="D822" s="20"/>
      <c r="E822" s="39">
        <v>48.75</v>
      </c>
      <c r="G822" s="60" t="s">
        <v>1956</v>
      </c>
    </row>
    <row r="823" spans="2:7" x14ac:dyDescent="0.2">
      <c r="B823" s="6" t="s">
        <v>1324</v>
      </c>
      <c r="C823" s="6" t="s">
        <v>1325</v>
      </c>
      <c r="D823" s="20"/>
      <c r="E823" s="39"/>
      <c r="G823" s="60" t="s">
        <v>1956</v>
      </c>
    </row>
    <row r="824" spans="2:7" x14ac:dyDescent="0.2">
      <c r="B824" s="6" t="s">
        <v>1324</v>
      </c>
      <c r="C824" s="6" t="s">
        <v>1328</v>
      </c>
      <c r="D824" s="20"/>
      <c r="E824" s="39">
        <v>150.00200000000001</v>
      </c>
      <c r="G824" s="60" t="s">
        <v>1956</v>
      </c>
    </row>
    <row r="825" spans="2:7" x14ac:dyDescent="0.2">
      <c r="B825" s="6" t="s">
        <v>1344</v>
      </c>
      <c r="C825" s="6" t="s">
        <v>1345</v>
      </c>
      <c r="D825" s="20"/>
      <c r="E825" s="39">
        <v>179.18</v>
      </c>
      <c r="G825" s="60" t="s">
        <v>1956</v>
      </c>
    </row>
    <row r="826" spans="2:7" x14ac:dyDescent="0.2">
      <c r="B826" s="6" t="s">
        <v>1344</v>
      </c>
      <c r="C826" s="6" t="s">
        <v>1346</v>
      </c>
      <c r="D826" s="20"/>
      <c r="E826" s="39">
        <v>67.013000000000005</v>
      </c>
      <c r="G826" s="60" t="s">
        <v>1956</v>
      </c>
    </row>
    <row r="827" spans="2:7" x14ac:dyDescent="0.2">
      <c r="B827" s="6" t="s">
        <v>1344</v>
      </c>
      <c r="C827" s="6" t="s">
        <v>1353</v>
      </c>
      <c r="D827" s="20"/>
      <c r="E827" s="39">
        <v>179.78</v>
      </c>
      <c r="G827" s="60" t="s">
        <v>1956</v>
      </c>
    </row>
    <row r="828" spans="2:7" x14ac:dyDescent="0.2">
      <c r="B828" s="6" t="s">
        <v>1344</v>
      </c>
      <c r="C828" s="6" t="s">
        <v>1356</v>
      </c>
      <c r="D828" s="20"/>
      <c r="E828" s="39">
        <v>648.03</v>
      </c>
      <c r="G828" s="60" t="s">
        <v>1956</v>
      </c>
    </row>
    <row r="829" spans="2:7" x14ac:dyDescent="0.2">
      <c r="B829" s="6" t="s">
        <v>1344</v>
      </c>
      <c r="C829" s="6" t="s">
        <v>1362</v>
      </c>
      <c r="D829" s="20"/>
      <c r="E829" s="39">
        <v>648.03</v>
      </c>
      <c r="G829" s="60" t="s">
        <v>1956</v>
      </c>
    </row>
    <row r="830" spans="2:7" x14ac:dyDescent="0.2">
      <c r="B830" s="6" t="s">
        <v>1347</v>
      </c>
      <c r="C830" s="6" t="s">
        <v>1348</v>
      </c>
      <c r="D830" s="20"/>
      <c r="E830" s="39">
        <v>60.4</v>
      </c>
      <c r="G830" s="60" t="s">
        <v>1956</v>
      </c>
    </row>
    <row r="831" spans="2:7" x14ac:dyDescent="0.2">
      <c r="B831" s="6" t="s">
        <v>1358</v>
      </c>
      <c r="C831" s="6" t="s">
        <v>1359</v>
      </c>
      <c r="D831" s="20"/>
      <c r="E831" s="39">
        <v>546.42999999999995</v>
      </c>
      <c r="G831" s="60" t="s">
        <v>1956</v>
      </c>
    </row>
    <row r="832" spans="2:7" x14ac:dyDescent="0.2">
      <c r="B832" s="6" t="s">
        <v>1360</v>
      </c>
      <c r="C832" s="6" t="s">
        <v>1361</v>
      </c>
      <c r="D832" s="20"/>
      <c r="E832" s="39">
        <v>783.52650000000006</v>
      </c>
      <c r="G832" s="60" t="s">
        <v>1956</v>
      </c>
    </row>
    <row r="833" spans="2:7" x14ac:dyDescent="0.2">
      <c r="B833" s="6" t="s">
        <v>1333</v>
      </c>
      <c r="C833" s="6" t="s">
        <v>1334</v>
      </c>
      <c r="D833" s="20"/>
      <c r="E833" s="39">
        <v>128.63</v>
      </c>
      <c r="G833" s="60" t="s">
        <v>1956</v>
      </c>
    </row>
    <row r="834" spans="2:7" x14ac:dyDescent="0.2">
      <c r="B834" s="6" t="s">
        <v>1331</v>
      </c>
      <c r="C834" s="6" t="s">
        <v>1332</v>
      </c>
      <c r="D834" s="20"/>
      <c r="E834" s="39">
        <v>124.45</v>
      </c>
      <c r="G834" s="60" t="s">
        <v>1956</v>
      </c>
    </row>
    <row r="835" spans="2:7" x14ac:dyDescent="0.2">
      <c r="B835" s="6" t="s">
        <v>1335</v>
      </c>
      <c r="C835" s="6" t="s">
        <v>1336</v>
      </c>
      <c r="D835" s="20"/>
      <c r="E835" s="39">
        <v>43.25</v>
      </c>
      <c r="G835" s="60" t="s">
        <v>1956</v>
      </c>
    </row>
    <row r="836" spans="2:7" x14ac:dyDescent="0.2">
      <c r="B836" s="6" t="s">
        <v>1329</v>
      </c>
      <c r="C836" s="6" t="s">
        <v>1330</v>
      </c>
      <c r="D836" s="20"/>
      <c r="E836" s="39">
        <v>85.16</v>
      </c>
      <c r="G836" s="60" t="s">
        <v>1956</v>
      </c>
    </row>
    <row r="837" spans="2:7" x14ac:dyDescent="0.2">
      <c r="B837" s="6" t="s">
        <v>1329</v>
      </c>
      <c r="C837" s="6" t="s">
        <v>1341</v>
      </c>
      <c r="D837" s="20"/>
      <c r="E837" s="39">
        <v>85.16</v>
      </c>
      <c r="G837" s="60" t="s">
        <v>1956</v>
      </c>
    </row>
    <row r="838" spans="2:7" x14ac:dyDescent="0.2">
      <c r="B838" s="6" t="s">
        <v>1339</v>
      </c>
      <c r="C838" s="6" t="s">
        <v>1340</v>
      </c>
      <c r="D838" s="20"/>
      <c r="E838" s="39">
        <v>128.63</v>
      </c>
      <c r="G838" s="60" t="s">
        <v>1956</v>
      </c>
    </row>
    <row r="839" spans="2:7" x14ac:dyDescent="0.2">
      <c r="B839" s="6" t="s">
        <v>1337</v>
      </c>
      <c r="C839" s="6" t="s">
        <v>1338</v>
      </c>
      <c r="D839" s="20"/>
      <c r="E839" s="39">
        <v>193.37</v>
      </c>
      <c r="G839" s="60" t="s">
        <v>1956</v>
      </c>
    </row>
    <row r="840" spans="2:7" x14ac:dyDescent="0.2">
      <c r="B840" s="6" t="s">
        <v>1320</v>
      </c>
      <c r="C840" s="6" t="s">
        <v>1321</v>
      </c>
      <c r="D840" s="20"/>
      <c r="E840" s="39">
        <v>215.94</v>
      </c>
      <c r="G840" s="60" t="s">
        <v>1956</v>
      </c>
    </row>
    <row r="841" spans="2:7" x14ac:dyDescent="0.2">
      <c r="B841" s="6" t="s">
        <v>1322</v>
      </c>
      <c r="C841" s="6" t="s">
        <v>1323</v>
      </c>
      <c r="D841" s="20"/>
      <c r="E841" s="39">
        <v>396.62</v>
      </c>
      <c r="G841" s="60" t="s">
        <v>1956</v>
      </c>
    </row>
    <row r="842" spans="2:7" x14ac:dyDescent="0.2">
      <c r="B842" s="6" t="s">
        <v>1384</v>
      </c>
      <c r="C842" s="6" t="s">
        <v>1385</v>
      </c>
      <c r="D842" s="20"/>
      <c r="E842" s="39">
        <v>462.71</v>
      </c>
      <c r="G842" s="60" t="s">
        <v>1956</v>
      </c>
    </row>
    <row r="843" spans="2:7" x14ac:dyDescent="0.2">
      <c r="B843" s="6" t="s">
        <v>1384</v>
      </c>
      <c r="C843" s="6" t="s">
        <v>1388</v>
      </c>
      <c r="D843" s="20"/>
      <c r="E843" s="39">
        <v>370.16789999999997</v>
      </c>
      <c r="G843" s="60" t="s">
        <v>1956</v>
      </c>
    </row>
    <row r="844" spans="2:7" x14ac:dyDescent="0.2">
      <c r="B844" s="6" t="s">
        <v>1389</v>
      </c>
      <c r="C844" s="6" t="s">
        <v>1390</v>
      </c>
      <c r="D844" s="20"/>
      <c r="E844" s="39">
        <v>282.06</v>
      </c>
      <c r="G844" s="60" t="s">
        <v>1956</v>
      </c>
    </row>
    <row r="845" spans="2:7" x14ac:dyDescent="0.2">
      <c r="B845" s="6" t="s">
        <v>1386</v>
      </c>
      <c r="C845" s="6" t="s">
        <v>1387</v>
      </c>
      <c r="D845" s="20"/>
      <c r="E845" s="39">
        <v>1018.66</v>
      </c>
      <c r="G845" s="60" t="s">
        <v>1956</v>
      </c>
    </row>
    <row r="846" spans="2:7" x14ac:dyDescent="0.2">
      <c r="B846" s="6" t="s">
        <v>1326</v>
      </c>
      <c r="C846" s="6" t="s">
        <v>1327</v>
      </c>
      <c r="D846" s="20"/>
      <c r="E846" s="39"/>
      <c r="G846" s="60" t="s">
        <v>1956</v>
      </c>
    </row>
    <row r="847" spans="2:7" x14ac:dyDescent="0.2">
      <c r="B847" s="6" t="s">
        <v>1393</v>
      </c>
      <c r="C847" s="6" t="s">
        <v>1394</v>
      </c>
      <c r="D847" s="20"/>
      <c r="E847" s="39">
        <v>31.665400000000002</v>
      </c>
      <c r="G847" s="60" t="s">
        <v>1956</v>
      </c>
    </row>
    <row r="848" spans="2:7" x14ac:dyDescent="0.2">
      <c r="B848" s="6" t="s">
        <v>1393</v>
      </c>
      <c r="C848" s="6" t="s">
        <v>1395</v>
      </c>
      <c r="D848" s="20"/>
      <c r="E848" s="39">
        <v>19.800999999999998</v>
      </c>
      <c r="G848" s="60" t="s">
        <v>1956</v>
      </c>
    </row>
    <row r="849" spans="2:7" x14ac:dyDescent="0.2">
      <c r="B849" s="6" t="s">
        <v>1393</v>
      </c>
      <c r="C849" s="6" t="s">
        <v>1396</v>
      </c>
      <c r="D849" s="20"/>
      <c r="E849" s="39">
        <v>21.8065</v>
      </c>
      <c r="G849" s="60" t="s">
        <v>1956</v>
      </c>
    </row>
    <row r="850" spans="2:7" x14ac:dyDescent="0.2">
      <c r="B850" s="6" t="s">
        <v>1382</v>
      </c>
      <c r="C850" s="6" t="s">
        <v>1383</v>
      </c>
      <c r="D850" s="20"/>
      <c r="E850" s="39">
        <v>2429.7950000000001</v>
      </c>
      <c r="G850" s="60" t="s">
        <v>1956</v>
      </c>
    </row>
    <row r="851" spans="2:7" x14ac:dyDescent="0.2">
      <c r="B851" s="6" t="s">
        <v>1038</v>
      </c>
      <c r="C851" s="6" t="s">
        <v>1039</v>
      </c>
      <c r="D851" s="20"/>
      <c r="E851" s="39">
        <v>134</v>
      </c>
      <c r="G851" s="60" t="s">
        <v>940</v>
      </c>
    </row>
    <row r="852" spans="2:7" x14ac:dyDescent="0.2">
      <c r="B852" s="6" t="s">
        <v>1080</v>
      </c>
      <c r="C852" s="6" t="s">
        <v>1081</v>
      </c>
      <c r="D852" s="20"/>
      <c r="E852" s="39">
        <v>157.86000000000001</v>
      </c>
      <c r="G852" s="60" t="s">
        <v>940</v>
      </c>
    </row>
    <row r="853" spans="2:7" x14ac:dyDescent="0.2">
      <c r="B853" s="6" t="s">
        <v>1036</v>
      </c>
      <c r="C853" s="6" t="s">
        <v>1037</v>
      </c>
      <c r="D853" s="20"/>
      <c r="E853" s="39">
        <v>137</v>
      </c>
      <c r="G853" s="60" t="s">
        <v>940</v>
      </c>
    </row>
    <row r="854" spans="2:7" x14ac:dyDescent="0.2">
      <c r="B854" s="6" t="s">
        <v>986</v>
      </c>
      <c r="C854" s="6" t="s">
        <v>987</v>
      </c>
      <c r="D854" s="20"/>
      <c r="E854" s="39"/>
      <c r="G854" s="60" t="s">
        <v>940</v>
      </c>
    </row>
    <row r="855" spans="2:7" x14ac:dyDescent="0.2">
      <c r="B855" s="6" t="s">
        <v>1064</v>
      </c>
      <c r="C855" s="6" t="s">
        <v>1065</v>
      </c>
      <c r="D855" s="20"/>
      <c r="E855" s="39">
        <v>6.92</v>
      </c>
      <c r="G855" s="60" t="s">
        <v>940</v>
      </c>
    </row>
    <row r="856" spans="2:7" x14ac:dyDescent="0.2">
      <c r="B856" s="6" t="s">
        <v>1000</v>
      </c>
      <c r="C856" s="6" t="s">
        <v>1001</v>
      </c>
      <c r="D856" s="20"/>
      <c r="E856" s="39">
        <v>71.680000000000007</v>
      </c>
      <c r="G856" s="60" t="s">
        <v>940</v>
      </c>
    </row>
    <row r="857" spans="2:7" x14ac:dyDescent="0.2">
      <c r="B857" s="6" t="s">
        <v>1046</v>
      </c>
      <c r="C857" s="6" t="s">
        <v>1047</v>
      </c>
      <c r="D857" s="20"/>
      <c r="E857" s="39">
        <v>159</v>
      </c>
      <c r="G857" s="60" t="s">
        <v>940</v>
      </c>
    </row>
    <row r="858" spans="2:7" x14ac:dyDescent="0.2">
      <c r="B858" s="6" t="s">
        <v>1048</v>
      </c>
      <c r="C858" s="6" t="s">
        <v>1049</v>
      </c>
      <c r="D858" s="20"/>
      <c r="E858" s="39">
        <v>85</v>
      </c>
      <c r="G858" s="60" t="s">
        <v>940</v>
      </c>
    </row>
    <row r="859" spans="2:7" x14ac:dyDescent="0.2">
      <c r="B859" s="6" t="s">
        <v>1030</v>
      </c>
      <c r="C859" s="6" t="s">
        <v>1031</v>
      </c>
      <c r="D859" s="20"/>
      <c r="E859" s="39"/>
      <c r="G859" s="60" t="s">
        <v>940</v>
      </c>
    </row>
    <row r="860" spans="2:7" x14ac:dyDescent="0.2">
      <c r="B860" s="6" t="s">
        <v>1044</v>
      </c>
      <c r="C860" s="6" t="s">
        <v>1045</v>
      </c>
      <c r="D860" s="20"/>
      <c r="E860" s="39">
        <v>128</v>
      </c>
      <c r="G860" s="60" t="s">
        <v>940</v>
      </c>
    </row>
    <row r="861" spans="2:7" x14ac:dyDescent="0.2">
      <c r="B861" s="6" t="s">
        <v>1040</v>
      </c>
      <c r="C861" s="6" t="s">
        <v>1041</v>
      </c>
      <c r="D861" s="20"/>
      <c r="E861" s="39">
        <v>479</v>
      </c>
      <c r="G861" s="60" t="s">
        <v>940</v>
      </c>
    </row>
    <row r="862" spans="2:7" x14ac:dyDescent="0.2">
      <c r="B862" s="6" t="s">
        <v>1060</v>
      </c>
      <c r="C862" s="6" t="s">
        <v>1061</v>
      </c>
      <c r="D862" s="20"/>
      <c r="E862" s="39"/>
      <c r="G862" s="60" t="s">
        <v>940</v>
      </c>
    </row>
    <row r="863" spans="2:7" x14ac:dyDescent="0.2">
      <c r="B863" s="6" t="s">
        <v>1028</v>
      </c>
      <c r="C863" s="6" t="s">
        <v>1029</v>
      </c>
      <c r="D863" s="20"/>
      <c r="E863" s="39"/>
      <c r="G863" s="60" t="s">
        <v>940</v>
      </c>
    </row>
    <row r="864" spans="2:7" x14ac:dyDescent="0.2">
      <c r="B864" s="6" t="s">
        <v>969</v>
      </c>
      <c r="C864" s="6" t="s">
        <v>970</v>
      </c>
      <c r="D864" s="20"/>
      <c r="E864" s="39">
        <v>23.91</v>
      </c>
      <c r="G864" s="60" t="s">
        <v>940</v>
      </c>
    </row>
    <row r="865" spans="2:7" x14ac:dyDescent="0.2">
      <c r="B865" s="6" t="s">
        <v>951</v>
      </c>
      <c r="C865" s="6" t="s">
        <v>952</v>
      </c>
      <c r="D865" s="20"/>
      <c r="E865" s="39">
        <v>98.1</v>
      </c>
      <c r="G865" s="60" t="s">
        <v>940</v>
      </c>
    </row>
    <row r="866" spans="2:7" x14ac:dyDescent="0.2">
      <c r="B866" s="6" t="s">
        <v>988</v>
      </c>
      <c r="C866" s="6" t="s">
        <v>989</v>
      </c>
      <c r="D866" s="20"/>
      <c r="E866" s="39">
        <v>15</v>
      </c>
      <c r="G866" s="60" t="s">
        <v>940</v>
      </c>
    </row>
    <row r="867" spans="2:7" x14ac:dyDescent="0.2">
      <c r="B867" s="6" t="s">
        <v>1098</v>
      </c>
      <c r="C867" s="6" t="s">
        <v>1099</v>
      </c>
      <c r="D867" s="20"/>
      <c r="E867" s="39">
        <v>14</v>
      </c>
      <c r="G867" s="60" t="s">
        <v>940</v>
      </c>
    </row>
    <row r="868" spans="2:7" x14ac:dyDescent="0.2">
      <c r="B868" s="6" t="s">
        <v>973</v>
      </c>
      <c r="C868" s="6" t="s">
        <v>974</v>
      </c>
      <c r="D868" s="20"/>
      <c r="E868" s="39">
        <v>118</v>
      </c>
      <c r="G868" s="60" t="s">
        <v>940</v>
      </c>
    </row>
    <row r="869" spans="2:7" x14ac:dyDescent="0.2">
      <c r="B869" s="6" t="s">
        <v>990</v>
      </c>
      <c r="C869" s="6" t="s">
        <v>991</v>
      </c>
      <c r="D869" s="20"/>
      <c r="E869" s="39">
        <v>10.69</v>
      </c>
      <c r="G869" s="60" t="s">
        <v>940</v>
      </c>
    </row>
    <row r="870" spans="2:7" x14ac:dyDescent="0.2">
      <c r="B870" s="6" t="s">
        <v>961</v>
      </c>
      <c r="C870" s="6" t="s">
        <v>962</v>
      </c>
      <c r="D870" s="20"/>
      <c r="E870" s="39">
        <v>19.579999999999998</v>
      </c>
      <c r="G870" s="60" t="s">
        <v>940</v>
      </c>
    </row>
    <row r="871" spans="2:7" x14ac:dyDescent="0.2">
      <c r="B871" s="6" t="s">
        <v>981</v>
      </c>
      <c r="C871" s="6" t="s">
        <v>982</v>
      </c>
      <c r="D871" s="20"/>
      <c r="E871" s="39"/>
      <c r="G871" s="60" t="s">
        <v>940</v>
      </c>
    </row>
    <row r="872" spans="2:7" x14ac:dyDescent="0.2">
      <c r="B872" s="6" t="s">
        <v>979</v>
      </c>
      <c r="C872" s="6" t="s">
        <v>980</v>
      </c>
      <c r="D872" s="20"/>
      <c r="E872" s="39">
        <v>97.05</v>
      </c>
      <c r="G872" s="60" t="s">
        <v>940</v>
      </c>
    </row>
    <row r="873" spans="2:7" x14ac:dyDescent="0.2">
      <c r="B873" s="6" t="s">
        <v>1054</v>
      </c>
      <c r="C873" s="6" t="s">
        <v>1055</v>
      </c>
      <c r="D873" s="20"/>
      <c r="E873" s="39">
        <v>130</v>
      </c>
      <c r="G873" s="60" t="s">
        <v>940</v>
      </c>
    </row>
    <row r="874" spans="2:7" x14ac:dyDescent="0.2">
      <c r="B874" s="6" t="s">
        <v>1050</v>
      </c>
      <c r="C874" s="6" t="s">
        <v>1051</v>
      </c>
      <c r="D874" s="20"/>
      <c r="E874" s="39">
        <v>599</v>
      </c>
      <c r="G874" s="60" t="s">
        <v>940</v>
      </c>
    </row>
    <row r="875" spans="2:7" x14ac:dyDescent="0.2">
      <c r="B875" s="6" t="s">
        <v>1088</v>
      </c>
      <c r="C875" s="6" t="s">
        <v>1089</v>
      </c>
      <c r="D875" s="20"/>
      <c r="E875" s="39">
        <v>1.89</v>
      </c>
      <c r="G875" s="60" t="s">
        <v>940</v>
      </c>
    </row>
    <row r="876" spans="2:7" x14ac:dyDescent="0.2">
      <c r="B876" s="6" t="s">
        <v>1092</v>
      </c>
      <c r="C876" s="6" t="s">
        <v>1093</v>
      </c>
      <c r="D876" s="20"/>
      <c r="E876" s="39">
        <v>1.92</v>
      </c>
      <c r="G876" s="60" t="s">
        <v>940</v>
      </c>
    </row>
    <row r="877" spans="2:7" x14ac:dyDescent="0.2">
      <c r="B877" s="6" t="s">
        <v>1118</v>
      </c>
      <c r="C877" s="6" t="s">
        <v>1119</v>
      </c>
      <c r="D877" s="20"/>
      <c r="E877" s="39">
        <v>10</v>
      </c>
      <c r="G877" s="60" t="s">
        <v>940</v>
      </c>
    </row>
    <row r="878" spans="2:7" x14ac:dyDescent="0.2">
      <c r="B878" s="6" t="s">
        <v>1120</v>
      </c>
      <c r="C878" s="6" t="s">
        <v>1121</v>
      </c>
      <c r="D878" s="20"/>
      <c r="E878" s="39">
        <v>10</v>
      </c>
      <c r="G878" s="60" t="s">
        <v>940</v>
      </c>
    </row>
    <row r="879" spans="2:7" x14ac:dyDescent="0.2">
      <c r="B879" s="6" t="s">
        <v>1096</v>
      </c>
      <c r="C879" s="6" t="s">
        <v>1097</v>
      </c>
      <c r="D879" s="20"/>
      <c r="E879" s="39">
        <v>4.29</v>
      </c>
      <c r="G879" s="60" t="s">
        <v>940</v>
      </c>
    </row>
    <row r="880" spans="2:7" x14ac:dyDescent="0.2">
      <c r="B880" s="6" t="s">
        <v>1086</v>
      </c>
      <c r="C880" s="6" t="s">
        <v>1087</v>
      </c>
      <c r="D880" s="20"/>
      <c r="E880" s="39">
        <v>1.31</v>
      </c>
      <c r="G880" s="60" t="s">
        <v>940</v>
      </c>
    </row>
    <row r="881" spans="2:7" x14ac:dyDescent="0.2">
      <c r="B881" s="6" t="s">
        <v>1090</v>
      </c>
      <c r="C881" s="6" t="s">
        <v>1091</v>
      </c>
      <c r="D881" s="20"/>
      <c r="E881" s="39">
        <v>1.31</v>
      </c>
      <c r="G881" s="60" t="s">
        <v>940</v>
      </c>
    </row>
    <row r="882" spans="2:7" x14ac:dyDescent="0.2">
      <c r="B882" s="6" t="s">
        <v>1094</v>
      </c>
      <c r="C882" s="6" t="s">
        <v>1095</v>
      </c>
      <c r="D882" s="20"/>
      <c r="E882" s="39">
        <v>1.92</v>
      </c>
      <c r="G882" s="60" t="s">
        <v>940</v>
      </c>
    </row>
    <row r="883" spans="2:7" x14ac:dyDescent="0.2">
      <c r="B883" s="6" t="s">
        <v>943</v>
      </c>
      <c r="C883" s="6" t="s">
        <v>944</v>
      </c>
      <c r="D883" s="20"/>
      <c r="E883" s="39">
        <v>22</v>
      </c>
      <c r="G883" s="60" t="s">
        <v>940</v>
      </c>
    </row>
    <row r="884" spans="2:7" x14ac:dyDescent="0.2">
      <c r="B884" s="6" t="s">
        <v>945</v>
      </c>
      <c r="C884" s="6" t="s">
        <v>946</v>
      </c>
      <c r="D884" s="20"/>
      <c r="E884" s="39">
        <v>22</v>
      </c>
      <c r="G884" s="60" t="s">
        <v>940</v>
      </c>
    </row>
    <row r="885" spans="2:7" x14ac:dyDescent="0.2">
      <c r="B885" s="6" t="s">
        <v>996</v>
      </c>
      <c r="C885" s="6" t="s">
        <v>997</v>
      </c>
      <c r="D885" s="20"/>
      <c r="E885" s="39">
        <v>45</v>
      </c>
      <c r="G885" s="60" t="s">
        <v>940</v>
      </c>
    </row>
    <row r="886" spans="2:7" x14ac:dyDescent="0.2">
      <c r="B886" s="6" t="s">
        <v>1042</v>
      </c>
      <c r="C886" s="6" t="s">
        <v>1043</v>
      </c>
      <c r="D886" s="20"/>
      <c r="E886" s="39">
        <v>119.25</v>
      </c>
      <c r="G886" s="60" t="s">
        <v>940</v>
      </c>
    </row>
    <row r="887" spans="2:7" x14ac:dyDescent="0.2">
      <c r="B887" s="6" t="s">
        <v>1032</v>
      </c>
      <c r="C887" s="6" t="s">
        <v>1033</v>
      </c>
      <c r="D887" s="20"/>
      <c r="E887" s="39">
        <v>399</v>
      </c>
      <c r="G887" s="60" t="s">
        <v>940</v>
      </c>
    </row>
    <row r="888" spans="2:7" x14ac:dyDescent="0.2">
      <c r="B888" s="6" t="s">
        <v>1074</v>
      </c>
      <c r="C888" s="6" t="s">
        <v>1075</v>
      </c>
      <c r="D888" s="20"/>
      <c r="E888" s="39">
        <v>3</v>
      </c>
      <c r="G888" s="60" t="s">
        <v>940</v>
      </c>
    </row>
    <row r="889" spans="2:7" x14ac:dyDescent="0.2">
      <c r="B889" s="6" t="s">
        <v>1138</v>
      </c>
      <c r="C889" s="6" t="s">
        <v>1139</v>
      </c>
      <c r="D889" s="20"/>
      <c r="E889" s="39"/>
      <c r="G889" s="60" t="s">
        <v>940</v>
      </c>
    </row>
    <row r="890" spans="2:7" x14ac:dyDescent="0.2">
      <c r="B890" s="6" t="s">
        <v>1140</v>
      </c>
      <c r="C890" s="6" t="s">
        <v>1141</v>
      </c>
      <c r="D890" s="20"/>
      <c r="E890" s="39">
        <v>69</v>
      </c>
      <c r="G890" s="60" t="s">
        <v>940</v>
      </c>
    </row>
    <row r="891" spans="2:7" x14ac:dyDescent="0.2">
      <c r="B891" s="6" t="s">
        <v>1116</v>
      </c>
      <c r="C891" s="6" t="s">
        <v>1117</v>
      </c>
      <c r="D891" s="20"/>
      <c r="E891" s="39">
        <v>99</v>
      </c>
      <c r="G891" s="60" t="s">
        <v>940</v>
      </c>
    </row>
    <row r="892" spans="2:7" x14ac:dyDescent="0.2">
      <c r="B892" s="6" t="s">
        <v>1122</v>
      </c>
      <c r="C892" s="6" t="s">
        <v>1123</v>
      </c>
      <c r="D892" s="20"/>
      <c r="E892" s="39">
        <v>311</v>
      </c>
      <c r="G892" s="60" t="s">
        <v>940</v>
      </c>
    </row>
    <row r="893" spans="2:7" x14ac:dyDescent="0.2">
      <c r="B893" s="6" t="s">
        <v>1004</v>
      </c>
      <c r="C893" s="6" t="s">
        <v>1005</v>
      </c>
      <c r="D893" s="20"/>
      <c r="E893" s="39">
        <v>87</v>
      </c>
      <c r="G893" s="60" t="s">
        <v>940</v>
      </c>
    </row>
    <row r="894" spans="2:7" x14ac:dyDescent="0.2">
      <c r="B894" s="6" t="s">
        <v>1026</v>
      </c>
      <c r="C894" s="6" t="s">
        <v>1027</v>
      </c>
      <c r="D894" s="20"/>
      <c r="E894" s="39">
        <v>3.94</v>
      </c>
      <c r="G894" s="60" t="s">
        <v>940</v>
      </c>
    </row>
    <row r="895" spans="2:7" x14ac:dyDescent="0.2">
      <c r="B895" s="6" t="s">
        <v>1006</v>
      </c>
      <c r="C895" s="6" t="s">
        <v>1007</v>
      </c>
      <c r="D895" s="20"/>
      <c r="E895" s="39">
        <v>87</v>
      </c>
      <c r="G895" s="60" t="s">
        <v>940</v>
      </c>
    </row>
    <row r="896" spans="2:7" x14ac:dyDescent="0.2">
      <c r="B896" s="6" t="s">
        <v>1008</v>
      </c>
      <c r="C896" s="6" t="s">
        <v>1009</v>
      </c>
      <c r="D896" s="20"/>
      <c r="E896" s="39">
        <v>87</v>
      </c>
      <c r="G896" s="60" t="s">
        <v>940</v>
      </c>
    </row>
    <row r="897" spans="2:7" x14ac:dyDescent="0.2">
      <c r="B897" s="6" t="s">
        <v>1100</v>
      </c>
      <c r="C897" s="6" t="s">
        <v>1101</v>
      </c>
      <c r="D897" s="20"/>
      <c r="E897" s="39">
        <v>87</v>
      </c>
      <c r="G897" s="60" t="s">
        <v>940</v>
      </c>
    </row>
    <row r="898" spans="2:7" x14ac:dyDescent="0.2">
      <c r="B898" s="6" t="s">
        <v>1010</v>
      </c>
      <c r="C898" s="6" t="s">
        <v>1011</v>
      </c>
      <c r="D898" s="20"/>
      <c r="E898" s="39">
        <v>87</v>
      </c>
      <c r="G898" s="60" t="s">
        <v>940</v>
      </c>
    </row>
    <row r="899" spans="2:7" x14ac:dyDescent="0.2">
      <c r="B899" s="6" t="s">
        <v>1126</v>
      </c>
      <c r="C899" s="6" t="s">
        <v>1127</v>
      </c>
      <c r="D899" s="20"/>
      <c r="E899" s="39">
        <v>23</v>
      </c>
      <c r="G899" s="60" t="s">
        <v>940</v>
      </c>
    </row>
    <row r="900" spans="2:7" x14ac:dyDescent="0.2">
      <c r="B900" s="6" t="s">
        <v>1124</v>
      </c>
      <c r="C900" s="6" t="s">
        <v>1125</v>
      </c>
      <c r="D900" s="20"/>
      <c r="E900" s="39">
        <v>23</v>
      </c>
      <c r="G900" s="60" t="s">
        <v>940</v>
      </c>
    </row>
    <row r="901" spans="2:7" x14ac:dyDescent="0.2">
      <c r="B901" s="6" t="s">
        <v>998</v>
      </c>
      <c r="C901" s="6" t="s">
        <v>999</v>
      </c>
      <c r="D901" s="20"/>
      <c r="E901" s="39">
        <v>48</v>
      </c>
      <c r="G901" s="60" t="s">
        <v>940</v>
      </c>
    </row>
    <row r="902" spans="2:7" x14ac:dyDescent="0.2">
      <c r="B902" s="6" t="s">
        <v>959</v>
      </c>
      <c r="C902" s="6" t="s">
        <v>960</v>
      </c>
      <c r="D902" s="20"/>
      <c r="E902" s="39">
        <v>76.540000000000006</v>
      </c>
      <c r="G902" s="60" t="s">
        <v>940</v>
      </c>
    </row>
    <row r="903" spans="2:7" x14ac:dyDescent="0.2">
      <c r="B903" s="6" t="s">
        <v>957</v>
      </c>
      <c r="C903" s="6" t="s">
        <v>958</v>
      </c>
      <c r="D903" s="20"/>
      <c r="E903" s="39">
        <v>76.540000000000006</v>
      </c>
      <c r="G903" s="60" t="s">
        <v>940</v>
      </c>
    </row>
    <row r="904" spans="2:7" x14ac:dyDescent="0.2">
      <c r="B904" s="6" t="s">
        <v>955</v>
      </c>
      <c r="C904" s="6" t="s">
        <v>956</v>
      </c>
      <c r="D904" s="20"/>
      <c r="E904" s="39">
        <v>106.4</v>
      </c>
      <c r="G904" s="60" t="s">
        <v>940</v>
      </c>
    </row>
    <row r="905" spans="2:7" x14ac:dyDescent="0.2">
      <c r="B905" s="6" t="s">
        <v>1062</v>
      </c>
      <c r="C905" s="6" t="s">
        <v>1063</v>
      </c>
      <c r="D905" s="20"/>
      <c r="E905" s="39"/>
      <c r="G905" s="60" t="s">
        <v>940</v>
      </c>
    </row>
    <row r="906" spans="2:7" x14ac:dyDescent="0.2">
      <c r="B906" s="6" t="s">
        <v>1108</v>
      </c>
      <c r="C906" s="6" t="s">
        <v>1109</v>
      </c>
      <c r="D906" s="20"/>
      <c r="E906" s="39">
        <v>156</v>
      </c>
      <c r="G906" s="60" t="s">
        <v>940</v>
      </c>
    </row>
    <row r="907" spans="2:7" x14ac:dyDescent="0.2">
      <c r="B907" s="6" t="s">
        <v>941</v>
      </c>
      <c r="C907" s="6" t="s">
        <v>942</v>
      </c>
      <c r="D907" s="20"/>
      <c r="E907" s="39">
        <v>48</v>
      </c>
      <c r="G907" s="60" t="s">
        <v>940</v>
      </c>
    </row>
    <row r="908" spans="2:7" x14ac:dyDescent="0.2">
      <c r="B908" s="6" t="s">
        <v>1110</v>
      </c>
      <c r="C908" s="6" t="s">
        <v>1111</v>
      </c>
      <c r="D908" s="20"/>
      <c r="E908" s="39">
        <v>147</v>
      </c>
      <c r="G908" s="60" t="s">
        <v>940</v>
      </c>
    </row>
    <row r="909" spans="2:7" x14ac:dyDescent="0.2">
      <c r="B909" s="6" t="s">
        <v>1112</v>
      </c>
      <c r="C909" s="6" t="s">
        <v>1113</v>
      </c>
      <c r="D909" s="20"/>
      <c r="E909" s="39">
        <v>147</v>
      </c>
      <c r="G909" s="60" t="s">
        <v>940</v>
      </c>
    </row>
    <row r="910" spans="2:7" x14ac:dyDescent="0.2">
      <c r="B910" s="6" t="s">
        <v>977</v>
      </c>
      <c r="C910" s="6" t="s">
        <v>978</v>
      </c>
      <c r="D910" s="20"/>
      <c r="E910" s="39">
        <v>17.899999999999999</v>
      </c>
      <c r="G910" s="60" t="s">
        <v>940</v>
      </c>
    </row>
    <row r="911" spans="2:7" x14ac:dyDescent="0.2">
      <c r="B911" s="6" t="s">
        <v>1106</v>
      </c>
      <c r="C911" s="6" t="s">
        <v>1107</v>
      </c>
      <c r="D911" s="20"/>
      <c r="E911" s="39">
        <v>156</v>
      </c>
      <c r="G911" s="60" t="s">
        <v>940</v>
      </c>
    </row>
    <row r="912" spans="2:7" x14ac:dyDescent="0.2">
      <c r="B912" s="6" t="s">
        <v>1072</v>
      </c>
      <c r="C912" s="6" t="s">
        <v>1073</v>
      </c>
      <c r="D912" s="20"/>
      <c r="E912" s="39">
        <v>22.25</v>
      </c>
      <c r="G912" s="60" t="s">
        <v>940</v>
      </c>
    </row>
    <row r="913" spans="2:7" x14ac:dyDescent="0.2">
      <c r="B913" s="6" t="s">
        <v>1070</v>
      </c>
      <c r="C913" s="6" t="s">
        <v>1071</v>
      </c>
      <c r="D913" s="20"/>
      <c r="E913" s="39">
        <v>22.25</v>
      </c>
      <c r="G913" s="60" t="s">
        <v>940</v>
      </c>
    </row>
    <row r="914" spans="2:7" x14ac:dyDescent="0.2">
      <c r="B914" s="6" t="s">
        <v>1076</v>
      </c>
      <c r="C914" s="6" t="s">
        <v>1077</v>
      </c>
      <c r="D914" s="20"/>
      <c r="E914" s="39">
        <v>80</v>
      </c>
      <c r="G914" s="60" t="s">
        <v>940</v>
      </c>
    </row>
    <row r="915" spans="2:7" x14ac:dyDescent="0.2">
      <c r="B915" s="6" t="s">
        <v>963</v>
      </c>
      <c r="C915" s="6" t="s">
        <v>964</v>
      </c>
      <c r="D915" s="20"/>
      <c r="E915" s="39">
        <v>89</v>
      </c>
      <c r="G915" s="60" t="s">
        <v>940</v>
      </c>
    </row>
    <row r="916" spans="2:7" x14ac:dyDescent="0.2">
      <c r="B916" s="6" t="s">
        <v>1058</v>
      </c>
      <c r="C916" s="6" t="s">
        <v>1059</v>
      </c>
      <c r="D916" s="20"/>
      <c r="E916" s="39">
        <v>24</v>
      </c>
      <c r="G916" s="60" t="s">
        <v>940</v>
      </c>
    </row>
    <row r="917" spans="2:7" x14ac:dyDescent="0.2">
      <c r="B917" s="6" t="s">
        <v>1016</v>
      </c>
      <c r="C917" s="6" t="s">
        <v>1017</v>
      </c>
      <c r="D917" s="20"/>
      <c r="E917" s="39">
        <v>499</v>
      </c>
      <c r="G917" s="60" t="s">
        <v>940</v>
      </c>
    </row>
    <row r="918" spans="2:7" x14ac:dyDescent="0.2">
      <c r="B918" s="6" t="s">
        <v>994</v>
      </c>
      <c r="C918" s="6" t="s">
        <v>995</v>
      </c>
      <c r="D918" s="20"/>
      <c r="E918" s="39">
        <v>67</v>
      </c>
      <c r="G918" s="60" t="s">
        <v>940</v>
      </c>
    </row>
    <row r="919" spans="2:7" x14ac:dyDescent="0.2">
      <c r="B919" s="6" t="s">
        <v>1136</v>
      </c>
      <c r="C919" s="6" t="s">
        <v>1137</v>
      </c>
      <c r="D919" s="20"/>
      <c r="E919" s="39"/>
      <c r="G919" s="60" t="s">
        <v>940</v>
      </c>
    </row>
    <row r="920" spans="2:7" x14ac:dyDescent="0.2">
      <c r="B920" s="6" t="s">
        <v>1014</v>
      </c>
      <c r="C920" s="6" t="s">
        <v>1015</v>
      </c>
      <c r="D920" s="20"/>
      <c r="E920" s="39">
        <v>2899</v>
      </c>
      <c r="G920" s="60" t="s">
        <v>940</v>
      </c>
    </row>
    <row r="921" spans="2:7" x14ac:dyDescent="0.2">
      <c r="B921" s="6" t="s">
        <v>1066</v>
      </c>
      <c r="C921" s="6" t="s">
        <v>1067</v>
      </c>
      <c r="D921" s="20"/>
      <c r="E921" s="39">
        <v>15.79</v>
      </c>
      <c r="G921" s="60" t="s">
        <v>940</v>
      </c>
    </row>
    <row r="922" spans="2:7" x14ac:dyDescent="0.2">
      <c r="B922" s="6" t="s">
        <v>992</v>
      </c>
      <c r="C922" s="6" t="s">
        <v>993</v>
      </c>
      <c r="D922" s="20"/>
      <c r="E922" s="39">
        <v>173.25</v>
      </c>
      <c r="G922" s="60" t="s">
        <v>940</v>
      </c>
    </row>
    <row r="923" spans="2:7" x14ac:dyDescent="0.2">
      <c r="B923" s="6" t="s">
        <v>1056</v>
      </c>
      <c r="C923" s="6" t="s">
        <v>1057</v>
      </c>
      <c r="D923" s="20"/>
      <c r="E923" s="39">
        <v>281</v>
      </c>
      <c r="G923" s="60" t="s">
        <v>940</v>
      </c>
    </row>
    <row r="924" spans="2:7" x14ac:dyDescent="0.2">
      <c r="B924" s="6" t="s">
        <v>1018</v>
      </c>
      <c r="C924" s="6" t="s">
        <v>1019</v>
      </c>
      <c r="D924" s="20"/>
      <c r="E924" s="39">
        <v>11.85</v>
      </c>
      <c r="G924" s="60" t="s">
        <v>940</v>
      </c>
    </row>
    <row r="925" spans="2:7" x14ac:dyDescent="0.2">
      <c r="B925" s="6" t="s">
        <v>1020</v>
      </c>
      <c r="C925" s="6" t="s">
        <v>1021</v>
      </c>
      <c r="D925" s="20"/>
      <c r="E925" s="39">
        <v>13.02</v>
      </c>
      <c r="G925" s="60" t="s">
        <v>940</v>
      </c>
    </row>
    <row r="926" spans="2:7" x14ac:dyDescent="0.2">
      <c r="B926" s="6" t="s">
        <v>1024</v>
      </c>
      <c r="C926" s="6" t="s">
        <v>1025</v>
      </c>
      <c r="D926" s="20"/>
      <c r="E926" s="39">
        <v>691</v>
      </c>
      <c r="G926" s="60" t="s">
        <v>940</v>
      </c>
    </row>
    <row r="927" spans="2:7" x14ac:dyDescent="0.2">
      <c r="B927" s="6" t="s">
        <v>1022</v>
      </c>
      <c r="C927" s="6" t="s">
        <v>1023</v>
      </c>
      <c r="D927" s="20"/>
      <c r="E927" s="39">
        <v>699</v>
      </c>
      <c r="G927" s="60" t="s">
        <v>940</v>
      </c>
    </row>
    <row r="928" spans="2:7" x14ac:dyDescent="0.2">
      <c r="B928" s="6" t="s">
        <v>1114</v>
      </c>
      <c r="C928" s="6" t="s">
        <v>1115</v>
      </c>
      <c r="D928" s="20"/>
      <c r="E928" s="39">
        <v>23</v>
      </c>
      <c r="G928" s="60" t="s">
        <v>940</v>
      </c>
    </row>
    <row r="929" spans="2:7" x14ac:dyDescent="0.2">
      <c r="B929" s="6" t="s">
        <v>1102</v>
      </c>
      <c r="C929" s="6" t="s">
        <v>1103</v>
      </c>
      <c r="D929" s="20"/>
      <c r="E929" s="39">
        <v>497</v>
      </c>
      <c r="G929" s="60" t="s">
        <v>940</v>
      </c>
    </row>
    <row r="930" spans="2:7" x14ac:dyDescent="0.2">
      <c r="B930" s="6" t="s">
        <v>1104</v>
      </c>
      <c r="C930" s="6" t="s">
        <v>1105</v>
      </c>
      <c r="D930" s="20"/>
      <c r="E930" s="39">
        <v>450</v>
      </c>
      <c r="G930" s="60" t="s">
        <v>940</v>
      </c>
    </row>
    <row r="931" spans="2:7" x14ac:dyDescent="0.2">
      <c r="B931" s="6" t="s">
        <v>1012</v>
      </c>
      <c r="C931" s="6" t="s">
        <v>1013</v>
      </c>
      <c r="D931" s="20"/>
      <c r="E931" s="39">
        <v>20</v>
      </c>
      <c r="G931" s="60" t="s">
        <v>940</v>
      </c>
    </row>
    <row r="932" spans="2:7" x14ac:dyDescent="0.2">
      <c r="B932" s="6" t="s">
        <v>1082</v>
      </c>
      <c r="C932" s="6" t="s">
        <v>1083</v>
      </c>
      <c r="D932" s="20"/>
      <c r="E932" s="39">
        <v>110.5</v>
      </c>
      <c r="G932" s="60" t="s">
        <v>940</v>
      </c>
    </row>
    <row r="933" spans="2:7" x14ac:dyDescent="0.2">
      <c r="B933" s="6" t="s">
        <v>1034</v>
      </c>
      <c r="C933" s="6" t="s">
        <v>1035</v>
      </c>
      <c r="D933" s="20"/>
      <c r="E933" s="39"/>
      <c r="G933" s="60" t="s">
        <v>940</v>
      </c>
    </row>
    <row r="934" spans="2:7" x14ac:dyDescent="0.2">
      <c r="B934" s="6" t="s">
        <v>975</v>
      </c>
      <c r="C934" s="6" t="s">
        <v>976</v>
      </c>
      <c r="D934" s="20"/>
      <c r="E934" s="39">
        <v>109.27</v>
      </c>
      <c r="G934" s="60" t="s">
        <v>940</v>
      </c>
    </row>
    <row r="935" spans="2:7" x14ac:dyDescent="0.2">
      <c r="B935" s="6" t="s">
        <v>965</v>
      </c>
      <c r="C935" s="6" t="s">
        <v>966</v>
      </c>
      <c r="D935" s="20"/>
      <c r="E935" s="39">
        <v>6.97</v>
      </c>
      <c r="G935" s="60" t="s">
        <v>940</v>
      </c>
    </row>
    <row r="936" spans="2:7" x14ac:dyDescent="0.2">
      <c r="B936" s="6" t="s">
        <v>967</v>
      </c>
      <c r="C936" s="6" t="s">
        <v>968</v>
      </c>
      <c r="D936" s="20"/>
      <c r="E936" s="39">
        <v>64.5</v>
      </c>
      <c r="G936" s="60" t="s">
        <v>940</v>
      </c>
    </row>
    <row r="937" spans="2:7" x14ac:dyDescent="0.2">
      <c r="B937" s="6" t="s">
        <v>1052</v>
      </c>
      <c r="C937" s="6" t="s">
        <v>1053</v>
      </c>
      <c r="D937" s="20"/>
      <c r="E937" s="39">
        <v>400</v>
      </c>
      <c r="G937" s="60" t="s">
        <v>940</v>
      </c>
    </row>
    <row r="938" spans="2:7" x14ac:dyDescent="0.2">
      <c r="B938" s="6" t="s">
        <v>1128</v>
      </c>
      <c r="C938" s="6" t="s">
        <v>1129</v>
      </c>
      <c r="D938" s="20"/>
      <c r="E938" s="39">
        <v>38</v>
      </c>
      <c r="G938" s="60" t="s">
        <v>940</v>
      </c>
    </row>
    <row r="939" spans="2:7" x14ac:dyDescent="0.2">
      <c r="B939" s="6" t="s">
        <v>1130</v>
      </c>
      <c r="C939" s="6" t="s">
        <v>1131</v>
      </c>
      <c r="D939" s="20"/>
      <c r="E939" s="39">
        <v>38</v>
      </c>
      <c r="G939" s="60" t="s">
        <v>940</v>
      </c>
    </row>
    <row r="940" spans="2:7" x14ac:dyDescent="0.2">
      <c r="B940" s="6" t="s">
        <v>1078</v>
      </c>
      <c r="C940" s="6" t="s">
        <v>1079</v>
      </c>
      <c r="D940" s="20"/>
      <c r="E940" s="39">
        <v>0.94799999999999995</v>
      </c>
      <c r="G940" s="60" t="s">
        <v>940</v>
      </c>
    </row>
    <row r="941" spans="2:7" x14ac:dyDescent="0.2">
      <c r="B941" s="6" t="s">
        <v>1132</v>
      </c>
      <c r="C941" s="6" t="s">
        <v>1133</v>
      </c>
      <c r="D941" s="20"/>
      <c r="E941" s="39"/>
      <c r="G941" s="60" t="s">
        <v>940</v>
      </c>
    </row>
    <row r="942" spans="2:7" x14ac:dyDescent="0.2">
      <c r="B942" s="6" t="s">
        <v>1084</v>
      </c>
      <c r="C942" s="6" t="s">
        <v>1085</v>
      </c>
      <c r="D942" s="20"/>
      <c r="E942" s="39">
        <v>16.170000000000002</v>
      </c>
      <c r="G942" s="60" t="s">
        <v>940</v>
      </c>
    </row>
    <row r="943" spans="2:7" x14ac:dyDescent="0.2">
      <c r="B943" s="6" t="s">
        <v>953</v>
      </c>
      <c r="C943" s="6" t="s">
        <v>954</v>
      </c>
      <c r="D943" s="20"/>
      <c r="E943" s="39">
        <v>4.91</v>
      </c>
      <c r="G943" s="60" t="s">
        <v>940</v>
      </c>
    </row>
    <row r="944" spans="2:7" x14ac:dyDescent="0.2">
      <c r="B944" s="6" t="s">
        <v>1134</v>
      </c>
      <c r="C944" s="6" t="s">
        <v>1135</v>
      </c>
      <c r="D944" s="20"/>
      <c r="E944" s="39"/>
      <c r="G944" s="60" t="s">
        <v>940</v>
      </c>
    </row>
    <row r="945" spans="2:7" x14ac:dyDescent="0.2">
      <c r="B945" s="6" t="s">
        <v>983</v>
      </c>
      <c r="C945" s="6" t="s">
        <v>984</v>
      </c>
      <c r="D945" s="20"/>
      <c r="E945" s="39">
        <v>50</v>
      </c>
      <c r="G945" s="60" t="s">
        <v>940</v>
      </c>
    </row>
    <row r="946" spans="2:7" x14ac:dyDescent="0.2">
      <c r="B946" s="6" t="s">
        <v>983</v>
      </c>
      <c r="C946" s="6" t="s">
        <v>985</v>
      </c>
      <c r="D946" s="20"/>
      <c r="E946" s="39">
        <v>50</v>
      </c>
      <c r="G946" s="60" t="s">
        <v>940</v>
      </c>
    </row>
    <row r="947" spans="2:7" x14ac:dyDescent="0.2">
      <c r="B947" s="6" t="s">
        <v>971</v>
      </c>
      <c r="C947" s="6" t="s">
        <v>972</v>
      </c>
      <c r="D947" s="20"/>
      <c r="E947" s="39">
        <v>40.28</v>
      </c>
      <c r="G947" s="60" t="s">
        <v>940</v>
      </c>
    </row>
    <row r="948" spans="2:7" x14ac:dyDescent="0.2">
      <c r="B948" s="6" t="s">
        <v>1068</v>
      </c>
      <c r="C948" s="6" t="s">
        <v>1069</v>
      </c>
      <c r="D948" s="20"/>
      <c r="E948" s="39">
        <v>44.8</v>
      </c>
      <c r="G948" s="60" t="s">
        <v>940</v>
      </c>
    </row>
    <row r="949" spans="2:7" x14ac:dyDescent="0.2">
      <c r="B949" s="6" t="s">
        <v>947</v>
      </c>
      <c r="C949" s="6" t="s">
        <v>948</v>
      </c>
      <c r="D949" s="20"/>
      <c r="E949" s="39">
        <v>172</v>
      </c>
      <c r="G949" s="60" t="s">
        <v>940</v>
      </c>
    </row>
    <row r="950" spans="2:7" x14ac:dyDescent="0.2">
      <c r="B950" s="6" t="s">
        <v>949</v>
      </c>
      <c r="C950" s="6" t="s">
        <v>950</v>
      </c>
      <c r="D950" s="20"/>
      <c r="E950" s="39">
        <v>172</v>
      </c>
      <c r="G950" s="60" t="s">
        <v>940</v>
      </c>
    </row>
    <row r="951" spans="2:7" x14ac:dyDescent="0.2">
      <c r="B951" s="6" t="s">
        <v>1002</v>
      </c>
      <c r="C951" s="6" t="s">
        <v>1003</v>
      </c>
      <c r="D951" s="20"/>
      <c r="E951" s="39">
        <v>134.83000000000001</v>
      </c>
      <c r="G951" s="60" t="s">
        <v>940</v>
      </c>
    </row>
    <row r="952" spans="2:7" x14ac:dyDescent="0.2">
      <c r="B952" s="6" t="s">
        <v>884</v>
      </c>
      <c r="C952" s="6" t="s">
        <v>885</v>
      </c>
      <c r="D952" s="20"/>
      <c r="E952" s="39"/>
      <c r="G952" s="60" t="s">
        <v>940</v>
      </c>
    </row>
    <row r="953" spans="2:7" x14ac:dyDescent="0.2">
      <c r="B953" s="6" t="s">
        <v>894</v>
      </c>
      <c r="C953" s="6" t="s">
        <v>895</v>
      </c>
      <c r="D953" s="20"/>
      <c r="E953" s="39">
        <v>12.96</v>
      </c>
      <c r="G953" s="60" t="s">
        <v>940</v>
      </c>
    </row>
    <row r="954" spans="2:7" x14ac:dyDescent="0.2">
      <c r="B954" s="6" t="s">
        <v>920</v>
      </c>
      <c r="C954" s="6" t="s">
        <v>921</v>
      </c>
      <c r="D954" s="20"/>
      <c r="E954" s="39">
        <v>12</v>
      </c>
      <c r="G954" s="60" t="s">
        <v>940</v>
      </c>
    </row>
    <row r="955" spans="2:7" x14ac:dyDescent="0.2">
      <c r="B955" s="6" t="s">
        <v>922</v>
      </c>
      <c r="C955" s="6" t="s">
        <v>923</v>
      </c>
      <c r="D955" s="20"/>
      <c r="E955" s="39">
        <v>9.8000000000000007</v>
      </c>
      <c r="G955" s="60" t="s">
        <v>940</v>
      </c>
    </row>
    <row r="956" spans="2:7" x14ac:dyDescent="0.2">
      <c r="B956" s="6" t="s">
        <v>916</v>
      </c>
      <c r="C956" s="6" t="s">
        <v>917</v>
      </c>
      <c r="D956" s="20"/>
      <c r="E956" s="39">
        <v>139.19999999999999</v>
      </c>
      <c r="G956" s="60" t="s">
        <v>940</v>
      </c>
    </row>
    <row r="957" spans="2:7" x14ac:dyDescent="0.2">
      <c r="B957" s="6" t="s">
        <v>902</v>
      </c>
      <c r="C957" s="6" t="s">
        <v>903</v>
      </c>
      <c r="D957" s="20"/>
      <c r="E957" s="39">
        <v>57</v>
      </c>
      <c r="G957" s="60" t="s">
        <v>940</v>
      </c>
    </row>
    <row r="958" spans="2:7" x14ac:dyDescent="0.2">
      <c r="B958" s="6" t="s">
        <v>888</v>
      </c>
      <c r="C958" s="6" t="s">
        <v>889</v>
      </c>
      <c r="D958" s="20"/>
      <c r="E958" s="39">
        <v>57</v>
      </c>
      <c r="G958" s="60" t="s">
        <v>940</v>
      </c>
    </row>
    <row r="959" spans="2:7" x14ac:dyDescent="0.2">
      <c r="B959" s="6" t="s">
        <v>930</v>
      </c>
      <c r="C959" s="6" t="s">
        <v>931</v>
      </c>
      <c r="D959" s="20"/>
      <c r="E959" s="39"/>
      <c r="G959" s="60" t="s">
        <v>940</v>
      </c>
    </row>
    <row r="960" spans="2:7" x14ac:dyDescent="0.2">
      <c r="B960" s="6" t="s">
        <v>900</v>
      </c>
      <c r="C960" s="6" t="s">
        <v>901</v>
      </c>
      <c r="D960" s="20"/>
      <c r="E960" s="39">
        <v>57</v>
      </c>
      <c r="G960" s="60" t="s">
        <v>940</v>
      </c>
    </row>
    <row r="961" spans="2:7" x14ac:dyDescent="0.2">
      <c r="B961" s="6" t="s">
        <v>898</v>
      </c>
      <c r="C961" s="6" t="s">
        <v>899</v>
      </c>
      <c r="D961" s="20"/>
      <c r="E961" s="39">
        <v>57</v>
      </c>
      <c r="G961" s="60" t="s">
        <v>940</v>
      </c>
    </row>
    <row r="962" spans="2:7" x14ac:dyDescent="0.2">
      <c r="B962" s="6" t="s">
        <v>912</v>
      </c>
      <c r="C962" s="6" t="s">
        <v>913</v>
      </c>
      <c r="D962" s="20"/>
      <c r="E962" s="39">
        <v>110.2</v>
      </c>
      <c r="G962" s="60" t="s">
        <v>940</v>
      </c>
    </row>
    <row r="963" spans="2:7" x14ac:dyDescent="0.2">
      <c r="B963" s="6" t="s">
        <v>904</v>
      </c>
      <c r="C963" s="6" t="s">
        <v>905</v>
      </c>
      <c r="D963" s="20"/>
      <c r="E963" s="39">
        <v>81.2</v>
      </c>
      <c r="G963" s="60" t="s">
        <v>940</v>
      </c>
    </row>
    <row r="964" spans="2:7" x14ac:dyDescent="0.2">
      <c r="B964" s="6" t="s">
        <v>908</v>
      </c>
      <c r="C964" s="6" t="s">
        <v>909</v>
      </c>
      <c r="D964" s="20"/>
      <c r="E964" s="39"/>
      <c r="G964" s="60" t="s">
        <v>940</v>
      </c>
    </row>
    <row r="965" spans="2:7" x14ac:dyDescent="0.2">
      <c r="B965" s="6" t="s">
        <v>886</v>
      </c>
      <c r="C965" s="6" t="s">
        <v>887</v>
      </c>
      <c r="D965" s="20"/>
      <c r="E965" s="39"/>
      <c r="G965" s="60" t="s">
        <v>940</v>
      </c>
    </row>
    <row r="966" spans="2:7" x14ac:dyDescent="0.2">
      <c r="B966" s="6" t="s">
        <v>906</v>
      </c>
      <c r="C966" s="6" t="s">
        <v>907</v>
      </c>
      <c r="D966" s="20"/>
      <c r="E966" s="39">
        <v>57</v>
      </c>
      <c r="G966" s="60" t="s">
        <v>940</v>
      </c>
    </row>
    <row r="967" spans="2:7" x14ac:dyDescent="0.2">
      <c r="B967" s="6" t="s">
        <v>914</v>
      </c>
      <c r="C967" s="6" t="s">
        <v>915</v>
      </c>
      <c r="D967" s="20"/>
      <c r="E967" s="39">
        <v>139.19999999999999</v>
      </c>
      <c r="G967" s="60" t="s">
        <v>940</v>
      </c>
    </row>
    <row r="968" spans="2:7" x14ac:dyDescent="0.2">
      <c r="B968" s="6" t="s">
        <v>928</v>
      </c>
      <c r="C968" s="6" t="s">
        <v>929</v>
      </c>
      <c r="D968" s="20"/>
      <c r="E968" s="39"/>
      <c r="G968" s="60" t="s">
        <v>940</v>
      </c>
    </row>
    <row r="969" spans="2:7" x14ac:dyDescent="0.2">
      <c r="B969" s="6" t="s">
        <v>896</v>
      </c>
      <c r="C969" s="6" t="s">
        <v>897</v>
      </c>
      <c r="D969" s="20"/>
      <c r="E969" s="39">
        <v>110.2</v>
      </c>
      <c r="G969" s="60" t="s">
        <v>940</v>
      </c>
    </row>
    <row r="970" spans="2:7" x14ac:dyDescent="0.2">
      <c r="B970" s="6" t="s">
        <v>910</v>
      </c>
      <c r="C970" s="6" t="s">
        <v>911</v>
      </c>
      <c r="D970" s="20"/>
      <c r="E970" s="39"/>
      <c r="G970" s="60" t="s">
        <v>940</v>
      </c>
    </row>
    <row r="971" spans="2:7" x14ac:dyDescent="0.2">
      <c r="B971" s="6" t="s">
        <v>890</v>
      </c>
      <c r="C971" s="6" t="s">
        <v>891</v>
      </c>
      <c r="D971" s="20"/>
      <c r="E971" s="39"/>
      <c r="G971" s="60" t="s">
        <v>940</v>
      </c>
    </row>
    <row r="972" spans="2:7" x14ac:dyDescent="0.2">
      <c r="B972" s="6" t="s">
        <v>872</v>
      </c>
      <c r="C972" s="6" t="s">
        <v>873</v>
      </c>
      <c r="D972" s="20"/>
      <c r="E972" s="39">
        <v>5.12</v>
      </c>
      <c r="G972" s="60" t="s">
        <v>940</v>
      </c>
    </row>
    <row r="973" spans="2:7" x14ac:dyDescent="0.2">
      <c r="B973" s="6" t="s">
        <v>934</v>
      </c>
      <c r="C973" s="6" t="s">
        <v>935</v>
      </c>
      <c r="D973" s="20"/>
      <c r="E973" s="39">
        <v>5.12</v>
      </c>
      <c r="G973" s="60" t="s">
        <v>940</v>
      </c>
    </row>
    <row r="974" spans="2:7" x14ac:dyDescent="0.2">
      <c r="B974" s="6" t="s">
        <v>878</v>
      </c>
      <c r="C974" s="6" t="s">
        <v>879</v>
      </c>
      <c r="D974" s="20"/>
      <c r="E974" s="39">
        <v>5.12</v>
      </c>
      <c r="G974" s="60" t="s">
        <v>940</v>
      </c>
    </row>
    <row r="975" spans="2:7" x14ac:dyDescent="0.2">
      <c r="B975" s="6" t="s">
        <v>874</v>
      </c>
      <c r="C975" s="6" t="s">
        <v>875</v>
      </c>
      <c r="D975" s="20"/>
      <c r="E975" s="39">
        <v>5.12</v>
      </c>
      <c r="G975" s="60" t="s">
        <v>940</v>
      </c>
    </row>
    <row r="976" spans="2:7" x14ac:dyDescent="0.2">
      <c r="B976" s="6" t="s">
        <v>932</v>
      </c>
      <c r="C976" s="6" t="s">
        <v>933</v>
      </c>
      <c r="D976" s="20"/>
      <c r="E976" s="39"/>
      <c r="G976" s="60" t="s">
        <v>940</v>
      </c>
    </row>
    <row r="977" spans="2:7" x14ac:dyDescent="0.2">
      <c r="B977" s="6" t="s">
        <v>880</v>
      </c>
      <c r="C977" s="6" t="s">
        <v>881</v>
      </c>
      <c r="D977" s="20"/>
      <c r="E977" s="39">
        <v>5.12</v>
      </c>
      <c r="G977" s="60" t="s">
        <v>940</v>
      </c>
    </row>
    <row r="978" spans="2:7" x14ac:dyDescent="0.2">
      <c r="B978" s="12" t="s">
        <v>876</v>
      </c>
      <c r="C978" s="12" t="s">
        <v>877</v>
      </c>
      <c r="D978" s="22"/>
      <c r="E978" s="41">
        <v>5.12</v>
      </c>
      <c r="G978" s="60" t="s">
        <v>940</v>
      </c>
    </row>
    <row r="979" spans="2:7" x14ac:dyDescent="0.2">
      <c r="B979" s="12" t="s">
        <v>938</v>
      </c>
      <c r="C979" s="12" t="s">
        <v>939</v>
      </c>
      <c r="D979" s="22"/>
      <c r="E979" s="41">
        <v>5.12</v>
      </c>
      <c r="G979" s="60" t="s">
        <v>940</v>
      </c>
    </row>
    <row r="980" spans="2:7" x14ac:dyDescent="0.2">
      <c r="B980" s="12" t="s">
        <v>936</v>
      </c>
      <c r="C980" s="12" t="s">
        <v>937</v>
      </c>
      <c r="D980" s="22"/>
      <c r="E980" s="41">
        <v>5.12</v>
      </c>
      <c r="G980" s="60" t="s">
        <v>940</v>
      </c>
    </row>
    <row r="981" spans="2:7" x14ac:dyDescent="0.2">
      <c r="B981" s="12" t="s">
        <v>882</v>
      </c>
      <c r="C981" s="12" t="s">
        <v>883</v>
      </c>
      <c r="D981" s="22"/>
      <c r="E981" s="41">
        <v>12.35</v>
      </c>
      <c r="G981" s="60" t="s">
        <v>940</v>
      </c>
    </row>
    <row r="982" spans="2:7" x14ac:dyDescent="0.2">
      <c r="B982" s="12" t="s">
        <v>924</v>
      </c>
      <c r="C982" s="12" t="s">
        <v>925</v>
      </c>
      <c r="D982" s="22"/>
      <c r="E982" s="41">
        <v>75</v>
      </c>
      <c r="G982" s="60" t="s">
        <v>940</v>
      </c>
    </row>
    <row r="983" spans="2:7" x14ac:dyDescent="0.2">
      <c r="B983" s="12" t="s">
        <v>918</v>
      </c>
      <c r="C983" s="12" t="s">
        <v>919</v>
      </c>
      <c r="D983" s="22"/>
      <c r="E983" s="41">
        <v>108</v>
      </c>
      <c r="G983" s="70" t="s">
        <v>940</v>
      </c>
    </row>
    <row r="984" spans="2:7" x14ac:dyDescent="0.2">
      <c r="B984" s="12" t="s">
        <v>926</v>
      </c>
      <c r="C984" s="12" t="s">
        <v>927</v>
      </c>
      <c r="D984" s="22"/>
      <c r="E984" s="41">
        <v>90</v>
      </c>
      <c r="G984" s="60" t="s">
        <v>940</v>
      </c>
    </row>
    <row r="985" spans="2:7" x14ac:dyDescent="0.2">
      <c r="B985" s="12" t="s">
        <v>1989</v>
      </c>
      <c r="C985" s="12" t="s">
        <v>1990</v>
      </c>
      <c r="D985" s="22"/>
      <c r="E985" s="41"/>
      <c r="G985" s="60" t="s">
        <v>940</v>
      </c>
    </row>
    <row r="986" spans="2:7" x14ac:dyDescent="0.2">
      <c r="B986" s="12" t="s">
        <v>892</v>
      </c>
      <c r="C986" s="12" t="s">
        <v>893</v>
      </c>
      <c r="D986" s="22"/>
      <c r="E986" s="41">
        <v>28</v>
      </c>
      <c r="G986" s="60" t="s">
        <v>940</v>
      </c>
    </row>
    <row r="987" spans="2:7" x14ac:dyDescent="0.2">
      <c r="B987" s="12" t="s">
        <v>1995</v>
      </c>
      <c r="C987" s="12" t="s">
        <v>1996</v>
      </c>
      <c r="D987" s="22"/>
      <c r="E987" s="41" t="s">
        <v>1994</v>
      </c>
      <c r="G987" s="60" t="s">
        <v>940</v>
      </c>
    </row>
    <row r="988" spans="2:7" x14ac:dyDescent="0.2">
      <c r="B988" s="6"/>
      <c r="C988" s="6"/>
      <c r="D988" s="20"/>
      <c r="E988" s="39"/>
      <c r="G988" s="60"/>
    </row>
    <row r="989" spans="2:7" x14ac:dyDescent="0.2">
      <c r="B989" s="6" t="s">
        <v>1999</v>
      </c>
      <c r="C989" s="6" t="s">
        <v>1998</v>
      </c>
      <c r="D989" s="20"/>
      <c r="E989" s="39"/>
      <c r="G989" s="70" t="s">
        <v>1956</v>
      </c>
    </row>
    <row r="990" spans="2:7" x14ac:dyDescent="0.2">
      <c r="B990" s="12" t="s">
        <v>2000</v>
      </c>
      <c r="C990" s="12" t="s">
        <v>2001</v>
      </c>
      <c r="D990" s="22"/>
      <c r="E990" s="41"/>
      <c r="G990" s="60" t="s">
        <v>1956</v>
      </c>
    </row>
    <row r="991" spans="2:7" x14ac:dyDescent="0.2">
      <c r="B991" s="6" t="s">
        <v>2012</v>
      </c>
      <c r="C991" s="6" t="s">
        <v>2016</v>
      </c>
      <c r="D991" s="20"/>
      <c r="E991" s="39">
        <v>720</v>
      </c>
      <c r="G991" s="70"/>
    </row>
    <row r="992" spans="2:7" x14ac:dyDescent="0.2">
      <c r="B992" s="6" t="s">
        <v>2013</v>
      </c>
      <c r="C992" s="6" t="s">
        <v>2017</v>
      </c>
      <c r="D992" s="20"/>
      <c r="E992" s="39">
        <v>95</v>
      </c>
      <c r="G992" s="70"/>
    </row>
    <row r="993" spans="2:7" x14ac:dyDescent="0.2">
      <c r="B993" s="6" t="s">
        <v>2014</v>
      </c>
      <c r="C993" s="6" t="s">
        <v>2018</v>
      </c>
      <c r="D993" s="20"/>
      <c r="E993" s="39">
        <v>680</v>
      </c>
      <c r="G993" s="70"/>
    </row>
    <row r="994" spans="2:7" x14ac:dyDescent="0.2">
      <c r="B994" s="6" t="s">
        <v>2015</v>
      </c>
      <c r="C994" s="6" t="s">
        <v>2019</v>
      </c>
      <c r="D994" s="20"/>
      <c r="E994" s="39">
        <v>17.5</v>
      </c>
      <c r="G994" s="70"/>
    </row>
    <row r="995" spans="2:7" x14ac:dyDescent="0.2">
      <c r="B995" s="12"/>
      <c r="C995" s="12"/>
      <c r="D995" s="22"/>
      <c r="E995" s="41"/>
      <c r="G995" s="60"/>
    </row>
    <row r="996" spans="2:7" x14ac:dyDescent="0.2">
      <c r="B996" s="6"/>
      <c r="C996" s="6"/>
      <c r="D996" s="20"/>
      <c r="E996" s="39"/>
      <c r="G996" s="70"/>
    </row>
    <row r="997" spans="2:7" x14ac:dyDescent="0.2">
      <c r="B997" s="6"/>
      <c r="C997" s="6"/>
      <c r="D997" s="20"/>
      <c r="E997" s="39"/>
      <c r="G997" s="70"/>
    </row>
    <row r="998" spans="2:7" x14ac:dyDescent="0.2">
      <c r="B998" s="12"/>
      <c r="C998" s="12"/>
      <c r="D998" s="22"/>
      <c r="E998" s="41"/>
      <c r="G998" s="60"/>
    </row>
    <row r="999" spans="2:7" x14ac:dyDescent="0.2">
      <c r="B999" s="6" t="s">
        <v>2002</v>
      </c>
      <c r="C999" s="6" t="s">
        <v>2003</v>
      </c>
      <c r="D999" s="20"/>
      <c r="E999" s="39">
        <v>140</v>
      </c>
      <c r="G999" s="70" t="s">
        <v>940</v>
      </c>
    </row>
    <row r="1000" spans="2:7" x14ac:dyDescent="0.2">
      <c r="B1000" s="6" t="s">
        <v>2004</v>
      </c>
      <c r="C1000" s="6" t="s">
        <v>2005</v>
      </c>
      <c r="D1000" s="20"/>
      <c r="E1000" s="39">
        <v>287.60000000000002</v>
      </c>
      <c r="G1000" s="70" t="s">
        <v>940</v>
      </c>
    </row>
    <row r="1001" spans="2:7" x14ac:dyDescent="0.2">
      <c r="B1001" s="6" t="s">
        <v>2006</v>
      </c>
      <c r="C1001" s="6" t="s">
        <v>2007</v>
      </c>
      <c r="D1001" s="20"/>
      <c r="E1001" s="39">
        <v>210</v>
      </c>
      <c r="G1001" s="70" t="s">
        <v>940</v>
      </c>
    </row>
    <row r="1002" spans="2:7" x14ac:dyDescent="0.2">
      <c r="B1002" s="12" t="s">
        <v>2008</v>
      </c>
      <c r="C1002" s="12" t="s">
        <v>2009</v>
      </c>
      <c r="D1002" s="22"/>
      <c r="E1002" s="41">
        <v>169</v>
      </c>
      <c r="G1002" s="60" t="s">
        <v>940</v>
      </c>
    </row>
    <row r="1003" spans="2:7" x14ac:dyDescent="0.2">
      <c r="B1003" s="6" t="s">
        <v>2010</v>
      </c>
      <c r="C1003" s="6" t="s">
        <v>2011</v>
      </c>
      <c r="D1003" s="20"/>
      <c r="E1003" s="39">
        <v>45</v>
      </c>
      <c r="G1003" s="70" t="s">
        <v>940</v>
      </c>
    </row>
    <row r="1004" spans="2:7" x14ac:dyDescent="0.2">
      <c r="B1004" s="12" t="s">
        <v>2020</v>
      </c>
      <c r="C1004" s="12" t="s">
        <v>2021</v>
      </c>
      <c r="D1004" s="22"/>
      <c r="E1004" s="41">
        <v>0</v>
      </c>
      <c r="G1004" s="60" t="s">
        <v>940</v>
      </c>
    </row>
    <row r="1005" spans="2:7" x14ac:dyDescent="0.2">
      <c r="B1005" s="6" t="s">
        <v>2022</v>
      </c>
      <c r="C1005" s="6" t="s">
        <v>2023</v>
      </c>
      <c r="D1005" s="20">
        <v>0</v>
      </c>
      <c r="E1005" s="39"/>
      <c r="G1005" s="70"/>
    </row>
    <row r="1006" spans="2:7" x14ac:dyDescent="0.2">
      <c r="B1006" s="6" t="s">
        <v>2024</v>
      </c>
      <c r="C1006" s="6" t="s">
        <v>2025</v>
      </c>
      <c r="D1006" s="20"/>
      <c r="E1006" s="39"/>
      <c r="G1006" s="70"/>
    </row>
    <row r="1007" spans="2:7" ht="30" x14ac:dyDescent="0.2">
      <c r="B1007" s="75" t="s">
        <v>2028</v>
      </c>
      <c r="C1007" s="6" t="s">
        <v>2029</v>
      </c>
      <c r="D1007" s="20"/>
      <c r="E1007" s="39"/>
      <c r="G1007" s="70"/>
    </row>
    <row r="1008" spans="2:7" x14ac:dyDescent="0.2">
      <c r="B1008" s="6"/>
      <c r="C1008" s="6"/>
      <c r="D1008" s="20"/>
      <c r="E1008" s="39"/>
      <c r="G1008" s="70"/>
    </row>
    <row r="1009" spans="2:7" x14ac:dyDescent="0.2">
      <c r="B1009" s="6"/>
      <c r="C1009" s="6"/>
      <c r="D1009" s="20"/>
      <c r="E1009" s="39"/>
      <c r="G1009" s="60"/>
    </row>
    <row r="1010" spans="2:7" x14ac:dyDescent="0.2">
      <c r="B1010" s="12"/>
      <c r="C1010" s="12"/>
      <c r="D1010" s="22"/>
      <c r="E1010" s="41"/>
    </row>
  </sheetData>
  <phoneticPr fontId="5" type="noConversion"/>
  <dataValidations disablePrompts="1" count="1">
    <dataValidation type="list" allowBlank="1" showInputMessage="1" showErrorMessage="1" sqref="I6:I8" xr:uid="{5F1BDC17-1820-B946-8B3B-260A51974099}">
      <formula1>"Cliente, Proveedor"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F86A-4CFE-8C4E-B6D8-5D79282A1F06}">
  <dimension ref="B1:W2992"/>
  <sheetViews>
    <sheetView showGridLines="0" topLeftCell="A936" workbookViewId="0">
      <selection activeCell="D990" sqref="D990"/>
    </sheetView>
  </sheetViews>
  <sheetFormatPr baseColWidth="10" defaultColWidth="10.875" defaultRowHeight="15" x14ac:dyDescent="0.2"/>
  <cols>
    <col min="1" max="1" width="4.875" style="1" customWidth="1"/>
    <col min="2" max="2" width="17.375" style="1" customWidth="1"/>
    <col min="3" max="3" width="36.125" style="1" customWidth="1"/>
    <col min="4" max="4" width="25.375" style="1" customWidth="1"/>
    <col min="5" max="5" width="40.625" style="1" customWidth="1"/>
    <col min="6" max="6" width="16.875" style="1" customWidth="1"/>
    <col min="7" max="7" width="15.625" style="1" customWidth="1"/>
    <col min="8" max="8" width="35.875" style="1" customWidth="1"/>
    <col min="9" max="9" width="40.875" style="1" customWidth="1"/>
    <col min="10" max="10" width="10.875" style="1"/>
    <col min="11" max="12" width="40.875" style="1" customWidth="1"/>
    <col min="13" max="13" width="10.875" style="1"/>
    <col min="14" max="14" width="40.875" style="1" customWidth="1"/>
    <col min="15" max="19" width="10.875" style="1"/>
    <col min="20" max="20" width="13" style="1" customWidth="1"/>
    <col min="21" max="21" width="12" style="1" customWidth="1"/>
    <col min="22" max="22" width="17" style="1" customWidth="1"/>
    <col min="23" max="23" width="24.125" style="1" customWidth="1"/>
    <col min="24" max="16384" width="10.875" style="1"/>
  </cols>
  <sheetData>
    <row r="1" spans="2:23" s="3" customFormat="1" ht="39.950000000000003" customHeight="1" x14ac:dyDescent="0.2"/>
    <row r="2" spans="2:23" s="2" customFormat="1" ht="29.1" customHeight="1" x14ac:dyDescent="0.2"/>
    <row r="3" spans="2:23" s="7" customFormat="1" ht="27.95" customHeight="1" x14ac:dyDescent="0.2">
      <c r="B3" s="38" t="s">
        <v>8</v>
      </c>
      <c r="C3" s="17" t="s">
        <v>940</v>
      </c>
    </row>
    <row r="4" spans="2:23" s="7" customFormat="1" x14ac:dyDescent="0.2"/>
    <row r="5" spans="2:23" s="8" customFormat="1" ht="30" customHeight="1" x14ac:dyDescent="0.25">
      <c r="B5" s="4" t="s">
        <v>3</v>
      </c>
      <c r="C5" s="5" t="s">
        <v>0</v>
      </c>
      <c r="D5" s="4" t="s">
        <v>4</v>
      </c>
      <c r="E5" s="4" t="s">
        <v>7</v>
      </c>
      <c r="F5" s="4" t="s">
        <v>9</v>
      </c>
      <c r="I5" s="10"/>
      <c r="J5" s="9"/>
      <c r="K5" s="9"/>
      <c r="M5" s="9"/>
      <c r="N5" s="9"/>
      <c r="T5" s="8" t="s">
        <v>3</v>
      </c>
      <c r="U5" s="8" t="s">
        <v>9</v>
      </c>
      <c r="V5" s="8" t="s">
        <v>29</v>
      </c>
      <c r="W5" s="8" t="s">
        <v>30</v>
      </c>
    </row>
    <row r="6" spans="2:23" s="8" customFormat="1" ht="30" customHeight="1" x14ac:dyDescent="0.25">
      <c r="B6" s="11" t="str">
        <f>IF(PRODUCTOS[[#This Row],[CODIGO]]="", "", PRODUCTOS[[#This Row],[CODIGO]])</f>
        <v>CONB-O0000-005</v>
      </c>
      <c r="C6" s="14" t="str">
        <f>IF(GENERAL[[#This Row],[CODIGO]]="", "", VLOOKUP(GENERAL[[#This Row],[CODIGO]], PRODUCTOS[#All], 2, FALSE))</f>
        <v xml:space="preserve">Conector ojo 4/0 Burndy corto </v>
      </c>
      <c r="D6" s="36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36</v>
      </c>
      <c r="E6" s="27" t="str">
        <f>IFERROR(IF(GENERAL[[#This Row],[CANTIDAD]]=0, "AGOTADO", IF(GENERAL[[#This Row],[CANTIDAD]]&lt;VLOOKUP(GENERAL[[#This Row],[CODIGO]], PRODUCTOS[#All], 3, FALSE), "MENOR AL MINIMO", "")), "")</f>
        <v/>
      </c>
      <c r="F6" s="39">
        <f>IF(OR(GENERAL[[#This Row],[CODIGO]]="", GENERAL[[#This Row],[CANTIDAD]]=""), "", VLOOKUP(GENERAL[[#This Row],[CODIGO]], PRODUCTOS[#All], 4, FALSE) * GENERAL[[#This Row],[CANTIDAD]])</f>
        <v>4316.3135999999995</v>
      </c>
      <c r="H6" s="65" t="s">
        <v>1966</v>
      </c>
      <c r="I6" s="26"/>
      <c r="T6" s="42" t="str">
        <f>GENERAL[[#This Row],[CODIGO]]</f>
        <v>CONB-O0000-005</v>
      </c>
      <c r="U6" s="8">
        <f>VLOOKUP(T6,PRODUCTOS[],4,)</f>
        <v>119.8976</v>
      </c>
      <c r="V6" s="8">
        <f>IFERROR(SUMIF(INICIAL[CODIGO], T6, INICIAL[CANTIDAD]), 0)
+ IFERROR(SUMIF(ENTRADAS[CODIGO], T6, ENTRADAS[CANTIDAD]), 0)
- IFERROR(SUMIF(SALIDAS[CODIGO], T6, SALIDAS[CANTIDAD]), 0)</f>
        <v>36</v>
      </c>
      <c r="W6" s="8">
        <f>PRODUCT(U6,V6)</f>
        <v>4316.3135999999995</v>
      </c>
    </row>
    <row r="7" spans="2:23" s="8" customFormat="1" ht="30" customHeight="1" x14ac:dyDescent="0.25">
      <c r="B7" s="11" t="str">
        <f>IF(PRODUCTOS[[#This Row],[CODIGO]]="", "", PRODUCTOS[[#This Row],[CODIGO]])</f>
        <v>CONB-O0000-005</v>
      </c>
      <c r="C7" s="14" t="str">
        <f>IF(GENERAL[[#This Row],[CODIGO]]="", "", VLOOKUP(GENERAL[[#This Row],[CODIGO]], PRODUCTOS[#All], 2, FALSE))</f>
        <v xml:space="preserve">Conector ojo 4/0 Burndy corto </v>
      </c>
      <c r="D7" s="36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36</v>
      </c>
      <c r="E7" s="28" t="str">
        <f>IFERROR(IF(GENERAL[[#This Row],[CANTIDAD]]=0, "AGOTADO", IF(GENERAL[[#This Row],[CANTIDAD]]&lt;VLOOKUP(GENERAL[[#This Row],[CODIGO]], PRODUCTOS[#All], 3, FALSE), "MENOR AL MINIMO", "")), "")</f>
        <v/>
      </c>
      <c r="F7" s="39">
        <f>IF(OR(GENERAL[[#This Row],[CODIGO]]="", GENERAL[[#This Row],[CANTIDAD]]=""), "", VLOOKUP(GENERAL[[#This Row],[CODIGO]], PRODUCTOS[#All], 4, FALSE) * GENERAL[[#This Row],[CANTIDAD]])</f>
        <v>4316.3135999999995</v>
      </c>
      <c r="H7" s="64">
        <f>SUM(H232,H301,H338,H364,H376,H425,H427,H461,H562)</f>
        <v>723439.95977120008</v>
      </c>
      <c r="I7" s="26"/>
      <c r="T7" s="42" t="str">
        <f>GENERAL[[#This Row],[CODIGO]]</f>
        <v>CONB-O0000-005</v>
      </c>
      <c r="U7" s="8">
        <f>VLOOKUP(T7,PRODUCTOS[],4,)</f>
        <v>119.8976</v>
      </c>
      <c r="V7" s="8">
        <f>IFERROR(SUMIF(INICIAL[CODIGO], T7, INICIAL[CANTIDAD]), 0)
+ IFERROR(SUMIF(ENTRADAS[CODIGO], T7, ENTRADAS[CANTIDAD]), 0)
- IFERROR(SUMIF(SALIDAS[CODIGO], T7, SALIDAS[CANTIDAD]), 0)</f>
        <v>36</v>
      </c>
      <c r="W7" s="8">
        <f t="shared" ref="W7:W18" si="0">PRODUCT(U7,V7)</f>
        <v>4316.3135999999995</v>
      </c>
    </row>
    <row r="8" spans="2:23" s="8" customFormat="1" ht="30" customHeight="1" x14ac:dyDescent="0.25">
      <c r="B8" s="11" t="str">
        <f>IF(PRODUCTOS[[#This Row],[CODIGO]]="", "", PRODUCTOS[[#This Row],[CODIGO]])</f>
        <v>CONB-O000-002</v>
      </c>
      <c r="C8" s="14" t="str">
        <f>IF(GENERAL[[#This Row],[CODIGO]]="", "", VLOOKUP(GENERAL[[#This Row],[CODIGO]], PRODUCTOS[#All], 2, FALSE))</f>
        <v xml:space="preserve">Conector ojo 3/0 Burndy corto </v>
      </c>
      <c r="D8" s="36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46</v>
      </c>
      <c r="E8" s="28" t="str">
        <f>IFERROR(IF(GENERAL[[#This Row],[CANTIDAD]]=0, "AGOTADO", IF(GENERAL[[#This Row],[CANTIDAD]]&lt;VLOOKUP(GENERAL[[#This Row],[CODIGO]], PRODUCTOS[#All], 3, FALSE), "MENOR AL MINIMO", "")), "")</f>
        <v/>
      </c>
      <c r="F8" s="39">
        <f>IF(OR(GENERAL[[#This Row],[CODIGO]]="", GENERAL[[#This Row],[CANTIDAD]]=""), "", VLOOKUP(GENERAL[[#This Row],[CODIGO]], PRODUCTOS[#All], 4, FALSE) * GENERAL[[#This Row],[CANTIDAD]])</f>
        <v>4671.6680000000006</v>
      </c>
      <c r="H8" s="66" t="s">
        <v>1967</v>
      </c>
      <c r="I8" s="26"/>
      <c r="T8" s="42" t="str">
        <f>GENERAL[[#This Row],[CODIGO]]</f>
        <v>CONB-O000-002</v>
      </c>
      <c r="U8" s="8">
        <f>VLOOKUP(T8,PRODUCTOS[],4,)</f>
        <v>101.55800000000001</v>
      </c>
      <c r="V8" s="8">
        <f>IFERROR(SUMIF(INICIAL[CODIGO], T8, INICIAL[CANTIDAD]), 0)
+ IFERROR(SUMIF(ENTRADAS[CODIGO], T8, ENTRADAS[CANTIDAD]), 0)
- IFERROR(SUMIF(SALIDAS[CODIGO], T8, SALIDAS[CANTIDAD]), 0)</f>
        <v>46</v>
      </c>
      <c r="W8" s="8">
        <f t="shared" si="0"/>
        <v>4671.6680000000006</v>
      </c>
    </row>
    <row r="9" spans="2:23" s="8" customFormat="1" ht="30" customHeight="1" x14ac:dyDescent="0.25">
      <c r="B9" s="11" t="str">
        <f>IF(PRODUCTOS[[#This Row],[CODIGO]]="", "", PRODUCTOS[[#This Row],[CODIGO]])</f>
        <v>CONB-O000-002</v>
      </c>
      <c r="C9" s="14" t="str">
        <f>IF(GENERAL[[#This Row],[CODIGO]]="", "", VLOOKUP(GENERAL[[#This Row],[CODIGO]], PRODUCTOS[#All], 2, FALSE))</f>
        <v xml:space="preserve">Conector ojo 3/0 Burndy corto </v>
      </c>
      <c r="D9" s="36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46</v>
      </c>
      <c r="E9" s="28" t="str">
        <f>IFERROR(IF(GENERAL[[#This Row],[CANTIDAD]]=0, "AGOTADO", IF(GENERAL[[#This Row],[CANTIDAD]]&lt;VLOOKUP(GENERAL[[#This Row],[CODIGO]], PRODUCTOS[#All], 3, FALSE), "MENOR AL MINIMO", "")), "")</f>
        <v/>
      </c>
      <c r="F9" s="39">
        <f>IF(OR(GENERAL[[#This Row],[CODIGO]]="", GENERAL[[#This Row],[CANTIDAD]]=""), "", VLOOKUP(GENERAL[[#This Row],[CODIGO]], PRODUCTOS[#All], 4, FALSE) * GENERAL[[#This Row],[CANTIDAD]])</f>
        <v>4671.6680000000006</v>
      </c>
      <c r="H9" s="64">
        <f>SUM(H580,H651,H696,H707,H978)</f>
        <v>82397.689999999988</v>
      </c>
      <c r="I9" s="26"/>
      <c r="T9" s="42" t="str">
        <f>GENERAL[[#This Row],[CODIGO]]</f>
        <v>CONB-O000-002</v>
      </c>
      <c r="U9" s="8">
        <f>VLOOKUP(T9,PRODUCTOS[],4,)</f>
        <v>101.55800000000001</v>
      </c>
      <c r="V9" s="8">
        <f>IFERROR(SUMIF(INICIAL[CODIGO], T9, INICIAL[CANTIDAD]), 0)
+ IFERROR(SUMIF(ENTRADAS[CODIGO], T9, ENTRADAS[CANTIDAD]), 0)
- IFERROR(SUMIF(SALIDAS[CODIGO], T9, SALIDAS[CANTIDAD]), 0)</f>
        <v>46</v>
      </c>
      <c r="W9" s="8">
        <f t="shared" si="0"/>
        <v>4671.6680000000006</v>
      </c>
    </row>
    <row r="10" spans="2:23" s="8" customFormat="1" ht="30" customHeight="1" x14ac:dyDescent="0.25">
      <c r="B10" s="37" t="str">
        <f>IF(PRODUCTOS[[#This Row],[CODIGO]]="", "", PRODUCTOS[[#This Row],[CODIGO]])</f>
        <v>CONB-O00-001</v>
      </c>
      <c r="C10" s="15" t="str">
        <f>IF(GENERAL[[#This Row],[CODIGO]]="", "", VLOOKUP(GENERAL[[#This Row],[CODIGO]], PRODUCTOS[#All], 2, FALSE))</f>
        <v xml:space="preserve">Conector ojo 2/0 Burndy corto </v>
      </c>
      <c r="D10" s="4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30</v>
      </c>
      <c r="E10" s="29" t="str">
        <f>IFERROR(IF(GENERAL[[#This Row],[CANTIDAD]]=0, "AGOTADO", IF(GENERAL[[#This Row],[CANTIDAD]]&lt;VLOOKUP(GENERAL[[#This Row],[CODIGO]], PRODUCTOS[#All], 3, FALSE), "MENOR AL MINIMO", "")), "")</f>
        <v/>
      </c>
      <c r="F10" s="41">
        <f>IF(OR(GENERAL[[#This Row],[CODIGO]]="", GENERAL[[#This Row],[CANTIDAD]]=""), "", VLOOKUP(GENERAL[[#This Row],[CODIGO]], PRODUCTOS[#All], 4, FALSE) * GENERAL[[#This Row],[CANTIDAD]])</f>
        <v>1937.6640000000002</v>
      </c>
      <c r="I10" s="26"/>
      <c r="T10" s="42" t="str">
        <f>GENERAL[[#This Row],[CODIGO]]</f>
        <v>CONB-O00-001</v>
      </c>
      <c r="U10" s="8">
        <f>VLOOKUP(T10,PRODUCTOS[],4,)</f>
        <v>64.588800000000006</v>
      </c>
      <c r="V10" s="8">
        <f>IFERROR(SUMIF(INICIAL[CODIGO], T10, INICIAL[CANTIDAD]), 0)
+ IFERROR(SUMIF(ENTRADAS[CODIGO], T10, ENTRADAS[CANTIDAD]), 0)
- IFERROR(SUMIF(SALIDAS[CODIGO], T10, SALIDAS[CANTIDAD]), 0)</f>
        <v>30</v>
      </c>
      <c r="W10" s="8">
        <f t="shared" si="0"/>
        <v>1937.6640000000002</v>
      </c>
    </row>
    <row r="11" spans="2:23" s="8" customFormat="1" ht="30" customHeight="1" x14ac:dyDescent="0.25">
      <c r="B11" s="11" t="str">
        <f>IF(PRODUCTOS[[#This Row],[CODIGO]]="", "", PRODUCTOS[[#This Row],[CODIGO]])</f>
        <v>CONB-O0-003</v>
      </c>
      <c r="C11" s="6" t="str">
        <f>IF(GENERAL[[#This Row],[CODIGO]]="", "", VLOOKUP(GENERAL[[#This Row],[CODIGO]], PRODUCTOS[#All], 2, FALSE))</f>
        <v xml:space="preserve">Conector ojo 1/0 Burndy corto </v>
      </c>
      <c r="D1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35</v>
      </c>
      <c r="E11" s="28" t="str">
        <f>IFERROR(IF(GENERAL[[#This Row],[CANTIDAD]]=0, "AGOTADO", IF(GENERAL[[#This Row],[CANTIDAD]]&lt;VLOOKUP(GENERAL[[#This Row],[CODIGO]], PRODUCTOS[#All], 3, FALSE), "MENOR AL MINIMO", "")), "")</f>
        <v/>
      </c>
      <c r="F11" s="39">
        <f>IF(OR(GENERAL[[#This Row],[CODIGO]]="", GENERAL[[#This Row],[CANTIDAD]]=""), "", VLOOKUP(GENERAL[[#This Row],[CODIGO]], PRODUCTOS[#All], 4, FALSE) * GENERAL[[#This Row],[CANTIDAD]])</f>
        <v>2256.4499999999998</v>
      </c>
      <c r="H11" s="8" t="s">
        <v>1973</v>
      </c>
      <c r="I11" s="26"/>
      <c r="T11" s="42" t="str">
        <f>GENERAL[[#This Row],[CODIGO]]</f>
        <v>CONB-O0-003</v>
      </c>
      <c r="U11" s="8">
        <f>VLOOKUP(T11,PRODUCTOS[],4,)</f>
        <v>64.47</v>
      </c>
      <c r="V11" s="8">
        <f>IFERROR(SUMIF(INICIAL[CODIGO], T11, INICIAL[CANTIDAD]), 0)
+ IFERROR(SUMIF(ENTRADAS[CODIGO], T11, ENTRADAS[CANTIDAD]), 0)
- IFERROR(SUMIF(SALIDAS[CODIGO], T11, SALIDAS[CANTIDAD]), 0)</f>
        <v>35</v>
      </c>
      <c r="W11" s="8">
        <f t="shared" si="0"/>
        <v>2256.4499999999998</v>
      </c>
    </row>
    <row r="12" spans="2:23" s="8" customFormat="1" ht="30" customHeight="1" x14ac:dyDescent="0.25">
      <c r="B12" s="11" t="str">
        <f>IF(PRODUCTOS[[#This Row],[CODIGO]]="", "", PRODUCTOS[[#This Row],[CODIGO]])</f>
        <v>CONB-O02-009</v>
      </c>
      <c r="C12" s="6" t="str">
        <f>IF(GENERAL[[#This Row],[CODIGO]]="", "", VLOOKUP(GENERAL[[#This Row],[CODIGO]], PRODUCTOS[#All], 2, FALSE))</f>
        <v xml:space="preserve">Conector ojo 2 Burndy corto </v>
      </c>
      <c r="D1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31</v>
      </c>
      <c r="E12" s="28" t="str">
        <f>IFERROR(IF(GENERAL[[#This Row],[CANTIDAD]]=0, "AGOTADO", IF(GENERAL[[#This Row],[CANTIDAD]]&lt;VLOOKUP(GENERAL[[#This Row],[CODIGO]], PRODUCTOS[#All], 3, FALSE), "MENOR AL MINIMO", "")), "")</f>
        <v/>
      </c>
      <c r="F12" s="39">
        <f>IF(OR(GENERAL[[#This Row],[CODIGO]]="", GENERAL[[#This Row],[CANTIDAD]]=""), "", VLOOKUP(GENERAL[[#This Row],[CODIGO]], PRODUCTOS[#All], 4, FALSE) * GENERAL[[#This Row],[CANTIDAD]])</f>
        <v>1985.55</v>
      </c>
      <c r="H12" s="64">
        <f>SUM(H7,H9)</f>
        <v>805837.64977120003</v>
      </c>
      <c r="I12" s="26"/>
      <c r="T12" s="42" t="str">
        <f>GENERAL[[#This Row],[CODIGO]]</f>
        <v>CONB-O02-009</v>
      </c>
      <c r="U12" s="8">
        <f>VLOOKUP(T12,PRODUCTOS[],4,)</f>
        <v>64.05</v>
      </c>
      <c r="V12" s="8">
        <f>IFERROR(SUMIF(INICIAL[CODIGO], T12, INICIAL[CANTIDAD]), 0)
+ IFERROR(SUMIF(ENTRADAS[CODIGO], T12, ENTRADAS[CANTIDAD]), 0)
- IFERROR(SUMIF(SALIDAS[CODIGO], T12, SALIDAS[CANTIDAD]), 0)</f>
        <v>31</v>
      </c>
      <c r="W12" s="8">
        <f t="shared" si="0"/>
        <v>1985.55</v>
      </c>
    </row>
    <row r="13" spans="2:23" s="8" customFormat="1" ht="30" customHeight="1" x14ac:dyDescent="0.25">
      <c r="B13" s="11" t="str">
        <f>IF(PRODUCTOS[[#This Row],[CODIGO]]="", "", PRODUCTOS[[#This Row],[CODIGO]])</f>
        <v>CONB-O04-004</v>
      </c>
      <c r="C13" s="6" t="str">
        <f>IF(GENERAL[[#This Row],[CODIGO]]="", "", VLOOKUP(GENERAL[[#This Row],[CODIGO]], PRODUCTOS[#All], 2, FALSE))</f>
        <v xml:space="preserve">Conector ojo 4 Burndy corto </v>
      </c>
      <c r="D1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26</v>
      </c>
      <c r="E13" s="28" t="str">
        <f>IFERROR(IF(GENERAL[[#This Row],[CANTIDAD]]=0, "AGOTADO", IF(GENERAL[[#This Row],[CANTIDAD]]&lt;VLOOKUP(GENERAL[[#This Row],[CODIGO]], PRODUCTOS[#All], 3, FALSE), "MENOR AL MINIMO", "")), "")</f>
        <v/>
      </c>
      <c r="F13" s="39">
        <f>IF(OR(GENERAL[[#This Row],[CODIGO]]="", GENERAL[[#This Row],[CANTIDAD]]=""), "", VLOOKUP(GENERAL[[#This Row],[CODIGO]], PRODUCTOS[#All], 4, FALSE) * GENERAL[[#This Row],[CANTIDAD]])</f>
        <v>1751.0895999999998</v>
      </c>
      <c r="I13" s="26"/>
      <c r="T13" s="42" t="str">
        <f>GENERAL[[#This Row],[CODIGO]]</f>
        <v>CONB-O04-004</v>
      </c>
      <c r="U13" s="8">
        <f>VLOOKUP(T13,PRODUCTOS[],4,)</f>
        <v>67.349599999999995</v>
      </c>
      <c r="V13" s="8">
        <f>IFERROR(SUMIF(INICIAL[CODIGO], T13, INICIAL[CANTIDAD]), 0)
+ IFERROR(SUMIF(ENTRADAS[CODIGO], T13, ENTRADAS[CANTIDAD]), 0)
- IFERROR(SUMIF(SALIDAS[CODIGO], T13, SALIDAS[CANTIDAD]), 0)</f>
        <v>26</v>
      </c>
      <c r="W13" s="8">
        <f t="shared" si="0"/>
        <v>1751.0895999999998</v>
      </c>
    </row>
    <row r="14" spans="2:23" s="8" customFormat="1" ht="30" customHeight="1" x14ac:dyDescent="0.25">
      <c r="B14" s="11" t="str">
        <f>IF(PRODUCTOS[[#This Row],[CODIGO]]="", "", PRODUCTOS[[#This Row],[CODIGO]])</f>
        <v>CONB-O250-008</v>
      </c>
      <c r="C14" s="6" t="str">
        <f>IF(GENERAL[[#This Row],[CODIGO]]="", "", VLOOKUP(GENERAL[[#This Row],[CODIGO]], PRODUCTOS[#All], 2, FALSE))</f>
        <v xml:space="preserve">Conector ojo 250 KCMIL Burndy largo </v>
      </c>
      <c r="D1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15</v>
      </c>
      <c r="E14" s="28" t="str">
        <f>IFERROR(IF(GENERAL[[#This Row],[CANTIDAD]]=0, "AGOTADO", IF(GENERAL[[#This Row],[CANTIDAD]]&lt;VLOOKUP(GENERAL[[#This Row],[CODIGO]], PRODUCTOS[#All], 3, FALSE), "MENOR AL MINIMO", "")), "")</f>
        <v/>
      </c>
      <c r="F14" s="39">
        <f>IF(OR(GENERAL[[#This Row],[CODIGO]]="", GENERAL[[#This Row],[CANTIDAD]]=""), "", VLOOKUP(GENERAL[[#This Row],[CODIGO]], PRODUCTOS[#All], 4, FALSE) * GENERAL[[#This Row],[CANTIDAD]])</f>
        <v>4260.1499999999996</v>
      </c>
      <c r="I14" s="26"/>
      <c r="T14" s="42" t="str">
        <f>GENERAL[[#This Row],[CODIGO]]</f>
        <v>CONB-O250-008</v>
      </c>
      <c r="U14" s="8">
        <f>VLOOKUP(T14,PRODUCTOS[],4,)</f>
        <v>284.01</v>
      </c>
      <c r="V14" s="8">
        <f>IFERROR(SUMIF(INICIAL[CODIGO], T14, INICIAL[CANTIDAD]), 0)
+ IFERROR(SUMIF(ENTRADAS[CODIGO], T14, ENTRADAS[CANTIDAD]), 0)
- IFERROR(SUMIF(SALIDAS[CODIGO], T14, SALIDAS[CANTIDAD]), 0)</f>
        <v>15</v>
      </c>
      <c r="W14" s="8">
        <f t="shared" si="0"/>
        <v>4260.1499999999996</v>
      </c>
    </row>
    <row r="15" spans="2:23" s="8" customFormat="1" ht="30" customHeight="1" x14ac:dyDescent="0.25">
      <c r="B15" s="11" t="str">
        <f>IF(PRODUCTOS[[#This Row],[CODIGO]]="", "", PRODUCTOS[[#This Row],[CODIGO]])</f>
        <v>CONB-O350-007</v>
      </c>
      <c r="C15" s="6" t="str">
        <f>IF(GENERAL[[#This Row],[CODIGO]]="", "", VLOOKUP(GENERAL[[#This Row],[CODIGO]], PRODUCTOS[#All], 2, FALSE))</f>
        <v xml:space="preserve">Conector ojo 350 KCMIL Burndy largo </v>
      </c>
      <c r="D1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14</v>
      </c>
      <c r="E15" s="28" t="str">
        <f>IFERROR(IF(GENERAL[[#This Row],[CANTIDAD]]=0, "AGOTADO", IF(GENERAL[[#This Row],[CANTIDAD]]&lt;VLOOKUP(GENERAL[[#This Row],[CODIGO]], PRODUCTOS[#All], 3, FALSE), "MENOR AL MINIMO", "")), "")</f>
        <v/>
      </c>
      <c r="F15" s="39">
        <f>IF(OR(GENERAL[[#This Row],[CODIGO]]="", GENERAL[[#This Row],[CANTIDAD]]=""), "", VLOOKUP(GENERAL[[#This Row],[CODIGO]], PRODUCTOS[#All], 4, FALSE) * GENERAL[[#This Row],[CANTIDAD]])</f>
        <v>2601.06</v>
      </c>
      <c r="I15" s="26"/>
      <c r="T15" s="42" t="str">
        <f>GENERAL[[#This Row],[CODIGO]]</f>
        <v>CONB-O350-007</v>
      </c>
      <c r="U15" s="8">
        <f>VLOOKUP(T15,PRODUCTOS[],4,)</f>
        <v>185.79</v>
      </c>
      <c r="V15" s="8">
        <f>IFERROR(SUMIF(INICIAL[CODIGO], T15, INICIAL[CANTIDAD]), 0)
+ IFERROR(SUMIF(ENTRADAS[CODIGO], T15, ENTRADAS[CANTIDAD]), 0)
- IFERROR(SUMIF(SALIDAS[CODIGO], T15, SALIDAS[CANTIDAD]), 0)</f>
        <v>14</v>
      </c>
      <c r="W15" s="8">
        <f t="shared" si="0"/>
        <v>2601.06</v>
      </c>
    </row>
    <row r="16" spans="2:23" s="8" customFormat="1" ht="30" customHeight="1" x14ac:dyDescent="0.25">
      <c r="B16" s="11" t="str">
        <f>IF(PRODUCTOS[[#This Row],[CODIGO]]="", "", PRODUCTOS[[#This Row],[CODIGO]])</f>
        <v>CONB-T0000-04</v>
      </c>
      <c r="C16" s="6" t="str">
        <f>IF(GENERAL[[#This Row],[CODIGO]]="", "", VLOOKUP(GENERAL[[#This Row],[CODIGO]], PRODUCTOS[#All], 2, FALSE))</f>
        <v xml:space="preserve">Conector tope 4/0 AWG Burndy corto </v>
      </c>
      <c r="D1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23</v>
      </c>
      <c r="E16" s="28" t="str">
        <f>IFERROR(IF(GENERAL[[#This Row],[CANTIDAD]]=0, "AGOTADO", IF(GENERAL[[#This Row],[CANTIDAD]]&lt;VLOOKUP(GENERAL[[#This Row],[CODIGO]], PRODUCTOS[#All], 3, FALSE), "MENOR AL MINIMO", "")), "")</f>
        <v/>
      </c>
      <c r="F16" s="39">
        <f>IF(OR(GENERAL[[#This Row],[CODIGO]]="", GENERAL[[#This Row],[CANTIDAD]]=""), "", VLOOKUP(GENERAL[[#This Row],[CODIGO]], PRODUCTOS[#All], 4, FALSE) * GENERAL[[#This Row],[CANTIDAD]])</f>
        <v>2548.17</v>
      </c>
      <c r="T16" s="42" t="str">
        <f>GENERAL[[#This Row],[CODIGO]]</f>
        <v>CONB-T0000-04</v>
      </c>
      <c r="U16" s="8">
        <f>VLOOKUP(T16,PRODUCTOS[],4,)</f>
        <v>110.79</v>
      </c>
      <c r="V16" s="8">
        <f>IFERROR(SUMIF(INICIAL[CODIGO], T16, INICIAL[CANTIDAD]), 0)
+ IFERROR(SUMIF(ENTRADAS[CODIGO], T16, ENTRADAS[CANTIDAD]), 0)
- IFERROR(SUMIF(SALIDAS[CODIGO], T16, SALIDAS[CANTIDAD]), 0)</f>
        <v>23</v>
      </c>
      <c r="W16" s="8">
        <f t="shared" si="0"/>
        <v>2548.17</v>
      </c>
    </row>
    <row r="17" spans="2:23" s="8" customFormat="1" ht="30" customHeight="1" x14ac:dyDescent="0.25">
      <c r="B17" s="11" t="str">
        <f>IF(PRODUCTOS[[#This Row],[CODIGO]]="", "", PRODUCTOS[[#This Row],[CODIGO]])</f>
        <v>CONB-T000-02</v>
      </c>
      <c r="C17" s="6" t="str">
        <f>IF(GENERAL[[#This Row],[CODIGO]]="", "", VLOOKUP(GENERAL[[#This Row],[CODIGO]], PRODUCTOS[#All], 2, FALSE))</f>
        <v xml:space="preserve">Conector tope 3/0 Burndy corto </v>
      </c>
      <c r="D1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22</v>
      </c>
      <c r="E17" s="28" t="str">
        <f>IFERROR(IF(GENERAL[[#This Row],[CANTIDAD]]=0, "AGOTADO", IF(GENERAL[[#This Row],[CANTIDAD]]&lt;VLOOKUP(GENERAL[[#This Row],[CODIGO]], PRODUCTOS[#All], 3, FALSE), "MENOR AL MINIMO", "")), "")</f>
        <v/>
      </c>
      <c r="F17" s="39">
        <f>IF(OR(GENERAL[[#This Row],[CODIGO]]="", GENERAL[[#This Row],[CANTIDAD]]=""), "", VLOOKUP(GENERAL[[#This Row],[CODIGO]], PRODUCTOS[#All], 4, FALSE) * GENERAL[[#This Row],[CANTIDAD]])</f>
        <v>2166.384</v>
      </c>
      <c r="T17" s="42" t="str">
        <f>GENERAL[[#This Row],[CODIGO]]</f>
        <v>CONB-T000-02</v>
      </c>
      <c r="U17" s="8">
        <f>VLOOKUP(T17,PRODUCTOS[],4,)</f>
        <v>98.471999999999994</v>
      </c>
      <c r="V17" s="8">
        <f>IFERROR(SUMIF(INICIAL[CODIGO], T17, INICIAL[CANTIDAD]), 0)
+ IFERROR(SUMIF(ENTRADAS[CODIGO], T17, ENTRADAS[CANTIDAD]), 0)
- IFERROR(SUMIF(SALIDAS[CODIGO], T17, SALIDAS[CANTIDAD]), 0)</f>
        <v>22</v>
      </c>
      <c r="W17" s="8">
        <f t="shared" si="0"/>
        <v>2166.384</v>
      </c>
    </row>
    <row r="18" spans="2:23" s="8" customFormat="1" ht="30" customHeight="1" x14ac:dyDescent="0.25">
      <c r="B18" s="11" t="str">
        <f>IF(PRODUCTOS[[#This Row],[CODIGO]]="", "", PRODUCTOS[[#This Row],[CODIGO]])</f>
        <v>CONB-T00-01</v>
      </c>
      <c r="C18" s="6" t="str">
        <f>IF(GENERAL[[#This Row],[CODIGO]]="", "", VLOOKUP(GENERAL[[#This Row],[CODIGO]], PRODUCTOS[#All], 2, FALSE))</f>
        <v xml:space="preserve">Conector tope 2/0 Burndy corto </v>
      </c>
      <c r="D1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33</v>
      </c>
      <c r="E18" s="28" t="str">
        <f>IFERROR(IF(GENERAL[[#This Row],[CANTIDAD]]=0, "AGOTADO", IF(GENERAL[[#This Row],[CANTIDAD]]&lt;VLOOKUP(GENERAL[[#This Row],[CODIGO]], PRODUCTOS[#All], 3, FALSE), "MENOR AL MINIMO", "")), "")</f>
        <v/>
      </c>
      <c r="F18" s="39">
        <f>IF(OR(GENERAL[[#This Row],[CODIGO]]="", GENERAL[[#This Row],[CANTIDAD]]=""), "", VLOOKUP(GENERAL[[#This Row],[CODIGO]], PRODUCTOS[#All], 4, FALSE) * GENERAL[[#This Row],[CANTIDAD]])</f>
        <v>2781.8076000000001</v>
      </c>
      <c r="T18" s="42" t="str">
        <f>GENERAL[[#This Row],[CODIGO]]</f>
        <v>CONB-T00-01</v>
      </c>
      <c r="U18" s="8">
        <f>VLOOKUP(T18,PRODUCTOS[],4,)</f>
        <v>84.297200000000004</v>
      </c>
      <c r="V18" s="8">
        <f>IFERROR(SUMIF(INICIAL[CODIGO], T18, INICIAL[CANTIDAD]), 0)
+ IFERROR(SUMIF(ENTRADAS[CODIGO], T18, ENTRADAS[CANTIDAD]), 0)
- IFERROR(SUMIF(SALIDAS[CODIGO], T18, SALIDAS[CANTIDAD]), 0)</f>
        <v>33</v>
      </c>
      <c r="W18" s="8">
        <f t="shared" si="0"/>
        <v>2781.8076000000001</v>
      </c>
    </row>
    <row r="19" spans="2:23" s="8" customFormat="1" ht="30" customHeight="1" x14ac:dyDescent="0.25">
      <c r="B19" s="11" t="str">
        <f>IF(PRODUCTOS[[#This Row],[CODIGO]]="", "", PRODUCTOS[[#This Row],[CODIGO]])</f>
        <v>CONB-T000-10</v>
      </c>
      <c r="C19" s="6" t="str">
        <f>IF(GENERAL[[#This Row],[CODIGO]]="", "", VLOOKUP(GENERAL[[#This Row],[CODIGO]], PRODUCTOS[#All], 2, FALSE))</f>
        <v xml:space="preserve">Conector tope 3/0 Burndy largo </v>
      </c>
      <c r="D1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9" s="28" t="str">
        <f>IFERROR(IF(GENERAL[[#This Row],[CANTIDAD]]=0, "AGOTADO", IF(GENERAL[[#This Row],[CANTIDAD]]&lt;VLOOKUP(GENERAL[[#This Row],[CODIGO]], PRODUCTOS[#All], 3, FALSE), "MENOR AL MINIMO", "")), "")</f>
        <v/>
      </c>
      <c r="F19" s="39">
        <f>IF(OR(GENERAL[[#This Row],[CODIGO]]="", GENERAL[[#This Row],[CANTIDAD]]=""), "", VLOOKUP(GENERAL[[#This Row],[CODIGO]], PRODUCTOS[#All], 4, FALSE) * GENERAL[[#This Row],[CANTIDAD]])</f>
        <v>90.74</v>
      </c>
    </row>
    <row r="20" spans="2:23" s="8" customFormat="1" ht="30" customHeight="1" x14ac:dyDescent="0.25">
      <c r="B20" s="11" t="str">
        <f>IF(PRODUCTOS[[#This Row],[CODIGO]]="", "", PRODUCTOS[[#This Row],[CODIGO]])</f>
        <v>CONB-T0-03</v>
      </c>
      <c r="C20" s="6" t="str">
        <f>IF(GENERAL[[#This Row],[CODIGO]]="", "", VLOOKUP(GENERAL[[#This Row],[CODIGO]], PRODUCTOS[#All], 2, FALSE))</f>
        <v xml:space="preserve">Conctor tope 1/0 Burndy corto </v>
      </c>
      <c r="D2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32</v>
      </c>
      <c r="E20" s="28" t="str">
        <f>IFERROR(IF(GENERAL[[#This Row],[CANTIDAD]]=0, "AGOTADO", IF(GENERAL[[#This Row],[CANTIDAD]]&lt;VLOOKUP(GENERAL[[#This Row],[CODIGO]], PRODUCTOS[#All], 3, FALSE), "MENOR AL MINIMO", "")), "")</f>
        <v/>
      </c>
      <c r="F20" s="39">
        <f>IF(OR(GENERAL[[#This Row],[CODIGO]]="", GENERAL[[#This Row],[CANTIDAD]]=""), "", VLOOKUP(GENERAL[[#This Row],[CODIGO]], PRODUCTOS[#All], 4, FALSE) * GENERAL[[#This Row],[CANTIDAD]])</f>
        <v>2462.5408000000002</v>
      </c>
    </row>
    <row r="21" spans="2:23" s="8" customFormat="1" ht="30" customHeight="1" x14ac:dyDescent="0.25">
      <c r="B21" s="11" t="str">
        <f>IF(PRODUCTOS[[#This Row],[CODIGO]]="", "", PRODUCTOS[[#This Row],[CODIGO]])</f>
        <v>CONB-T02-06</v>
      </c>
      <c r="C21" s="6" t="str">
        <f>IF(GENERAL[[#This Row],[CODIGO]]="", "", VLOOKUP(GENERAL[[#This Row],[CODIGO]], PRODUCTOS[#All], 2, FALSE))</f>
        <v xml:space="preserve">Conector tope 2 Burndy corto </v>
      </c>
      <c r="D2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26</v>
      </c>
      <c r="E21" s="28" t="str">
        <f>IFERROR(IF(GENERAL[[#This Row],[CANTIDAD]]=0, "AGOTADO", IF(GENERAL[[#This Row],[CANTIDAD]]&lt;VLOOKUP(GENERAL[[#This Row],[CODIGO]], PRODUCTOS[#All], 3, FALSE), "MENOR AL MINIMO", "")), "")</f>
        <v/>
      </c>
      <c r="F21" s="39">
        <f>IF(OR(GENERAL[[#This Row],[CODIGO]]="", GENERAL[[#This Row],[CANTIDAD]]=""), "", VLOOKUP(GENERAL[[#This Row],[CODIGO]], PRODUCTOS[#All], 4, FALSE) * GENERAL[[#This Row],[CANTIDAD]])</f>
        <v>1710.6751999999999</v>
      </c>
    </row>
    <row r="22" spans="2:23" s="8" customFormat="1" ht="30" customHeight="1" x14ac:dyDescent="0.25">
      <c r="B22" s="11" t="str">
        <f>IF(PRODUCTOS[[#This Row],[CODIGO]]="", "", PRODUCTOS[[#This Row],[CODIGO]])</f>
        <v>CONB-T04-07</v>
      </c>
      <c r="C22" s="6" t="str">
        <f>IF(GENERAL[[#This Row],[CODIGO]]="", "", VLOOKUP(GENERAL[[#This Row],[CODIGO]], PRODUCTOS[#All], 2, FALSE))</f>
        <v>Conector tope 4 Burndy corto</v>
      </c>
      <c r="D2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9</v>
      </c>
      <c r="E22" s="28" t="str">
        <f>IFERROR(IF(GENERAL[[#This Row],[CANTIDAD]]=0, "AGOTADO", IF(GENERAL[[#This Row],[CANTIDAD]]&lt;VLOOKUP(GENERAL[[#This Row],[CODIGO]], PRODUCTOS[#All], 3, FALSE), "MENOR AL MINIMO", "")), "")</f>
        <v/>
      </c>
      <c r="F22" s="39">
        <f>IF(OR(GENERAL[[#This Row],[CODIGO]]="", GENERAL[[#This Row],[CANTIDAD]]=""), "", VLOOKUP(GENERAL[[#This Row],[CODIGO]], PRODUCTOS[#All], 4, FALSE) * GENERAL[[#This Row],[CANTIDAD]])</f>
        <v>274.32</v>
      </c>
    </row>
    <row r="23" spans="2:23" s="8" customFormat="1" ht="30" customHeight="1" x14ac:dyDescent="0.25">
      <c r="B23" s="11" t="str">
        <f>IF(PRODUCTOS[[#This Row],[CODIGO]]="", "", PRODUCTOS[[#This Row],[CODIGO]])</f>
        <v>CONB-T06-09</v>
      </c>
      <c r="C23" s="6" t="str">
        <f>IF(GENERAL[[#This Row],[CODIGO]]="", "", VLOOKUP(GENERAL[[#This Row],[CODIGO]], PRODUCTOS[#All], 2, FALSE))</f>
        <v xml:space="preserve">Conector tope 6 Burndy corto </v>
      </c>
      <c r="D2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23" s="28" t="str">
        <f>IFERROR(IF(GENERAL[[#This Row],[CANTIDAD]]=0, "AGOTADO", IF(GENERAL[[#This Row],[CANTIDAD]]&lt;VLOOKUP(GENERAL[[#This Row],[CODIGO]], PRODUCTOS[#All], 3, FALSE), "MENOR AL MINIMO", "")), "")</f>
        <v/>
      </c>
      <c r="F23" s="39">
        <f>IF(OR(GENERAL[[#This Row],[CODIGO]]="", GENERAL[[#This Row],[CANTIDAD]]=""), "", VLOOKUP(GENERAL[[#This Row],[CODIGO]], PRODUCTOS[#All], 4, FALSE) * GENERAL[[#This Row],[CANTIDAD]])</f>
        <v>385.32</v>
      </c>
    </row>
    <row r="24" spans="2:23" s="8" customFormat="1" ht="30" customHeight="1" x14ac:dyDescent="0.25">
      <c r="B24" s="11" t="str">
        <f>IF(PRODUCTOS[[#This Row],[CODIGO]]="", "", PRODUCTOS[[#This Row],[CODIGO]])</f>
        <v>CONB-T250-05</v>
      </c>
      <c r="C24" s="6" t="str">
        <f>IF(GENERAL[[#This Row],[CODIGO]]="", "", VLOOKUP(GENERAL[[#This Row],[CODIGO]], PRODUCTOS[#All], 2, FALSE))</f>
        <v xml:space="preserve">Conector tope 250 KCMIL Burndy corto </v>
      </c>
      <c r="D2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24" s="28" t="str">
        <f>IFERROR(IF(GENERAL[[#This Row],[CANTIDAD]]=0, "AGOTADO", IF(GENERAL[[#This Row],[CANTIDAD]]&lt;VLOOKUP(GENERAL[[#This Row],[CODIGO]], PRODUCTOS[#All], 3, FALSE), "MENOR AL MINIMO", "")), "")</f>
        <v/>
      </c>
      <c r="F24" s="39">
        <f>IF(OR(GENERAL[[#This Row],[CODIGO]]="", GENERAL[[#This Row],[CANTIDAD]]=""), "", VLOOKUP(GENERAL[[#This Row],[CODIGO]], PRODUCTOS[#All], 4, FALSE) * GENERAL[[#This Row],[CANTIDAD]])</f>
        <v>1819.8000000000002</v>
      </c>
    </row>
    <row r="25" spans="2:23" s="8" customFormat="1" ht="30" customHeight="1" x14ac:dyDescent="0.25">
      <c r="B25" s="11" t="str">
        <f>IF(PRODUCTOS[[#This Row],[CODIGO]]="", "", PRODUCTOS[[#This Row],[CODIGO]])</f>
        <v>CONB-T250-11</v>
      </c>
      <c r="C25" s="6" t="str">
        <f>IF(GENERAL[[#This Row],[CODIGO]]="", "", VLOOKUP(GENERAL[[#This Row],[CODIGO]], PRODUCTOS[#All], 2, FALSE))</f>
        <v>Conector tope 250 KCMIL Burndy largo</v>
      </c>
      <c r="D2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25" s="28" t="str">
        <f>IFERROR(IF(GENERAL[[#This Row],[CANTIDAD]]=0, "AGOTADO", IF(GENERAL[[#This Row],[CANTIDAD]]&lt;VLOOKUP(GENERAL[[#This Row],[CODIGO]], PRODUCTOS[#All], 3, FALSE), "MENOR AL MINIMO", "")), "")</f>
        <v>AGOTADO</v>
      </c>
      <c r="F25" s="39">
        <f>IF(OR(GENERAL[[#This Row],[CODIGO]]="", GENERAL[[#This Row],[CANTIDAD]]=""), "", VLOOKUP(GENERAL[[#This Row],[CODIGO]], PRODUCTOS[#All], 4, FALSE) * GENERAL[[#This Row],[CANTIDAD]])</f>
        <v>0</v>
      </c>
    </row>
    <row r="26" spans="2:23" s="8" customFormat="1" ht="30" customHeight="1" x14ac:dyDescent="0.25">
      <c r="B26" s="11" t="str">
        <f>IF(PRODUCTOS[[#This Row],[CODIGO]]="", "", PRODUCTOS[[#This Row],[CODIGO]])</f>
        <v>CONB-T500-08</v>
      </c>
      <c r="C26" s="6" t="str">
        <f>IF(GENERAL[[#This Row],[CODIGO]]="", "", VLOOKUP(GENERAL[[#This Row],[CODIGO]], PRODUCTOS[#All], 2, FALSE))</f>
        <v>Conector tope 500 KCMIL Burndy</v>
      </c>
      <c r="D2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26" s="28" t="str">
        <f>IFERROR(IF(GENERAL[[#This Row],[CANTIDAD]]=0, "AGOTADO", IF(GENERAL[[#This Row],[CANTIDAD]]&lt;VLOOKUP(GENERAL[[#This Row],[CODIGO]], PRODUCTOS[#All], 3, FALSE), "MENOR AL MINIMO", "")), "")</f>
        <v/>
      </c>
      <c r="F26" s="39">
        <f>IF(OR(GENERAL[[#This Row],[CODIGO]]="", GENERAL[[#This Row],[CANTIDAD]]=""), "", VLOOKUP(GENERAL[[#This Row],[CODIGO]], PRODUCTOS[#All], 4, FALSE) * GENERAL[[#This Row],[CANTIDAD]])</f>
        <v>852.35</v>
      </c>
    </row>
    <row r="27" spans="2:23" s="8" customFormat="1" ht="30" customHeight="1" x14ac:dyDescent="0.25">
      <c r="B27" s="11" t="str">
        <f>IF(PRODUCTOS[[#This Row],[CODIGO]]="", "", PRODUCTOS[[#This Row],[CODIGO]])</f>
        <v>CONC-O0000-001</v>
      </c>
      <c r="C27" s="6" t="str">
        <f>IF(GENERAL[[#This Row],[CODIGO]]="", "", VLOOKUP(GENERAL[[#This Row],[CODIGO]], PRODUCTOS[#All], 2, FALSE))</f>
        <v xml:space="preserve">Conec. Ojo 4/0 </v>
      </c>
      <c r="D2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21</v>
      </c>
      <c r="E27" s="28" t="str">
        <f>IFERROR(IF(GENERAL[[#This Row],[CANTIDAD]]=0, "AGOTADO", IF(GENERAL[[#This Row],[CANTIDAD]]&lt;VLOOKUP(GENERAL[[#This Row],[CODIGO]], PRODUCTOS[#All], 3, FALSE), "MENOR AL MINIMO", "")), "")</f>
        <v/>
      </c>
      <c r="F27" s="39">
        <f>IF(OR(GENERAL[[#This Row],[CODIGO]]="", GENERAL[[#This Row],[CANTIDAD]]=""), "", VLOOKUP(GENERAL[[#This Row],[CODIGO]], PRODUCTOS[#All], 4, FALSE) * GENERAL[[#This Row],[CANTIDAD]])</f>
        <v>1408.008</v>
      </c>
    </row>
    <row r="28" spans="2:23" s="8" customFormat="1" ht="30" customHeight="1" x14ac:dyDescent="0.25">
      <c r="B28" s="11" t="str">
        <f>IF(PRODUCTOS[[#This Row],[CODIGO]]="", "", PRODUCTOS[[#This Row],[CODIGO]])</f>
        <v>CONC-O000-006</v>
      </c>
      <c r="C28" s="6" t="str">
        <f>IF(GENERAL[[#This Row],[CODIGO]]="", "", VLOOKUP(GENERAL[[#This Row],[CODIGO]], PRODUCTOS[#All], 2, FALSE))</f>
        <v>Conec. Ojo 3/0</v>
      </c>
      <c r="D2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23</v>
      </c>
      <c r="E28" s="28" t="str">
        <f>IFERROR(IF(GENERAL[[#This Row],[CANTIDAD]]=0, "AGOTADO", IF(GENERAL[[#This Row],[CANTIDAD]]&lt;VLOOKUP(GENERAL[[#This Row],[CODIGO]], PRODUCTOS[#All], 3, FALSE), "MENOR AL MINIMO", "")), "")</f>
        <v/>
      </c>
      <c r="F28" s="39">
        <f>IF(OR(GENERAL[[#This Row],[CODIGO]]="", GENERAL[[#This Row],[CANTIDAD]]=""), "", VLOOKUP(GENERAL[[#This Row],[CODIGO]], PRODUCTOS[#All], 4, FALSE) * GENERAL[[#This Row],[CANTIDAD]])</f>
        <v>1132.29</v>
      </c>
    </row>
    <row r="29" spans="2:23" s="8" customFormat="1" ht="30" customHeight="1" x14ac:dyDescent="0.25">
      <c r="B29" s="11" t="str">
        <f>IF(PRODUCTOS[[#This Row],[CODIGO]]="", "", PRODUCTOS[[#This Row],[CODIGO]])</f>
        <v>CONC-O00-004</v>
      </c>
      <c r="C29" s="6" t="str">
        <f>IF(GENERAL[[#This Row],[CODIGO]]="", "", VLOOKUP(GENERAL[[#This Row],[CODIGO]], PRODUCTOS[#All], 2, FALSE))</f>
        <v>Conec. Ojo 2/0</v>
      </c>
      <c r="D2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29</v>
      </c>
      <c r="E29" s="28" t="str">
        <f>IFERROR(IF(GENERAL[[#This Row],[CANTIDAD]]=0, "AGOTADO", IF(GENERAL[[#This Row],[CANTIDAD]]&lt;VLOOKUP(GENERAL[[#This Row],[CODIGO]], PRODUCTOS[#All], 3, FALSE), "MENOR AL MINIMO", "")), "")</f>
        <v/>
      </c>
      <c r="F29" s="39">
        <f>IF(OR(GENERAL[[#This Row],[CODIGO]]="", GENERAL[[#This Row],[CANTIDAD]]=""), "", VLOOKUP(GENERAL[[#This Row],[CODIGO]], PRODUCTOS[#All], 4, FALSE) * GENERAL[[#This Row],[CANTIDAD]])</f>
        <v>978.58759999999995</v>
      </c>
    </row>
    <row r="30" spans="2:23" s="8" customFormat="1" ht="30" customHeight="1" x14ac:dyDescent="0.25">
      <c r="B30" s="11" t="str">
        <f>IF(PRODUCTOS[[#This Row],[CODIGO]]="", "", PRODUCTOS[[#This Row],[CODIGO]])</f>
        <v>CONC-O0-003</v>
      </c>
      <c r="C30" s="6" t="str">
        <f>IF(GENERAL[[#This Row],[CODIGO]]="", "", VLOOKUP(GENERAL[[#This Row],[CODIGO]], PRODUCTOS[#All], 2, FALSE))</f>
        <v>Conec. Ojo 1/0</v>
      </c>
      <c r="D3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0" s="28" t="str">
        <f>IFERROR(IF(GENERAL[[#This Row],[CANTIDAD]]=0, "AGOTADO", IF(GENERAL[[#This Row],[CANTIDAD]]&lt;VLOOKUP(GENERAL[[#This Row],[CODIGO]], PRODUCTOS[#All], 3, FALSE), "MENOR AL MINIMO", "")), "")</f>
        <v/>
      </c>
      <c r="F30" s="39">
        <f>IF(OR(GENERAL[[#This Row],[CODIGO]]="", GENERAL[[#This Row],[CANTIDAD]]=""), "", VLOOKUP(GENERAL[[#This Row],[CODIGO]], PRODUCTOS[#All], 4, FALSE) * GENERAL[[#This Row],[CANTIDAD]])</f>
        <v>30.16</v>
      </c>
    </row>
    <row r="31" spans="2:23" s="8" customFormat="1" ht="30" customHeight="1" x14ac:dyDescent="0.25">
      <c r="B31" s="11" t="str">
        <f>IF(PRODUCTOS[[#This Row],[CODIGO]]="", "", PRODUCTOS[[#This Row],[CODIGO]])</f>
        <v>CONC-O02-002</v>
      </c>
      <c r="C31" s="6" t="str">
        <f>IF(GENERAL[[#This Row],[CODIGO]]="", "", VLOOKUP(GENERAL[[#This Row],[CODIGO]], PRODUCTOS[#All], 2, FALSE))</f>
        <v>Conect. Ojo #2</v>
      </c>
      <c r="D3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37</v>
      </c>
      <c r="E31" s="28" t="str">
        <f>IFERROR(IF(GENERAL[[#This Row],[CANTIDAD]]=0, "AGOTADO", IF(GENERAL[[#This Row],[CANTIDAD]]&lt;VLOOKUP(GENERAL[[#This Row],[CODIGO]], PRODUCTOS[#All], 3, FALSE), "MENOR AL MINIMO", "")), "")</f>
        <v/>
      </c>
      <c r="F31" s="39">
        <f>IF(OR(GENERAL[[#This Row],[CODIGO]]="", GENERAL[[#This Row],[CANTIDAD]]=""), "", VLOOKUP(GENERAL[[#This Row],[CODIGO]], PRODUCTOS[#All], 4, FALSE) * GENERAL[[#This Row],[CANTIDAD]])</f>
        <v>729.64</v>
      </c>
    </row>
    <row r="32" spans="2:23" s="8" customFormat="1" ht="30" customHeight="1" x14ac:dyDescent="0.25">
      <c r="B32" s="11" t="str">
        <f>IF(PRODUCTOS[[#This Row],[CODIGO]]="", "", PRODUCTOS[[#This Row],[CODIGO]])</f>
        <v>CONC-O04-005</v>
      </c>
      <c r="C32" s="6" t="str">
        <f>IF(GENERAL[[#This Row],[CODIGO]]="", "", VLOOKUP(GENERAL[[#This Row],[CODIGO]], PRODUCTOS[#All], 2, FALSE))</f>
        <v>Conec. Ojo #4</v>
      </c>
      <c r="D3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24</v>
      </c>
      <c r="E32" s="28" t="str">
        <f>IFERROR(IF(GENERAL[[#This Row],[CANTIDAD]]=0, "AGOTADO", IF(GENERAL[[#This Row],[CANTIDAD]]&lt;VLOOKUP(GENERAL[[#This Row],[CODIGO]], PRODUCTOS[#All], 3, FALSE), "MENOR AL MINIMO", "")), "")</f>
        <v/>
      </c>
      <c r="F32" s="39">
        <f>IF(OR(GENERAL[[#This Row],[CODIGO]]="", GENERAL[[#This Row],[CANTIDAD]]=""), "", VLOOKUP(GENERAL[[#This Row],[CODIGO]], PRODUCTOS[#All], 4, FALSE) * GENERAL[[#This Row],[CANTIDAD]])</f>
        <v>321.8304</v>
      </c>
    </row>
    <row r="33" spans="2:6" s="8" customFormat="1" ht="30" customHeight="1" x14ac:dyDescent="0.25">
      <c r="B33" s="11" t="str">
        <f>IF(PRODUCTOS[[#This Row],[CODIGO]]="", "", PRODUCTOS[[#This Row],[CODIGO]])</f>
        <v>CONC-O08-007</v>
      </c>
      <c r="C33" s="6" t="str">
        <f>IF(GENERAL[[#This Row],[CODIGO]]="", "", VLOOKUP(GENERAL[[#This Row],[CODIGO]], PRODUCTOS[#All], 2, FALSE))</f>
        <v>Conec. Ojo #8</v>
      </c>
      <c r="D3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33" s="28" t="str">
        <f>IFERROR(IF(GENERAL[[#This Row],[CANTIDAD]]=0, "AGOTADO", IF(GENERAL[[#This Row],[CANTIDAD]]&lt;VLOOKUP(GENERAL[[#This Row],[CODIGO]], PRODUCTOS[#All], 3, FALSE), "MENOR AL MINIMO", "")), "")</f>
        <v/>
      </c>
      <c r="F33" s="39">
        <f>IF(OR(GENERAL[[#This Row],[CODIGO]]="", GENERAL[[#This Row],[CANTIDAD]]=""), "", VLOOKUP(GENERAL[[#This Row],[CODIGO]], PRODUCTOS[#All], 4, FALSE) * GENERAL[[#This Row],[CANTIDAD]])</f>
        <v>0</v>
      </c>
    </row>
    <row r="34" spans="2:6" s="8" customFormat="1" ht="30" customHeight="1" x14ac:dyDescent="0.25">
      <c r="B34" s="11" t="str">
        <f>IF(PRODUCTOS[[#This Row],[CODIGO]]="", "", PRODUCTOS[[#This Row],[CODIGO]])</f>
        <v>CONC-T0000-04</v>
      </c>
      <c r="C34" s="6" t="str">
        <f>IF(GENERAL[[#This Row],[CODIGO]]="", "", VLOOKUP(GENERAL[[#This Row],[CODIGO]], PRODUCTOS[#All], 2, FALSE))</f>
        <v>Conector tope 4/0</v>
      </c>
      <c r="D3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26</v>
      </c>
      <c r="E34" s="28" t="str">
        <f>IFERROR(IF(GENERAL[[#This Row],[CANTIDAD]]=0, "AGOTADO", IF(GENERAL[[#This Row],[CANTIDAD]]&lt;VLOOKUP(GENERAL[[#This Row],[CODIGO]], PRODUCTOS[#All], 3, FALSE), "MENOR AL MINIMO", "")), "")</f>
        <v/>
      </c>
      <c r="F34" s="39">
        <f>IF(OR(GENERAL[[#This Row],[CODIGO]]="", GENERAL[[#This Row],[CANTIDAD]]=""), "", VLOOKUP(GENERAL[[#This Row],[CODIGO]], PRODUCTOS[#All], 4, FALSE) * GENERAL[[#This Row],[CANTIDAD]])</f>
        <v>2253.8568</v>
      </c>
    </row>
    <row r="35" spans="2:6" s="8" customFormat="1" ht="30" customHeight="1" x14ac:dyDescent="0.25">
      <c r="B35" s="11" t="str">
        <f>IF(PRODUCTOS[[#This Row],[CODIGO]]="", "", PRODUCTOS[[#This Row],[CODIGO]])</f>
        <v>CONC-T000-05</v>
      </c>
      <c r="C35" s="6" t="str">
        <f>IF(GENERAL[[#This Row],[CODIGO]]="", "", VLOOKUP(GENERAL[[#This Row],[CODIGO]], PRODUCTOS[#All], 2, FALSE))</f>
        <v>Conector tope 3/0</v>
      </c>
      <c r="D3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35" s="28" t="str">
        <f>IFERROR(IF(GENERAL[[#This Row],[CANTIDAD]]=0, "AGOTADO", IF(GENERAL[[#This Row],[CANTIDAD]]&lt;VLOOKUP(GENERAL[[#This Row],[CODIGO]], PRODUCTOS[#All], 3, FALSE), "MENOR AL MINIMO", "")), "")</f>
        <v/>
      </c>
      <c r="F35" s="39">
        <f>IF(OR(GENERAL[[#This Row],[CODIGO]]="", GENERAL[[#This Row],[CANTIDAD]]=""), "", VLOOKUP(GENERAL[[#This Row],[CODIGO]], PRODUCTOS[#All], 4, FALSE) * GENERAL[[#This Row],[CANTIDAD]])</f>
        <v>0</v>
      </c>
    </row>
    <row r="36" spans="2:6" s="8" customFormat="1" ht="30" customHeight="1" x14ac:dyDescent="0.25">
      <c r="B36" s="11" t="str">
        <f>IF(PRODUCTOS[[#This Row],[CODIGO]]="", "", PRODUCTOS[[#This Row],[CODIGO]])</f>
        <v>CONC-T00-02</v>
      </c>
      <c r="C36" s="6" t="str">
        <f>IF(GENERAL[[#This Row],[CODIGO]]="", "", VLOOKUP(GENERAL[[#This Row],[CODIGO]], PRODUCTOS[#All], 2, FALSE))</f>
        <v>Conector tope 2/0</v>
      </c>
      <c r="D3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15</v>
      </c>
      <c r="E36" s="28" t="str">
        <f>IFERROR(IF(GENERAL[[#This Row],[CANTIDAD]]=0, "AGOTADO", IF(GENERAL[[#This Row],[CANTIDAD]]&lt;VLOOKUP(GENERAL[[#This Row],[CODIGO]], PRODUCTOS[#All], 3, FALSE), "MENOR AL MINIMO", "")), "")</f>
        <v/>
      </c>
      <c r="F36" s="39">
        <f>IF(OR(GENERAL[[#This Row],[CODIGO]]="", GENERAL[[#This Row],[CANTIDAD]]=""), "", VLOOKUP(GENERAL[[#This Row],[CODIGO]], PRODUCTOS[#All], 4, FALSE) * GENERAL[[#This Row],[CANTIDAD]])</f>
        <v>665.25</v>
      </c>
    </row>
    <row r="37" spans="2:6" s="8" customFormat="1" ht="30" customHeight="1" x14ac:dyDescent="0.25">
      <c r="B37" s="11" t="str">
        <f>IF(PRODUCTOS[[#This Row],[CODIGO]]="", "", PRODUCTOS[[#This Row],[CODIGO]])</f>
        <v>CONC-T0-06</v>
      </c>
      <c r="C37" s="6" t="str">
        <f>IF(GENERAL[[#This Row],[CODIGO]]="", "", VLOOKUP(GENERAL[[#This Row],[CODIGO]], PRODUCTOS[#All], 2, FALSE))</f>
        <v>Conector tope 1/0</v>
      </c>
      <c r="D3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37</v>
      </c>
      <c r="E37" s="28" t="str">
        <f>IFERROR(IF(GENERAL[[#This Row],[CANTIDAD]]=0, "AGOTADO", IF(GENERAL[[#This Row],[CANTIDAD]]&lt;VLOOKUP(GENERAL[[#This Row],[CODIGO]], PRODUCTOS[#All], 3, FALSE), "MENOR AL MINIMO", "")), "")</f>
        <v/>
      </c>
      <c r="F37" s="39">
        <f>IF(OR(GENERAL[[#This Row],[CODIGO]]="", GENERAL[[#This Row],[CANTIDAD]]=""), "", VLOOKUP(GENERAL[[#This Row],[CODIGO]], PRODUCTOS[#All], 4, FALSE) * GENERAL[[#This Row],[CANTIDAD]])</f>
        <v>1330.8899999999999</v>
      </c>
    </row>
    <row r="38" spans="2:6" s="8" customFormat="1" ht="30" customHeight="1" x14ac:dyDescent="0.25">
      <c r="B38" s="11" t="str">
        <f>IF(PRODUCTOS[[#This Row],[CODIGO]]="", "", PRODUCTOS[[#This Row],[CODIGO]])</f>
        <v>CONC-T02-07</v>
      </c>
      <c r="C38" s="6" t="str">
        <f>IF(GENERAL[[#This Row],[CODIGO]]="", "", VLOOKUP(GENERAL[[#This Row],[CODIGO]], PRODUCTOS[#All], 2, FALSE))</f>
        <v>Conector tope #2</v>
      </c>
      <c r="D3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30</v>
      </c>
      <c r="E38" s="28" t="str">
        <f>IFERROR(IF(GENERAL[[#This Row],[CANTIDAD]]=0, "AGOTADO", IF(GENERAL[[#This Row],[CANTIDAD]]&lt;VLOOKUP(GENERAL[[#This Row],[CODIGO]], PRODUCTOS[#All], 3, FALSE), "MENOR AL MINIMO", "")), "")</f>
        <v/>
      </c>
      <c r="F38" s="39">
        <f>IF(OR(GENERAL[[#This Row],[CODIGO]]="", GENERAL[[#This Row],[CANTIDAD]]=""), "", VLOOKUP(GENERAL[[#This Row],[CODIGO]], PRODUCTOS[#All], 4, FALSE) * GENERAL[[#This Row],[CANTIDAD]])</f>
        <v>975.79200000000003</v>
      </c>
    </row>
    <row r="39" spans="2:6" s="8" customFormat="1" ht="30" customHeight="1" x14ac:dyDescent="0.25">
      <c r="B39" s="11" t="str">
        <f>IF(PRODUCTOS[[#This Row],[CODIGO]]="", "", PRODUCTOS[[#This Row],[CODIGO]])</f>
        <v>CONC-T03-08</v>
      </c>
      <c r="C39" s="6" t="str">
        <f>IF(GENERAL[[#This Row],[CODIGO]]="", "", VLOOKUP(GENERAL[[#This Row],[CODIGO]], PRODUCTOS[#All], 2, FALSE))</f>
        <v>Conector tope #3</v>
      </c>
      <c r="D3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16</v>
      </c>
      <c r="E39" s="28" t="str">
        <f>IFERROR(IF(GENERAL[[#This Row],[CANTIDAD]]=0, "AGOTADO", IF(GENERAL[[#This Row],[CANTIDAD]]&lt;VLOOKUP(GENERAL[[#This Row],[CODIGO]], PRODUCTOS[#All], 3, FALSE), "MENOR AL MINIMO", "")), "")</f>
        <v/>
      </c>
      <c r="F39" s="39">
        <f>IF(OR(GENERAL[[#This Row],[CODIGO]]="", GENERAL[[#This Row],[CANTIDAD]]=""), "", VLOOKUP(GENERAL[[#This Row],[CODIGO]], PRODUCTOS[#All], 4, FALSE) * GENERAL[[#This Row],[CANTIDAD]])</f>
        <v>0</v>
      </c>
    </row>
    <row r="40" spans="2:6" s="8" customFormat="1" ht="30" customHeight="1" x14ac:dyDescent="0.25">
      <c r="B40" s="11" t="str">
        <f>IF(PRODUCTOS[[#This Row],[CODIGO]]="", "", PRODUCTOS[[#This Row],[CODIGO]])</f>
        <v>CONC-T04-01</v>
      </c>
      <c r="C40" s="6" t="str">
        <f>IF(GENERAL[[#This Row],[CODIGO]]="", "", VLOOKUP(GENERAL[[#This Row],[CODIGO]], PRODUCTOS[#All], 2, FALSE))</f>
        <v>Conector tope #4</v>
      </c>
      <c r="D4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0" s="28" t="str">
        <f>IFERROR(IF(GENERAL[[#This Row],[CANTIDAD]]=0, "AGOTADO", IF(GENERAL[[#This Row],[CANTIDAD]]&lt;VLOOKUP(GENERAL[[#This Row],[CODIGO]], PRODUCTOS[#All], 3, FALSE), "MENOR AL MINIMO", "")), "")</f>
        <v/>
      </c>
      <c r="F40" s="39">
        <f>IF(OR(GENERAL[[#This Row],[CODIGO]]="", GENERAL[[#This Row],[CANTIDAD]]=""), "", VLOOKUP(GENERAL[[#This Row],[CODIGO]], PRODUCTOS[#All], 4, FALSE) * GENERAL[[#This Row],[CANTIDAD]])</f>
        <v>0</v>
      </c>
    </row>
    <row r="41" spans="2:6" s="8" customFormat="1" ht="30" customHeight="1" x14ac:dyDescent="0.25">
      <c r="B41" s="11" t="str">
        <f>IF(PRODUCTOS[[#This Row],[CODIGO]]="", "", PRODUCTOS[[#This Row],[CODIGO]])</f>
        <v>CONC-T06-03</v>
      </c>
      <c r="C41" s="6" t="str">
        <f>IF(GENERAL[[#This Row],[CODIGO]]="", "", VLOOKUP(GENERAL[[#This Row],[CODIGO]], PRODUCTOS[#All], 2, FALSE))</f>
        <v>Conector tope #6</v>
      </c>
      <c r="D4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8</v>
      </c>
      <c r="E41" s="28" t="str">
        <f>IFERROR(IF(GENERAL[[#This Row],[CANTIDAD]]=0, "AGOTADO", IF(GENERAL[[#This Row],[CANTIDAD]]&lt;VLOOKUP(GENERAL[[#This Row],[CODIGO]], PRODUCTOS[#All], 3, FALSE), "MENOR AL MINIMO", "")), "")</f>
        <v/>
      </c>
      <c r="F41" s="39">
        <f>IF(OR(GENERAL[[#This Row],[CODIGO]]="", GENERAL[[#This Row],[CANTIDAD]]=""), "", VLOOKUP(GENERAL[[#This Row],[CODIGO]], PRODUCTOS[#All], 4, FALSE) * GENERAL[[#This Row],[CANTIDAD]])</f>
        <v>0</v>
      </c>
    </row>
    <row r="42" spans="2:6" s="8" customFormat="1" ht="30" customHeight="1" x14ac:dyDescent="0.25">
      <c r="B42" s="11" t="str">
        <f>IF(PRODUCTOS[[#This Row],[CODIGO]]="", "", PRODUCTOS[[#This Row],[CODIGO]])</f>
        <v>CONC-T12-09</v>
      </c>
      <c r="C42" s="6" t="str">
        <f>IF(GENERAL[[#This Row],[CODIGO]]="", "", VLOOKUP(GENERAL[[#This Row],[CODIGO]], PRODUCTOS[#All], 2, FALSE))</f>
        <v>Conector tope #12</v>
      </c>
      <c r="D4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52</v>
      </c>
      <c r="E42" s="28" t="str">
        <f>IFERROR(IF(GENERAL[[#This Row],[CANTIDAD]]=0, "AGOTADO", IF(GENERAL[[#This Row],[CANTIDAD]]&lt;VLOOKUP(GENERAL[[#This Row],[CODIGO]], PRODUCTOS[#All], 3, FALSE), "MENOR AL MINIMO", "")), "")</f>
        <v/>
      </c>
      <c r="F42" s="39">
        <f>IF(OR(GENERAL[[#This Row],[CODIGO]]="", GENERAL[[#This Row],[CANTIDAD]]=""), "", VLOOKUP(GENERAL[[#This Row],[CODIGO]], PRODUCTOS[#All], 4, FALSE) * GENERAL[[#This Row],[CANTIDAD]])</f>
        <v>0</v>
      </c>
    </row>
    <row r="43" spans="2:6" s="8" customFormat="1" ht="30" customHeight="1" x14ac:dyDescent="0.25">
      <c r="B43" s="11" t="str">
        <f>IF(PRODUCTOS[[#This Row],[CODIGO]]="", "", PRODUCTOS[[#This Row],[CODIGO]])</f>
        <v>CON-MSUM-001</v>
      </c>
      <c r="C43" s="6" t="str">
        <f>IF(GENERAL[[#This Row],[CODIGO]]="", "", VLOOKUP(GENERAL[[#This Row],[CODIGO]], PRODUCTOS[#All], 2, FALSE))</f>
        <v xml:space="preserve">Motor sumergible </v>
      </c>
      <c r="D4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3" s="28" t="str">
        <f>IFERROR(IF(GENERAL[[#This Row],[CANTIDAD]]=0, "AGOTADO", IF(GENERAL[[#This Row],[CANTIDAD]]&lt;VLOOKUP(GENERAL[[#This Row],[CODIGO]], PRODUCTOS[#All], 3, FALSE), "MENOR AL MINIMO", "")), "")</f>
        <v/>
      </c>
      <c r="F43" s="39">
        <f>IF(OR(GENERAL[[#This Row],[CODIGO]]="", GENERAL[[#This Row],[CANTIDAD]]=""), "", VLOOKUP(GENERAL[[#This Row],[CODIGO]], PRODUCTOS[#All], 4, FALSE) * GENERAL[[#This Row],[CANTIDAD]])</f>
        <v>0</v>
      </c>
    </row>
    <row r="44" spans="2:6" s="8" customFormat="1" ht="30" customHeight="1" x14ac:dyDescent="0.25">
      <c r="B44" s="11" t="str">
        <f>IF(PRODUCTOS[[#This Row],[CODIGO]]="", "", PRODUCTOS[[#This Row],[CODIGO]])</f>
        <v>CON-SBM600-002</v>
      </c>
      <c r="C44" s="6" t="str">
        <f>IF(GENERAL[[#This Row],[CODIGO]]="", "", VLOOKUP(GENERAL[[#This Row],[CODIGO]], PRODUCTOS[#All], 2, FALSE))</f>
        <v>Submonitor 600V</v>
      </c>
      <c r="D4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44" s="28" t="str">
        <f>IFERROR(IF(GENERAL[[#This Row],[CANTIDAD]]=0, "AGOTADO", IF(GENERAL[[#This Row],[CANTIDAD]]&lt;VLOOKUP(GENERAL[[#This Row],[CODIGO]], PRODUCTOS[#All], 3, FALSE), "MENOR AL MINIMO", "")), "")</f>
        <v/>
      </c>
      <c r="F44" s="39">
        <f>IF(OR(GENERAL[[#This Row],[CODIGO]]="", GENERAL[[#This Row],[CANTIDAD]]=""), "", VLOOKUP(GENERAL[[#This Row],[CODIGO]], PRODUCTOS[#All], 4, FALSE) * GENERAL[[#This Row],[CANTIDAD]])</f>
        <v>75800</v>
      </c>
    </row>
    <row r="45" spans="2:6" s="8" customFormat="1" ht="30" customHeight="1" x14ac:dyDescent="0.25">
      <c r="B45" s="11" t="str">
        <f>IF(PRODUCTOS[[#This Row],[CODIGO]]="", "", PRODUCTOS[[#This Row],[CODIGO]])</f>
        <v>ELE-ABROM-1</v>
      </c>
      <c r="C45" s="6" t="str">
        <f>IF(GENERAL[[#This Row],[CODIGO]]="", "", VLOOKUP(GENERAL[[#This Row],[CODIGO]], PRODUCTOS[#All], 2, FALSE))</f>
        <v>Abrazadera omega 1"</v>
      </c>
      <c r="D4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</v>
      </c>
      <c r="E45" s="28" t="str">
        <f>IFERROR(IF(GENERAL[[#This Row],[CANTIDAD]]=0, "AGOTADO", IF(GENERAL[[#This Row],[CANTIDAD]]&lt;VLOOKUP(GENERAL[[#This Row],[CODIGO]], PRODUCTOS[#All], 3, FALSE), "MENOR AL MINIMO", "")), "")</f>
        <v/>
      </c>
      <c r="F45" s="39">
        <f>IF(OR(GENERAL[[#This Row],[CODIGO]]="", GENERAL[[#This Row],[CANTIDAD]]=""), "", VLOOKUP(GENERAL[[#This Row],[CODIGO]], PRODUCTOS[#All], 4, FALSE) * GENERAL[[#This Row],[CANTIDAD]])</f>
        <v>0</v>
      </c>
    </row>
    <row r="46" spans="2:6" s="8" customFormat="1" ht="30" customHeight="1" x14ac:dyDescent="0.25">
      <c r="B46" s="11" t="str">
        <f>IF(PRODUCTOS[[#This Row],[CODIGO]]="", "", PRODUCTOS[[#This Row],[CODIGO]])</f>
        <v>ELE-ABROM-112</v>
      </c>
      <c r="C46" s="6" t="str">
        <f>IF(GENERAL[[#This Row],[CODIGO]]="", "", VLOOKUP(GENERAL[[#This Row],[CODIGO]], PRODUCTOS[#All], 2, FALSE))</f>
        <v>Abrazadera omega OC 112</v>
      </c>
      <c r="D4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6" s="28" t="str">
        <f>IFERROR(IF(GENERAL[[#This Row],[CANTIDAD]]=0, "AGOTADO", IF(GENERAL[[#This Row],[CANTIDAD]]&lt;VLOOKUP(GENERAL[[#This Row],[CODIGO]], PRODUCTOS[#All], 3, FALSE), "MENOR AL MINIMO", "")), "")</f>
        <v/>
      </c>
      <c r="F46" s="39">
        <f>IF(OR(GENERAL[[#This Row],[CODIGO]]="", GENERAL[[#This Row],[CANTIDAD]]=""), "", VLOOKUP(GENERAL[[#This Row],[CODIGO]], PRODUCTOS[#All], 4, FALSE) * GENERAL[[#This Row],[CANTIDAD]])</f>
        <v>0</v>
      </c>
    </row>
    <row r="47" spans="2:6" s="8" customFormat="1" ht="30" customHeight="1" x14ac:dyDescent="0.25">
      <c r="B47" s="11" t="str">
        <f>IF(PRODUCTOS[[#This Row],[CODIGO]]="", "", PRODUCTOS[[#This Row],[CODIGO]])</f>
        <v>ELE-ABROM-12</v>
      </c>
      <c r="C47" s="6" t="str">
        <f>IF(GENERAL[[#This Row],[CODIGO]]="", "", VLOOKUP(GENERAL[[#This Row],[CODIGO]], PRODUCTOS[#All], 2, FALSE))</f>
        <v>Abrazadera omega 1/2"</v>
      </c>
      <c r="D4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47" s="28" t="str">
        <f>IFERROR(IF(GENERAL[[#This Row],[CANTIDAD]]=0, "AGOTADO", IF(GENERAL[[#This Row],[CANTIDAD]]&lt;VLOOKUP(GENERAL[[#This Row],[CODIGO]], PRODUCTOS[#All], 3, FALSE), "MENOR AL MINIMO", "")), "")</f>
        <v/>
      </c>
      <c r="F47" s="39">
        <f>IF(OR(GENERAL[[#This Row],[CODIGO]]="", GENERAL[[#This Row],[CANTIDAD]]=""), "", VLOOKUP(GENERAL[[#This Row],[CODIGO]], PRODUCTOS[#All], 4, FALSE) * GENERAL[[#This Row],[CANTIDAD]])</f>
        <v>0</v>
      </c>
    </row>
    <row r="48" spans="2:6" s="8" customFormat="1" ht="30" customHeight="1" x14ac:dyDescent="0.25">
      <c r="B48" s="11" t="str">
        <f>IF(PRODUCTOS[[#This Row],[CODIGO]]="", "", PRODUCTOS[[#This Row],[CODIGO]])</f>
        <v>ELE-ABROM-200</v>
      </c>
      <c r="C48" s="6" t="str">
        <f>IF(GENERAL[[#This Row],[CODIGO]]="", "", VLOOKUP(GENERAL[[#This Row],[CODIGO]], PRODUCTOS[#All], 2, FALSE))</f>
        <v>Abrazadera omega OC 200</v>
      </c>
      <c r="D4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48" s="28" t="str">
        <f>IFERROR(IF(GENERAL[[#This Row],[CANTIDAD]]=0, "AGOTADO", IF(GENERAL[[#This Row],[CANTIDAD]]&lt;VLOOKUP(GENERAL[[#This Row],[CODIGO]], PRODUCTOS[#All], 3, FALSE), "MENOR AL MINIMO", "")), "")</f>
        <v/>
      </c>
      <c r="F48" s="39">
        <f>IF(OR(GENERAL[[#This Row],[CODIGO]]="", GENERAL[[#This Row],[CANTIDAD]]=""), "", VLOOKUP(GENERAL[[#This Row],[CODIGO]], PRODUCTOS[#All], 4, FALSE) * GENERAL[[#This Row],[CANTIDAD]])</f>
        <v>0</v>
      </c>
    </row>
    <row r="49" spans="2:6" s="8" customFormat="1" ht="30" customHeight="1" x14ac:dyDescent="0.25">
      <c r="B49" s="11" t="str">
        <f>IF(PRODUCTOS[[#This Row],[CODIGO]]="", "", PRODUCTOS[[#This Row],[CODIGO]])</f>
        <v>ELE-ABROM-212</v>
      </c>
      <c r="C49" s="6" t="str">
        <f>IF(GENERAL[[#This Row],[CODIGO]]="", "", VLOOKUP(GENERAL[[#This Row],[CODIGO]], PRODUCTOS[#All], 2, FALSE))</f>
        <v>Abrazadera omega OC 212</v>
      </c>
      <c r="D4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49" s="28" t="str">
        <f>IFERROR(IF(GENERAL[[#This Row],[CANTIDAD]]=0, "AGOTADO", IF(GENERAL[[#This Row],[CANTIDAD]]&lt;VLOOKUP(GENERAL[[#This Row],[CODIGO]], PRODUCTOS[#All], 3, FALSE), "MENOR AL MINIMO", "")), "")</f>
        <v/>
      </c>
      <c r="F49" s="39">
        <f>IF(OR(GENERAL[[#This Row],[CODIGO]]="", GENERAL[[#This Row],[CANTIDAD]]=""), "", VLOOKUP(GENERAL[[#This Row],[CODIGO]], PRODUCTOS[#All], 4, FALSE) * GENERAL[[#This Row],[CANTIDAD]])</f>
        <v>0</v>
      </c>
    </row>
    <row r="50" spans="2:6" s="8" customFormat="1" ht="30" customHeight="1" x14ac:dyDescent="0.25">
      <c r="B50" s="11" t="str">
        <f>IF(PRODUCTOS[[#This Row],[CODIGO]]="", "", PRODUCTOS[[#This Row],[CODIGO]])</f>
        <v>ELE-ABROM-3</v>
      </c>
      <c r="C50" s="6" t="str">
        <f>IF(GENERAL[[#This Row],[CODIGO]]="", "", VLOOKUP(GENERAL[[#This Row],[CODIGO]], PRODUCTOS[#All], 2, FALSE))</f>
        <v>Abrazadera omega 3"</v>
      </c>
      <c r="D5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9</v>
      </c>
      <c r="E50" s="28" t="str">
        <f>IFERROR(IF(GENERAL[[#This Row],[CANTIDAD]]=0, "AGOTADO", IF(GENERAL[[#This Row],[CANTIDAD]]&lt;VLOOKUP(GENERAL[[#This Row],[CODIGO]], PRODUCTOS[#All], 3, FALSE), "MENOR AL MINIMO", "")), "")</f>
        <v/>
      </c>
      <c r="F50" s="39">
        <f>IF(OR(GENERAL[[#This Row],[CODIGO]]="", GENERAL[[#This Row],[CANTIDAD]]=""), "", VLOOKUP(GENERAL[[#This Row],[CODIGO]], PRODUCTOS[#All], 4, FALSE) * GENERAL[[#This Row],[CANTIDAD]])</f>
        <v>0</v>
      </c>
    </row>
    <row r="51" spans="2:6" s="8" customFormat="1" ht="30" customHeight="1" x14ac:dyDescent="0.25">
      <c r="B51" s="11" t="str">
        <f>IF(PRODUCTOS[[#This Row],[CODIGO]]="", "", PRODUCTOS[[#This Row],[CODIGO]])</f>
        <v>ELE-ABROM-34</v>
      </c>
      <c r="C51" s="6" t="str">
        <f>IF(GENERAL[[#This Row],[CODIGO]]="", "", VLOOKUP(GENERAL[[#This Row],[CODIGO]], PRODUCTOS[#All], 2, FALSE))</f>
        <v>Abrazadera omega OC 34</v>
      </c>
      <c r="D5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51" s="28" t="str">
        <f>IFERROR(IF(GENERAL[[#This Row],[CANTIDAD]]=0, "AGOTADO", IF(GENERAL[[#This Row],[CANTIDAD]]&lt;VLOOKUP(GENERAL[[#This Row],[CODIGO]], PRODUCTOS[#All], 3, FALSE), "MENOR AL MINIMO", "")), "")</f>
        <v/>
      </c>
      <c r="F51" s="39">
        <f>IF(OR(GENERAL[[#This Row],[CODIGO]]="", GENERAL[[#This Row],[CANTIDAD]]=""), "", VLOOKUP(GENERAL[[#This Row],[CODIGO]], PRODUCTOS[#All], 4, FALSE) * GENERAL[[#This Row],[CANTIDAD]])</f>
        <v>0</v>
      </c>
    </row>
    <row r="52" spans="2:6" s="8" customFormat="1" ht="30" customHeight="1" x14ac:dyDescent="0.25">
      <c r="B52" s="11" t="str">
        <f>IF(PRODUCTOS[[#This Row],[CODIGO]]="", "", PRODUCTOS[[#This Row],[CODIGO]])</f>
        <v>ELE-ABROOM-114</v>
      </c>
      <c r="C52" s="6" t="str">
        <f>IF(GENERAL[[#This Row],[CODIGO]]="", "", VLOOKUP(GENERAL[[#This Row],[CODIGO]], PRODUCTOS[#All], 2, FALSE))</f>
        <v>Abrazadera omega OC114</v>
      </c>
      <c r="D5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52" s="28" t="str">
        <f>IFERROR(IF(GENERAL[[#This Row],[CANTIDAD]]=0, "AGOTADO", IF(GENERAL[[#This Row],[CANTIDAD]]&lt;VLOOKUP(GENERAL[[#This Row],[CODIGO]], PRODUCTOS[#All], 3, FALSE), "MENOR AL MINIMO", "")), "")</f>
        <v/>
      </c>
      <c r="F52" s="39">
        <f>IF(OR(GENERAL[[#This Row],[CODIGO]]="", GENERAL[[#This Row],[CANTIDAD]]=""), "", VLOOKUP(GENERAL[[#This Row],[CODIGO]], PRODUCTOS[#All], 4, FALSE) * GENERAL[[#This Row],[CANTIDAD]])</f>
        <v>0</v>
      </c>
    </row>
    <row r="53" spans="2:6" s="8" customFormat="1" ht="30" customHeight="1" x14ac:dyDescent="0.25">
      <c r="B53" s="11" t="str">
        <f>IF(PRODUCTOS[[#This Row],[CODIGO]]="", "", PRODUCTOS[[#This Row],[CODIGO]])</f>
        <v>ELE-ARRAN-010</v>
      </c>
      <c r="C53" s="6" t="str">
        <f>IF(GENERAL[[#This Row],[CODIGO]]="", "", VLOOKUP(GENERAL[[#This Row],[CODIGO]], PRODUCTOS[#All], 2, FALSE))</f>
        <v xml:space="preserve">Arrancador a tensión plena </v>
      </c>
      <c r="D5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53" s="28" t="str">
        <f>IFERROR(IF(GENERAL[[#This Row],[CANTIDAD]]=0, "AGOTADO", IF(GENERAL[[#This Row],[CANTIDAD]]&lt;VLOOKUP(GENERAL[[#This Row],[CODIGO]], PRODUCTOS[#All], 3, FALSE), "MENOR AL MINIMO", "")), "")</f>
        <v/>
      </c>
      <c r="F53" s="39">
        <f>IF(OR(GENERAL[[#This Row],[CODIGO]]="", GENERAL[[#This Row],[CANTIDAD]]=""), "", VLOOKUP(GENERAL[[#This Row],[CODIGO]], PRODUCTOS[#All], 4, FALSE) * GENERAL[[#This Row],[CANTIDAD]])</f>
        <v>2838</v>
      </c>
    </row>
    <row r="54" spans="2:6" s="8" customFormat="1" ht="30" customHeight="1" x14ac:dyDescent="0.25">
      <c r="B54" s="11" t="str">
        <f>IF(PRODUCTOS[[#This Row],[CODIGO]]="", "", PRODUCTOS[[#This Row],[CODIGO]])</f>
        <v>ELE-BUSINOX-002</v>
      </c>
      <c r="C54" s="6" t="str">
        <f>IF(GENERAL[[#This Row],[CODIGO]]="", "", VLOOKUP(GENERAL[[#This Row],[CODIGO]], PRODUCTOS[#All], 2, FALSE))</f>
        <v>bushing inoxidable p/manguera</v>
      </c>
      <c r="D5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54" s="28" t="str">
        <f>IFERROR(IF(GENERAL[[#This Row],[CANTIDAD]]=0, "AGOTADO", IF(GENERAL[[#This Row],[CANTIDAD]]&lt;VLOOKUP(GENERAL[[#This Row],[CODIGO]], PRODUCTOS[#All], 3, FALSE), "MENOR AL MINIMO", "")), "")</f>
        <v/>
      </c>
      <c r="F54" s="39">
        <f>IF(OR(GENERAL[[#This Row],[CODIGO]]="", GENERAL[[#This Row],[CANTIDAD]]=""), "", VLOOKUP(GENERAL[[#This Row],[CODIGO]], PRODUCTOS[#All], 4, FALSE) * GENERAL[[#This Row],[CANTIDAD]])</f>
        <v>0</v>
      </c>
    </row>
    <row r="55" spans="2:6" s="8" customFormat="1" ht="30" customHeight="1" x14ac:dyDescent="0.25">
      <c r="B55" s="11" t="str">
        <f>IF(PRODUCTOS[[#This Row],[CODIGO]]="", "", PRODUCTOS[[#This Row],[CODIGO]])</f>
        <v>ELE-CCOD-2</v>
      </c>
      <c r="C55" s="6" t="str">
        <f>IF(GENERAL[[#This Row],[CODIGO]]="", "", VLOOKUP(GENERAL[[#This Row],[CODIGO]], PRODUCTOS[#All], 2, FALSE))</f>
        <v>Conector codo 2"</v>
      </c>
      <c r="D5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55" s="28" t="str">
        <f>IFERROR(IF(GENERAL[[#This Row],[CANTIDAD]]=0, "AGOTADO", IF(GENERAL[[#This Row],[CANTIDAD]]&lt;VLOOKUP(GENERAL[[#This Row],[CODIGO]], PRODUCTOS[#All], 3, FALSE), "MENOR AL MINIMO", "")), "")</f>
        <v/>
      </c>
      <c r="F55" s="39">
        <f>IF(OR(GENERAL[[#This Row],[CODIGO]]="", GENERAL[[#This Row],[CANTIDAD]]=""), "", VLOOKUP(GENERAL[[#This Row],[CODIGO]], PRODUCTOS[#All], 4, FALSE) * GENERAL[[#This Row],[CANTIDAD]])</f>
        <v>0</v>
      </c>
    </row>
    <row r="56" spans="2:6" s="8" customFormat="1" ht="30" customHeight="1" x14ac:dyDescent="0.25">
      <c r="B56" s="11" t="str">
        <f>IF(PRODUCTOS[[#This Row],[CODIGO]]="", "", PRODUCTOS[[#This Row],[CODIGO]])</f>
        <v>ELE-CCOD-3</v>
      </c>
      <c r="C56" s="6" t="str">
        <f>IF(GENERAL[[#This Row],[CODIGO]]="", "", VLOOKUP(GENERAL[[#This Row],[CODIGO]], PRODUCTOS[#All], 2, FALSE))</f>
        <v>Conector codo 3"</v>
      </c>
      <c r="D5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56" s="28" t="str">
        <f>IFERROR(IF(GENERAL[[#This Row],[CANTIDAD]]=0, "AGOTADO", IF(GENERAL[[#This Row],[CANTIDAD]]&lt;VLOOKUP(GENERAL[[#This Row],[CODIGO]], PRODUCTOS[#All], 3, FALSE), "MENOR AL MINIMO", "")), "")</f>
        <v/>
      </c>
      <c r="F56" s="39">
        <f>IF(OR(GENERAL[[#This Row],[CODIGO]]="", GENERAL[[#This Row],[CANTIDAD]]=""), "", VLOOKUP(GENERAL[[#This Row],[CODIGO]], PRODUCTOS[#All], 4, FALSE) * GENERAL[[#This Row],[CANTIDAD]])</f>
        <v>0</v>
      </c>
    </row>
    <row r="57" spans="2:6" s="8" customFormat="1" ht="30" customHeight="1" x14ac:dyDescent="0.25">
      <c r="B57" s="11" t="str">
        <f>IF(PRODUCTOS[[#This Row],[CODIGO]]="", "", PRODUCTOS[[#This Row],[CODIGO]])</f>
        <v>ELE-CCOND-100</v>
      </c>
      <c r="C57" s="6" t="str">
        <f>IF(GENERAL[[#This Row],[CODIGO]]="", "", VLOOKUP(GENERAL[[#This Row],[CODIGO]], PRODUCTOS[#All], 2, FALSE))</f>
        <v>Conector conduit 100mm</v>
      </c>
      <c r="D5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57" s="28" t="str">
        <f>IFERROR(IF(GENERAL[[#This Row],[CANTIDAD]]=0, "AGOTADO", IF(GENERAL[[#This Row],[CANTIDAD]]&lt;VLOOKUP(GENERAL[[#This Row],[CODIGO]], PRODUCTOS[#All], 3, FALSE), "MENOR AL MINIMO", "")), "")</f>
        <v/>
      </c>
      <c r="F57" s="39">
        <f>IF(OR(GENERAL[[#This Row],[CODIGO]]="", GENERAL[[#This Row],[CANTIDAD]]=""), "", VLOOKUP(GENERAL[[#This Row],[CODIGO]], PRODUCTOS[#All], 4, FALSE) * GENERAL[[#This Row],[CANTIDAD]])</f>
        <v>644.04999999999995</v>
      </c>
    </row>
    <row r="58" spans="2:6" s="8" customFormat="1" ht="30" customHeight="1" x14ac:dyDescent="0.25">
      <c r="B58" s="11" t="str">
        <f>IF(PRODUCTOS[[#This Row],[CODIGO]]="", "", PRODUCTOS[[#This Row],[CODIGO]])</f>
        <v>ELE-CCOND-25</v>
      </c>
      <c r="C58" s="6" t="str">
        <f>IF(GENERAL[[#This Row],[CODIGO]]="", "", VLOOKUP(GENERAL[[#This Row],[CODIGO]], PRODUCTOS[#All], 2, FALSE))</f>
        <v>Conector conduit 25mm</v>
      </c>
      <c r="D5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58" s="28" t="str">
        <f>IFERROR(IF(GENERAL[[#This Row],[CANTIDAD]]=0, "AGOTADO", IF(GENERAL[[#This Row],[CANTIDAD]]&lt;VLOOKUP(GENERAL[[#This Row],[CODIGO]], PRODUCTOS[#All], 3, FALSE), "MENOR AL MINIMO", "")), "")</f>
        <v/>
      </c>
      <c r="F58" s="39">
        <f>IF(OR(GENERAL[[#This Row],[CODIGO]]="", GENERAL[[#This Row],[CANTIDAD]]=""), "", VLOOKUP(GENERAL[[#This Row],[CODIGO]], PRODUCTOS[#All], 4, FALSE) * GENERAL[[#This Row],[CANTIDAD]])</f>
        <v>37.450000000000003</v>
      </c>
    </row>
    <row r="59" spans="2:6" s="8" customFormat="1" ht="30" customHeight="1" x14ac:dyDescent="0.25">
      <c r="B59" s="11" t="str">
        <f>IF(PRODUCTOS[[#This Row],[CODIGO]]="", "", PRODUCTOS[[#This Row],[CODIGO]])</f>
        <v>ELE-CCOND-50</v>
      </c>
      <c r="C59" s="6" t="str">
        <f>IF(GENERAL[[#This Row],[CODIGO]]="", "", VLOOKUP(GENERAL[[#This Row],[CODIGO]], PRODUCTOS[#All], 2, FALSE))</f>
        <v>Conector conduit 50mm</v>
      </c>
      <c r="D5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13</v>
      </c>
      <c r="E59" s="28" t="str">
        <f>IFERROR(IF(GENERAL[[#This Row],[CANTIDAD]]=0, "AGOTADO", IF(GENERAL[[#This Row],[CANTIDAD]]&lt;VLOOKUP(GENERAL[[#This Row],[CODIGO]], PRODUCTOS[#All], 3, FALSE), "MENOR AL MINIMO", "")), "")</f>
        <v/>
      </c>
      <c r="F59" s="39">
        <f>IF(OR(GENERAL[[#This Row],[CODIGO]]="", GENERAL[[#This Row],[CANTIDAD]]=""), "", VLOOKUP(GENERAL[[#This Row],[CODIGO]], PRODUCTOS[#All], 4, FALSE) * GENERAL[[#This Row],[CANTIDAD]])</f>
        <v>364</v>
      </c>
    </row>
    <row r="60" spans="2:6" s="8" customFormat="1" ht="30" customHeight="1" x14ac:dyDescent="0.25">
      <c r="B60" s="11" t="str">
        <f>IF(PRODUCTOS[[#This Row],[CODIGO]]="", "", PRODUCTOS[[#This Row],[CODIGO]])</f>
        <v>ELE-CCOND-60</v>
      </c>
      <c r="C60" s="6" t="str">
        <f>IF(GENERAL[[#This Row],[CODIGO]]="", "", VLOOKUP(GENERAL[[#This Row],[CODIGO]], PRODUCTOS[#All], 2, FALSE))</f>
        <v>Conector conduit 60mm</v>
      </c>
      <c r="D6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60" s="28" t="str">
        <f>IFERROR(IF(GENERAL[[#This Row],[CANTIDAD]]=0, "AGOTADO", IF(GENERAL[[#This Row],[CANTIDAD]]&lt;VLOOKUP(GENERAL[[#This Row],[CODIGO]], PRODUCTOS[#All], 3, FALSE), "MENOR AL MINIMO", "")), "")</f>
        <v/>
      </c>
      <c r="F60" s="39">
        <f>IF(OR(GENERAL[[#This Row],[CODIGO]]="", GENERAL[[#This Row],[CANTIDAD]]=""), "", VLOOKUP(GENERAL[[#This Row],[CODIGO]], PRODUCTOS[#All], 4, FALSE) * GENERAL[[#This Row],[CANTIDAD]])</f>
        <v>426</v>
      </c>
    </row>
    <row r="61" spans="2:6" s="8" customFormat="1" ht="30" customHeight="1" x14ac:dyDescent="0.25">
      <c r="B61" s="11" t="str">
        <f>IF(PRODUCTOS[[#This Row],[CODIGO]]="", "", PRODUCTOS[[#This Row],[CODIGO]])</f>
        <v>ELE-CCOND-75</v>
      </c>
      <c r="C61" s="6" t="str">
        <f>IF(GENERAL[[#This Row],[CODIGO]]="", "", VLOOKUP(GENERAL[[#This Row],[CODIGO]], PRODUCTOS[#All], 2, FALSE))</f>
        <v>Conector conduit 75mm</v>
      </c>
      <c r="D6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19</v>
      </c>
      <c r="E61" s="28" t="str">
        <f>IFERROR(IF(GENERAL[[#This Row],[CANTIDAD]]=0, "AGOTADO", IF(GENERAL[[#This Row],[CANTIDAD]]&lt;VLOOKUP(GENERAL[[#This Row],[CODIGO]], PRODUCTOS[#All], 3, FALSE), "MENOR AL MINIMO", "")), "")</f>
        <v/>
      </c>
      <c r="F61" s="39">
        <f>IF(OR(GENERAL[[#This Row],[CODIGO]]="", GENERAL[[#This Row],[CANTIDAD]]=""), "", VLOOKUP(GENERAL[[#This Row],[CODIGO]], PRODUCTOS[#All], 4, FALSE) * GENERAL[[#This Row],[CANTIDAD]])</f>
        <v>1624.5</v>
      </c>
    </row>
    <row r="62" spans="2:6" s="8" customFormat="1" ht="30" customHeight="1" x14ac:dyDescent="0.25">
      <c r="B62" s="11" t="str">
        <f>IF(PRODUCTOS[[#This Row],[CODIGO]]="", "", PRODUCTOS[[#This Row],[CODIGO]])</f>
        <v>ELE-CGALV-1</v>
      </c>
      <c r="C62" s="6" t="str">
        <f>IF(GENERAL[[#This Row],[CODIGO]]="", "", VLOOKUP(GENERAL[[#This Row],[CODIGO]], PRODUCTOS[#All], 2, FALSE))</f>
        <v>Conector galvanizado 1"</v>
      </c>
      <c r="D6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62" s="28" t="str">
        <f>IFERROR(IF(GENERAL[[#This Row],[CANTIDAD]]=0, "AGOTADO", IF(GENERAL[[#This Row],[CANTIDAD]]&lt;VLOOKUP(GENERAL[[#This Row],[CODIGO]], PRODUCTOS[#All], 3, FALSE), "MENOR AL MINIMO", "")), "")</f>
        <v/>
      </c>
      <c r="F62" s="39">
        <f>IF(OR(GENERAL[[#This Row],[CODIGO]]="", GENERAL[[#This Row],[CANTIDAD]]=""), "", VLOOKUP(GENERAL[[#This Row],[CODIGO]], PRODUCTOS[#All], 4, FALSE) * GENERAL[[#This Row],[CANTIDAD]])</f>
        <v>0</v>
      </c>
    </row>
    <row r="63" spans="2:6" s="8" customFormat="1" ht="30" customHeight="1" x14ac:dyDescent="0.25">
      <c r="B63" s="11" t="str">
        <f>IF(PRODUCTOS[[#This Row],[CODIGO]]="", "", PRODUCTOS[[#This Row],[CODIGO]])</f>
        <v>ELE-CGALV-112</v>
      </c>
      <c r="C63" s="6" t="str">
        <f>IF(GENERAL[[#This Row],[CODIGO]]="", "", VLOOKUP(GENERAL[[#This Row],[CODIGO]], PRODUCTOS[#All], 2, FALSE))</f>
        <v>Conector galvanizado 1 1/2"</v>
      </c>
      <c r="D6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63" s="28" t="str">
        <f>IFERROR(IF(GENERAL[[#This Row],[CANTIDAD]]=0, "AGOTADO", IF(GENERAL[[#This Row],[CANTIDAD]]&lt;VLOOKUP(GENERAL[[#This Row],[CODIGO]], PRODUCTOS[#All], 3, FALSE), "MENOR AL MINIMO", "")), "")</f>
        <v/>
      </c>
      <c r="F63" s="39">
        <f>IF(OR(GENERAL[[#This Row],[CODIGO]]="", GENERAL[[#This Row],[CANTIDAD]]=""), "", VLOOKUP(GENERAL[[#This Row],[CODIGO]], PRODUCTOS[#All], 4, FALSE) * GENERAL[[#This Row],[CANTIDAD]])</f>
        <v>0</v>
      </c>
    </row>
    <row r="64" spans="2:6" s="8" customFormat="1" ht="30" customHeight="1" x14ac:dyDescent="0.25">
      <c r="B64" s="11" t="str">
        <f>IF(PRODUCTOS[[#This Row],[CODIGO]]="", "", PRODUCTOS[[#This Row],[CODIGO]])</f>
        <v>ELE-CGALV-12</v>
      </c>
      <c r="C64" s="6" t="str">
        <f>IF(GENERAL[[#This Row],[CODIGO]]="", "", VLOOKUP(GENERAL[[#This Row],[CODIGO]], PRODUCTOS[#All], 2, FALSE))</f>
        <v>Conector galvanizado 1/2"</v>
      </c>
      <c r="D6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13</v>
      </c>
      <c r="E64" s="28" t="str">
        <f>IFERROR(IF(GENERAL[[#This Row],[CANTIDAD]]=0, "AGOTADO", IF(GENERAL[[#This Row],[CANTIDAD]]&lt;VLOOKUP(GENERAL[[#This Row],[CODIGO]], PRODUCTOS[#All], 3, FALSE), "MENOR AL MINIMO", "")), "")</f>
        <v/>
      </c>
      <c r="F64" s="39">
        <f>IF(OR(GENERAL[[#This Row],[CODIGO]]="", GENERAL[[#This Row],[CANTIDAD]]=""), "", VLOOKUP(GENERAL[[#This Row],[CODIGO]], PRODUCTOS[#All], 4, FALSE) * GENERAL[[#This Row],[CANTIDAD]])</f>
        <v>0</v>
      </c>
    </row>
    <row r="65" spans="2:6" s="8" customFormat="1" ht="30" customHeight="1" x14ac:dyDescent="0.25">
      <c r="B65" s="11" t="str">
        <f>IF(PRODUCTOS[[#This Row],[CODIGO]]="", "", PRODUCTOS[[#This Row],[CODIGO]])</f>
        <v>ELE-CGALV-34</v>
      </c>
      <c r="C65" s="6" t="str">
        <f>IF(GENERAL[[#This Row],[CODIGO]]="", "", VLOOKUP(GENERAL[[#This Row],[CODIGO]], PRODUCTOS[#All], 2, FALSE))</f>
        <v>Conector galvanizado 3/4"</v>
      </c>
      <c r="D6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65" s="28" t="str">
        <f>IFERROR(IF(GENERAL[[#This Row],[CANTIDAD]]=0, "AGOTADO", IF(GENERAL[[#This Row],[CANTIDAD]]&lt;VLOOKUP(GENERAL[[#This Row],[CODIGO]], PRODUCTOS[#All], 3, FALSE), "MENOR AL MINIMO", "")), "")</f>
        <v/>
      </c>
      <c r="F65" s="39">
        <f>IF(OR(GENERAL[[#This Row],[CODIGO]]="", GENERAL[[#This Row],[CANTIDAD]]=""), "", VLOOKUP(GENERAL[[#This Row],[CODIGO]], PRODUCTOS[#All], 4, FALSE) * GENERAL[[#This Row],[CANTIDAD]])</f>
        <v>0</v>
      </c>
    </row>
    <row r="66" spans="2:6" s="8" customFormat="1" ht="30" customHeight="1" x14ac:dyDescent="0.25">
      <c r="B66" s="11" t="str">
        <f>IF(PRODUCTOS[[#This Row],[CODIGO]]="", "", PRODUCTOS[[#This Row],[CODIGO]])</f>
        <v>ELE-CODPVC-13</v>
      </c>
      <c r="C66" s="6" t="str">
        <f>IF(GENERAL[[#This Row],[CODIGO]]="", "", VLOOKUP(GENERAL[[#This Row],[CODIGO]], PRODUCTOS[#All], 2, FALSE))</f>
        <v>Codo PVC conduit 13mm/1/2"</v>
      </c>
      <c r="D6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66" s="28" t="str">
        <f>IFERROR(IF(GENERAL[[#This Row],[CANTIDAD]]=0, "AGOTADO", IF(GENERAL[[#This Row],[CANTIDAD]]&lt;VLOOKUP(GENERAL[[#This Row],[CODIGO]], PRODUCTOS[#All], 3, FALSE), "MENOR AL MINIMO", "")), "")</f>
        <v/>
      </c>
      <c r="F66" s="39">
        <f>IF(OR(GENERAL[[#This Row],[CODIGO]]="", GENERAL[[#This Row],[CANTIDAD]]=""), "", VLOOKUP(GENERAL[[#This Row],[CODIGO]], PRODUCTOS[#All], 4, FALSE) * GENERAL[[#This Row],[CANTIDAD]])</f>
        <v>0</v>
      </c>
    </row>
    <row r="67" spans="2:6" s="8" customFormat="1" ht="30" customHeight="1" x14ac:dyDescent="0.25">
      <c r="B67" s="11" t="str">
        <f>IF(PRODUCTOS[[#This Row],[CODIGO]]="", "", PRODUCTOS[[#This Row],[CODIGO]])</f>
        <v>ELE-COND-100</v>
      </c>
      <c r="C67" s="6" t="str">
        <f>IF(GENERAL[[#This Row],[CODIGO]]="", "", VLOOKUP(GENERAL[[#This Row],[CODIGO]], PRODUCTOS[#All], 2, FALSE))</f>
        <v>Conduit pesado  100 mm</v>
      </c>
      <c r="D6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67" s="28" t="str">
        <f>IFERROR(IF(GENERAL[[#This Row],[CANTIDAD]]=0, "AGOTADO", IF(GENERAL[[#This Row],[CANTIDAD]]&lt;VLOOKUP(GENERAL[[#This Row],[CODIGO]], PRODUCTOS[#All], 3, FALSE), "MENOR AL MINIMO", "")), "")</f>
        <v/>
      </c>
      <c r="F67" s="39">
        <f>IF(OR(GENERAL[[#This Row],[CODIGO]]="", GENERAL[[#This Row],[CANTIDAD]]=""), "", VLOOKUP(GENERAL[[#This Row],[CODIGO]], PRODUCTOS[#All], 4, FALSE) * GENERAL[[#This Row],[CANTIDAD]])</f>
        <v>0</v>
      </c>
    </row>
    <row r="68" spans="2:6" s="8" customFormat="1" ht="30" customHeight="1" x14ac:dyDescent="0.25">
      <c r="B68" s="11" t="str">
        <f>IF(PRODUCTOS[[#This Row],[CODIGO]]="", "", PRODUCTOS[[#This Row],[CODIGO]])</f>
        <v>ELE-COND-13</v>
      </c>
      <c r="C68" s="6" t="str">
        <f>IF(GENERAL[[#This Row],[CODIGO]]="", "", VLOOKUP(GENERAL[[#This Row],[CODIGO]], PRODUCTOS[#All], 2, FALSE))</f>
        <v>Conduit pesado  1/2"</v>
      </c>
      <c r="D6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18</v>
      </c>
      <c r="E68" s="28" t="str">
        <f>IFERROR(IF(GENERAL[[#This Row],[CANTIDAD]]=0, "AGOTADO", IF(GENERAL[[#This Row],[CANTIDAD]]&lt;VLOOKUP(GENERAL[[#This Row],[CODIGO]], PRODUCTOS[#All], 3, FALSE), "MENOR AL MINIMO", "")), "")</f>
        <v/>
      </c>
      <c r="F68" s="39">
        <f>IF(OR(GENERAL[[#This Row],[CODIGO]]="", GENERAL[[#This Row],[CANTIDAD]]=""), "", VLOOKUP(GENERAL[[#This Row],[CODIGO]], PRODUCTOS[#All], 4, FALSE) * GENERAL[[#This Row],[CANTIDAD]])</f>
        <v>0</v>
      </c>
    </row>
    <row r="69" spans="2:6" s="8" customFormat="1" ht="30" customHeight="1" x14ac:dyDescent="0.25">
      <c r="B69" s="11" t="str">
        <f>IF(PRODUCTOS[[#This Row],[CODIGO]]="", "", PRODUCTOS[[#This Row],[CODIGO]])</f>
        <v>ELE-COND-25</v>
      </c>
      <c r="C69" s="6" t="str">
        <f>IF(GENERAL[[#This Row],[CODIGO]]="", "", VLOOKUP(GENERAL[[#This Row],[CODIGO]], PRODUCTOS[#All], 2, FALSE))</f>
        <v>Conduit pesado  25 mm</v>
      </c>
      <c r="D6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8</v>
      </c>
      <c r="E69" s="28" t="str">
        <f>IFERROR(IF(GENERAL[[#This Row],[CANTIDAD]]=0, "AGOTADO", IF(GENERAL[[#This Row],[CANTIDAD]]&lt;VLOOKUP(GENERAL[[#This Row],[CODIGO]], PRODUCTOS[#All], 3, FALSE), "MENOR AL MINIMO", "")), "")</f>
        <v/>
      </c>
      <c r="F69" s="39">
        <f>IF(OR(GENERAL[[#This Row],[CODIGO]]="", GENERAL[[#This Row],[CANTIDAD]]=""), "", VLOOKUP(GENERAL[[#This Row],[CODIGO]], PRODUCTOS[#All], 4, FALSE) * GENERAL[[#This Row],[CANTIDAD]])</f>
        <v>0</v>
      </c>
    </row>
    <row r="70" spans="2:6" s="8" customFormat="1" ht="30" customHeight="1" x14ac:dyDescent="0.25">
      <c r="B70" s="11" t="str">
        <f>IF(PRODUCTOS[[#This Row],[CODIGO]]="", "", PRODUCTOS[[#This Row],[CODIGO]])</f>
        <v>ELE-COND-38</v>
      </c>
      <c r="C70" s="6" t="str">
        <f>IF(GENERAL[[#This Row],[CODIGO]]="", "", VLOOKUP(GENERAL[[#This Row],[CODIGO]], PRODUCTOS[#All], 2, FALSE))</f>
        <v>Conduit pesado  38 mm</v>
      </c>
      <c r="D7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70" s="28" t="str">
        <f>IFERROR(IF(GENERAL[[#This Row],[CANTIDAD]]=0, "AGOTADO", IF(GENERAL[[#This Row],[CANTIDAD]]&lt;VLOOKUP(GENERAL[[#This Row],[CODIGO]], PRODUCTOS[#All], 3, FALSE), "MENOR AL MINIMO", "")), "")</f>
        <v/>
      </c>
      <c r="F70" s="39">
        <f>IF(OR(GENERAL[[#This Row],[CODIGO]]="", GENERAL[[#This Row],[CANTIDAD]]=""), "", VLOOKUP(GENERAL[[#This Row],[CODIGO]], PRODUCTOS[#All], 4, FALSE) * GENERAL[[#This Row],[CANTIDAD]])</f>
        <v>0</v>
      </c>
    </row>
    <row r="71" spans="2:6" s="8" customFormat="1" ht="30" customHeight="1" x14ac:dyDescent="0.25">
      <c r="B71" s="11" t="str">
        <f>IF(PRODUCTOS[[#This Row],[CODIGO]]="", "", PRODUCTOS[[#This Row],[CODIGO]])</f>
        <v>ELE-COND-50</v>
      </c>
      <c r="C71" s="6" t="str">
        <f>IF(GENERAL[[#This Row],[CODIGO]]="", "", VLOOKUP(GENERAL[[#This Row],[CODIGO]], PRODUCTOS[#All], 2, FALSE))</f>
        <v>Conduit pesado  50 mm</v>
      </c>
      <c r="D7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26</v>
      </c>
      <c r="E71" s="28" t="str">
        <f>IFERROR(IF(GENERAL[[#This Row],[CANTIDAD]]=0, "AGOTADO", IF(GENERAL[[#This Row],[CANTIDAD]]&lt;VLOOKUP(GENERAL[[#This Row],[CODIGO]], PRODUCTOS[#All], 3, FALSE), "MENOR AL MINIMO", "")), "")</f>
        <v/>
      </c>
      <c r="F71" s="39">
        <f>IF(OR(GENERAL[[#This Row],[CODIGO]]="", GENERAL[[#This Row],[CANTIDAD]]=""), "", VLOOKUP(GENERAL[[#This Row],[CODIGO]], PRODUCTOS[#All], 4, FALSE) * GENERAL[[#This Row],[CANTIDAD]])</f>
        <v>0</v>
      </c>
    </row>
    <row r="72" spans="2:6" s="8" customFormat="1" ht="30" customHeight="1" x14ac:dyDescent="0.25">
      <c r="B72" s="11" t="str">
        <f>IF(PRODUCTOS[[#This Row],[CODIGO]]="", "", PRODUCTOS[[#This Row],[CODIGO]])</f>
        <v>ELE-COND-60</v>
      </c>
      <c r="C72" s="6" t="str">
        <f>IF(GENERAL[[#This Row],[CODIGO]]="", "", VLOOKUP(GENERAL[[#This Row],[CODIGO]], PRODUCTOS[#All], 2, FALSE))</f>
        <v>Conduit pesado  60 mm</v>
      </c>
      <c r="D7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72" s="28" t="str">
        <f>IFERROR(IF(GENERAL[[#This Row],[CANTIDAD]]=0, "AGOTADO", IF(GENERAL[[#This Row],[CANTIDAD]]&lt;VLOOKUP(GENERAL[[#This Row],[CODIGO]], PRODUCTOS[#All], 3, FALSE), "MENOR AL MINIMO", "")), "")</f>
        <v/>
      </c>
      <c r="F72" s="39">
        <f>IF(OR(GENERAL[[#This Row],[CODIGO]]="", GENERAL[[#This Row],[CANTIDAD]]=""), "", VLOOKUP(GENERAL[[#This Row],[CODIGO]], PRODUCTOS[#All], 4, FALSE) * GENERAL[[#This Row],[CANTIDAD]])</f>
        <v>0</v>
      </c>
    </row>
    <row r="73" spans="2:6" s="8" customFormat="1" ht="30" customHeight="1" x14ac:dyDescent="0.25">
      <c r="B73" s="11" t="str">
        <f>IF(PRODUCTOS[[#This Row],[CODIGO]]="", "", PRODUCTOS[[#This Row],[CODIGO]])</f>
        <v>ELE-COND-75</v>
      </c>
      <c r="C73" s="6" t="str">
        <f>IF(GENERAL[[#This Row],[CODIGO]]="", "", VLOOKUP(GENERAL[[#This Row],[CODIGO]], PRODUCTOS[#All], 2, FALSE))</f>
        <v>Conduit pesado  75 mm</v>
      </c>
      <c r="D7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16</v>
      </c>
      <c r="E73" s="28" t="str">
        <f>IFERROR(IF(GENERAL[[#This Row],[CANTIDAD]]=0, "AGOTADO", IF(GENERAL[[#This Row],[CANTIDAD]]&lt;VLOOKUP(GENERAL[[#This Row],[CODIGO]], PRODUCTOS[#All], 3, FALSE), "MENOR AL MINIMO", "")), "")</f>
        <v/>
      </c>
      <c r="F73" s="39">
        <f>IF(OR(GENERAL[[#This Row],[CODIGO]]="", GENERAL[[#This Row],[CANTIDAD]]=""), "", VLOOKUP(GENERAL[[#This Row],[CODIGO]], PRODUCTOS[#All], 4, FALSE) * GENERAL[[#This Row],[CANTIDAD]])</f>
        <v>0</v>
      </c>
    </row>
    <row r="74" spans="2:6" s="8" customFormat="1" ht="30" customHeight="1" x14ac:dyDescent="0.25">
      <c r="B74" s="11" t="str">
        <f>IF(PRODUCTOS[[#This Row],[CODIGO]]="", "", PRODUCTOS[[#This Row],[CODIGO]])</f>
        <v>ELE-CONLZ100</v>
      </c>
      <c r="C74" s="6" t="str">
        <f>IF(GENERAL[[#This Row],[CODIGO]]="", "", VLOOKUP(GENERAL[[#This Row],[CODIGO]], PRODUCTOS[#All], 2, FALSE))</f>
        <v>Conector LZ 100</v>
      </c>
      <c r="D7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15</v>
      </c>
      <c r="E74" s="28" t="str">
        <f>IFERROR(IF(GENERAL[[#This Row],[CANTIDAD]]=0, "AGOTADO", IF(GENERAL[[#This Row],[CANTIDAD]]&lt;VLOOKUP(GENERAL[[#This Row],[CODIGO]], PRODUCTOS[#All], 3, FALSE), "MENOR AL MINIMO", "")), "")</f>
        <v/>
      </c>
      <c r="F74" s="39">
        <f>IF(OR(GENERAL[[#This Row],[CODIGO]]="", GENERAL[[#This Row],[CANTIDAD]]=""), "", VLOOKUP(GENERAL[[#This Row],[CODIGO]], PRODUCTOS[#All], 4, FALSE) * GENERAL[[#This Row],[CANTIDAD]])</f>
        <v>0</v>
      </c>
    </row>
    <row r="75" spans="2:6" s="8" customFormat="1" ht="30" customHeight="1" x14ac:dyDescent="0.25">
      <c r="B75" s="11" t="str">
        <f>IF(PRODUCTOS[[#This Row],[CODIGO]]="", "", PRODUCTOS[[#This Row],[CODIGO]])</f>
        <v>ELE-CONLZ-250</v>
      </c>
      <c r="C75" s="6" t="str">
        <f>IF(GENERAL[[#This Row],[CODIGO]]="", "", VLOOKUP(GENERAL[[#This Row],[CODIGO]], PRODUCTOS[#All], 2, FALSE))</f>
        <v>Conector LZ 250</v>
      </c>
      <c r="D7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75" s="28" t="str">
        <f>IFERROR(IF(GENERAL[[#This Row],[CANTIDAD]]=0, "AGOTADO", IF(GENERAL[[#This Row],[CANTIDAD]]&lt;VLOOKUP(GENERAL[[#This Row],[CODIGO]], PRODUCTOS[#All], 3, FALSE), "MENOR AL MINIMO", "")), "")</f>
        <v/>
      </c>
      <c r="F75" s="39">
        <f>IF(OR(GENERAL[[#This Row],[CODIGO]]="", GENERAL[[#This Row],[CANTIDAD]]=""), "", VLOOKUP(GENERAL[[#This Row],[CODIGO]], PRODUCTOS[#All], 4, FALSE) * GENERAL[[#This Row],[CANTIDAD]])</f>
        <v>0</v>
      </c>
    </row>
    <row r="76" spans="2:6" s="8" customFormat="1" ht="30" customHeight="1" x14ac:dyDescent="0.25">
      <c r="B76" s="11" t="str">
        <f>IF(PRODUCTOS[[#This Row],[CODIGO]]="", "", PRODUCTOS[[#This Row],[CODIGO]])</f>
        <v>ELE-CONT-008</v>
      </c>
      <c r="C76" s="6" t="str">
        <f>IF(GENERAL[[#This Row],[CODIGO]]="", "", VLOOKUP(GENERAL[[#This Row],[CODIGO]], PRODUCTOS[#All], 2, FALSE))</f>
        <v xml:space="preserve">Contactor </v>
      </c>
      <c r="D7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76" s="28" t="str">
        <f>IFERROR(IF(GENERAL[[#This Row],[CANTIDAD]]=0, "AGOTADO", IF(GENERAL[[#This Row],[CANTIDAD]]&lt;VLOOKUP(GENERAL[[#This Row],[CODIGO]], PRODUCTOS[#All], 3, FALSE), "MENOR AL MINIMO", "")), "")</f>
        <v/>
      </c>
      <c r="F76" s="39">
        <f>IF(OR(GENERAL[[#This Row],[CODIGO]]="", GENERAL[[#This Row],[CANTIDAD]]=""), "", VLOOKUP(GENERAL[[#This Row],[CODIGO]], PRODUCTOS[#All], 4, FALSE) * GENERAL[[#This Row],[CANTIDAD]])</f>
        <v>208</v>
      </c>
    </row>
    <row r="77" spans="2:6" s="8" customFormat="1" ht="30" customHeight="1" x14ac:dyDescent="0.25">
      <c r="B77" s="11" t="str">
        <f>IF(PRODUCTOS[[#This Row],[CODIGO]]="", "", PRODUCTOS[[#This Row],[CODIGO]])</f>
        <v>ELE-CORTC-007</v>
      </c>
      <c r="C77" s="6" t="str">
        <f>IF(GENERAL[[#This Row],[CODIGO]]="", "", VLOOKUP(GENERAL[[#This Row],[CODIGO]], PRODUCTOS[#All], 2, FALSE))</f>
        <v>Cortacorriente (cuchilla)</v>
      </c>
      <c r="D7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77" s="28" t="str">
        <f>IFERROR(IF(GENERAL[[#This Row],[CANTIDAD]]=0, "AGOTADO", IF(GENERAL[[#This Row],[CANTIDAD]]&lt;VLOOKUP(GENERAL[[#This Row],[CODIGO]], PRODUCTOS[#All], 3, FALSE), "MENOR AL MINIMO", "")), "")</f>
        <v/>
      </c>
      <c r="F77" s="39">
        <f>IF(OR(GENERAL[[#This Row],[CODIGO]]="", GENERAL[[#This Row],[CANTIDAD]]=""), "", VLOOKUP(GENERAL[[#This Row],[CODIGO]], PRODUCTOS[#All], 4, FALSE) * GENERAL[[#This Row],[CANTIDAD]])</f>
        <v>8129.0499999999993</v>
      </c>
    </row>
    <row r="78" spans="2:6" s="8" customFormat="1" ht="30" customHeight="1" x14ac:dyDescent="0.25">
      <c r="B78" s="11" t="str">
        <f>IF(PRODUCTOS[[#This Row],[CODIGO]]="", "", PRODUCTOS[[#This Row],[CODIGO]])</f>
        <v>ELE-CRECAL-3OR</v>
      </c>
      <c r="C78" s="6" t="str">
        <f>IF(GENERAL[[#This Row],[CODIGO]]="", "", VLOOKUP(GENERAL[[#This Row],[CODIGO]], PRODUCTOS[#All], 2, FALSE))</f>
        <v>Caja rectangular de aluminio 3 orificios de 1/2"</v>
      </c>
      <c r="D7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8</v>
      </c>
      <c r="E78" s="28" t="str">
        <f>IFERROR(IF(GENERAL[[#This Row],[CANTIDAD]]=0, "AGOTADO", IF(GENERAL[[#This Row],[CANTIDAD]]&lt;VLOOKUP(GENERAL[[#This Row],[CODIGO]], PRODUCTOS[#All], 3, FALSE), "MENOR AL MINIMO", "")), "")</f>
        <v/>
      </c>
      <c r="F78" s="39">
        <f>IF(OR(GENERAL[[#This Row],[CODIGO]]="", GENERAL[[#This Row],[CANTIDAD]]=""), "", VLOOKUP(GENERAL[[#This Row],[CODIGO]], PRODUCTOS[#All], 4, FALSE) * GENERAL[[#This Row],[CANTIDAD]])</f>
        <v>6696</v>
      </c>
    </row>
    <row r="79" spans="2:6" s="8" customFormat="1" ht="30" customHeight="1" x14ac:dyDescent="0.25">
      <c r="B79" s="11" t="str">
        <f>IF(PRODUCTOS[[#This Row],[CODIGO]]="", "", PRODUCTOS[[#This Row],[CODIGO]])</f>
        <v>ELE-CRLIC-1</v>
      </c>
      <c r="C79" s="6" t="str">
        <f>IF(GENERAL[[#This Row],[CODIGO]]="", "", VLOOKUP(GENERAL[[#This Row],[CODIGO]], PRODUCTOS[#All], 2, FALSE))</f>
        <v>Conector Recto licuatite 1"</v>
      </c>
      <c r="D7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79" s="28" t="str">
        <f>IFERROR(IF(GENERAL[[#This Row],[CANTIDAD]]=0, "AGOTADO", IF(GENERAL[[#This Row],[CANTIDAD]]&lt;VLOOKUP(GENERAL[[#This Row],[CODIGO]], PRODUCTOS[#All], 3, FALSE), "MENOR AL MINIMO", "")), "")</f>
        <v/>
      </c>
      <c r="F79" s="39">
        <f>IF(OR(GENERAL[[#This Row],[CODIGO]]="", GENERAL[[#This Row],[CANTIDAD]]=""), "", VLOOKUP(GENERAL[[#This Row],[CODIGO]], PRODUCTOS[#All], 4, FALSE) * GENERAL[[#This Row],[CANTIDAD]])</f>
        <v>0</v>
      </c>
    </row>
    <row r="80" spans="2:6" s="8" customFormat="1" ht="30" customHeight="1" x14ac:dyDescent="0.25">
      <c r="B80" s="11" t="str">
        <f>IF(PRODUCTOS[[#This Row],[CODIGO]]="", "", PRODUCTOS[[#This Row],[CODIGO]])</f>
        <v>ELE-CRLIC-12</v>
      </c>
      <c r="C80" s="6" t="str">
        <f>IF(GENERAL[[#This Row],[CODIGO]]="", "", VLOOKUP(GENERAL[[#This Row],[CODIGO]], PRODUCTOS[#All], 2, FALSE))</f>
        <v>Conector Recto licuatite 1/2"</v>
      </c>
      <c r="D8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20</v>
      </c>
      <c r="E80" s="28" t="str">
        <f>IFERROR(IF(GENERAL[[#This Row],[CANTIDAD]]=0, "AGOTADO", IF(GENERAL[[#This Row],[CANTIDAD]]&lt;VLOOKUP(GENERAL[[#This Row],[CODIGO]], PRODUCTOS[#All], 3, FALSE), "MENOR AL MINIMO", "")), "")</f>
        <v/>
      </c>
      <c r="F80" s="39">
        <f>IF(OR(GENERAL[[#This Row],[CODIGO]]="", GENERAL[[#This Row],[CANTIDAD]]=""), "", VLOOKUP(GENERAL[[#This Row],[CODIGO]], PRODUCTOS[#All], 4, FALSE) * GENERAL[[#This Row],[CANTIDAD]])</f>
        <v>0</v>
      </c>
    </row>
    <row r="81" spans="2:6" s="8" customFormat="1" ht="30" customHeight="1" x14ac:dyDescent="0.25">
      <c r="B81" s="11" t="str">
        <f>IF(PRODUCTOS[[#This Row],[CODIGO]]="", "", PRODUCTOS[[#This Row],[CODIGO]])</f>
        <v>ELE-CRLIC-2</v>
      </c>
      <c r="C81" s="6" t="str">
        <f>IF(GENERAL[[#This Row],[CODIGO]]="", "", VLOOKUP(GENERAL[[#This Row],[CODIGO]], PRODUCTOS[#All], 2, FALSE))</f>
        <v>Conector Recto licuatite 2"</v>
      </c>
      <c r="D8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81" s="28" t="str">
        <f>IFERROR(IF(GENERAL[[#This Row],[CANTIDAD]]=0, "AGOTADO", IF(GENERAL[[#This Row],[CANTIDAD]]&lt;VLOOKUP(GENERAL[[#This Row],[CODIGO]], PRODUCTOS[#All], 3, FALSE), "MENOR AL MINIMO", "")), "")</f>
        <v/>
      </c>
      <c r="F81" s="39">
        <f>IF(OR(GENERAL[[#This Row],[CODIGO]]="", GENERAL[[#This Row],[CANTIDAD]]=""), "", VLOOKUP(GENERAL[[#This Row],[CODIGO]], PRODUCTOS[#All], 4, FALSE) * GENERAL[[#This Row],[CANTIDAD]])</f>
        <v>0</v>
      </c>
    </row>
    <row r="82" spans="2:6" s="8" customFormat="1" ht="30" customHeight="1" x14ac:dyDescent="0.25">
      <c r="B82" s="11" t="str">
        <f>IF(PRODUCTOS[[#This Row],[CODIGO]]="", "", PRODUCTOS[[#This Row],[CODIGO]])</f>
        <v>ELE-CRLIC-212</v>
      </c>
      <c r="C82" s="6" t="str">
        <f>IF(GENERAL[[#This Row],[CODIGO]]="", "", VLOOKUP(GENERAL[[#This Row],[CODIGO]], PRODUCTOS[#All], 2, FALSE))</f>
        <v>Conector Recto licuatite 2 1/2"</v>
      </c>
      <c r="D8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82" s="28" t="str">
        <f>IFERROR(IF(GENERAL[[#This Row],[CANTIDAD]]=0, "AGOTADO", IF(GENERAL[[#This Row],[CANTIDAD]]&lt;VLOOKUP(GENERAL[[#This Row],[CODIGO]], PRODUCTOS[#All], 3, FALSE), "MENOR AL MINIMO", "")), "")</f>
        <v/>
      </c>
      <c r="F82" s="39">
        <f>IF(OR(GENERAL[[#This Row],[CODIGO]]="", GENERAL[[#This Row],[CANTIDAD]]=""), "", VLOOKUP(GENERAL[[#This Row],[CODIGO]], PRODUCTOS[#All], 4, FALSE) * GENERAL[[#This Row],[CANTIDAD]])</f>
        <v>0</v>
      </c>
    </row>
    <row r="83" spans="2:6" s="8" customFormat="1" ht="30" customHeight="1" x14ac:dyDescent="0.25">
      <c r="B83" s="11" t="str">
        <f>IF(PRODUCTOS[[#This Row],[CODIGO]]="", "", PRODUCTOS[[#This Row],[CODIGO]])</f>
        <v>ELE-CRLIC-3</v>
      </c>
      <c r="C83" s="6" t="str">
        <f>IF(GENERAL[[#This Row],[CODIGO]]="", "", VLOOKUP(GENERAL[[#This Row],[CODIGO]], PRODUCTOS[#All], 2, FALSE))</f>
        <v>Conector Recto licuatite 3"</v>
      </c>
      <c r="D8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3" s="28" t="str">
        <f>IFERROR(IF(GENERAL[[#This Row],[CANTIDAD]]=0, "AGOTADO", IF(GENERAL[[#This Row],[CANTIDAD]]&lt;VLOOKUP(GENERAL[[#This Row],[CODIGO]], PRODUCTOS[#All], 3, FALSE), "MENOR AL MINIMO", "")), "")</f>
        <v/>
      </c>
      <c r="F83" s="39">
        <f>IF(OR(GENERAL[[#This Row],[CODIGO]]="", GENERAL[[#This Row],[CANTIDAD]]=""), "", VLOOKUP(GENERAL[[#This Row],[CODIGO]], PRODUCTOS[#All], 4, FALSE) * GENERAL[[#This Row],[CANTIDAD]])</f>
        <v>0</v>
      </c>
    </row>
    <row r="84" spans="2:6" s="8" customFormat="1" ht="30" customHeight="1" x14ac:dyDescent="0.25">
      <c r="B84" s="11" t="str">
        <f>IF(PRODUCTOS[[#This Row],[CODIGO]]="", "", PRODUCTOS[[#This Row],[CODIGO]])</f>
        <v>ELE-CRLIC-4</v>
      </c>
      <c r="C84" s="6" t="str">
        <f>IF(GENERAL[[#This Row],[CODIGO]]="", "", VLOOKUP(GENERAL[[#This Row],[CODIGO]], PRODUCTOS[#All], 2, FALSE))</f>
        <v>Conector Recto licuatite 4"</v>
      </c>
      <c r="D8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84" s="28" t="str">
        <f>IFERROR(IF(GENERAL[[#This Row],[CANTIDAD]]=0, "AGOTADO", IF(GENERAL[[#This Row],[CANTIDAD]]&lt;VLOOKUP(GENERAL[[#This Row],[CODIGO]], PRODUCTOS[#All], 3, FALSE), "MENOR AL MINIMO", "")), "")</f>
        <v/>
      </c>
      <c r="F84" s="39">
        <f>IF(OR(GENERAL[[#This Row],[CODIGO]]="", GENERAL[[#This Row],[CANTIDAD]]=""), "", VLOOKUP(GENERAL[[#This Row],[CODIGO]], PRODUCTOS[#All], 4, FALSE) * GENERAL[[#This Row],[CANTIDAD]])</f>
        <v>0</v>
      </c>
    </row>
    <row r="85" spans="2:6" s="8" customFormat="1" ht="30" customHeight="1" x14ac:dyDescent="0.25">
      <c r="B85" s="11" t="str">
        <f>IF(PRODUCTOS[[#This Row],[CODIGO]]="", "", PRODUCTOS[[#This Row],[CODIGO]])</f>
        <v>ELE-ELECLB-250</v>
      </c>
      <c r="C85" s="6" t="str">
        <f>IF(GENERAL[[#This Row],[CODIGO]]="", "", VLOOKUP(GENERAL[[#This Row],[CODIGO]], PRODUCTOS[#All], 2, FALSE))</f>
        <v>Electroregistro LB oln 250 2.5"</v>
      </c>
      <c r="D8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85" s="28" t="str">
        <f>IFERROR(IF(GENERAL[[#This Row],[CANTIDAD]]=0, "AGOTADO", IF(GENERAL[[#This Row],[CANTIDAD]]&lt;VLOOKUP(GENERAL[[#This Row],[CODIGO]], PRODUCTOS[#All], 3, FALSE), "MENOR AL MINIMO", "")), "")</f>
        <v/>
      </c>
      <c r="F85" s="39">
        <f>IF(OR(GENERAL[[#This Row],[CODIGO]]="", GENERAL[[#This Row],[CANTIDAD]]=""), "", VLOOKUP(GENERAL[[#This Row],[CODIGO]], PRODUCTOS[#All], 4, FALSE) * GENERAL[[#This Row],[CANTIDAD]])</f>
        <v>357</v>
      </c>
    </row>
    <row r="86" spans="2:6" s="8" customFormat="1" ht="30" customHeight="1" x14ac:dyDescent="0.25">
      <c r="B86" s="11" t="str">
        <f>IF(PRODUCTOS[[#This Row],[CODIGO]]="", "", PRODUCTOS[[#This Row],[CODIGO]])</f>
        <v>ELE-INTTRM</v>
      </c>
      <c r="C86" s="6" t="str">
        <f>IF(GENERAL[[#This Row],[CODIGO]]="", "", VLOOKUP(GENERAL[[#This Row],[CODIGO]], PRODUCTOS[#All], 2, FALSE))</f>
        <v>Interruptor termomagnético</v>
      </c>
      <c r="D8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6" s="28" t="str">
        <f>IFERROR(IF(GENERAL[[#This Row],[CANTIDAD]]=0, "AGOTADO", IF(GENERAL[[#This Row],[CANTIDAD]]&lt;VLOOKUP(GENERAL[[#This Row],[CODIGO]], PRODUCTOS[#All], 3, FALSE), "MENOR AL MINIMO", "")), "")</f>
        <v/>
      </c>
      <c r="F86" s="39">
        <f>IF(OR(GENERAL[[#This Row],[CODIGO]]="", GENERAL[[#This Row],[CANTIDAD]]=""), "", VLOOKUP(GENERAL[[#This Row],[CODIGO]], PRODUCTOS[#All], 4, FALSE) * GENERAL[[#This Row],[CANTIDAD]])</f>
        <v>1917</v>
      </c>
    </row>
    <row r="87" spans="2:6" s="8" customFormat="1" ht="30" customHeight="1" x14ac:dyDescent="0.25">
      <c r="B87" s="11" t="str">
        <f>IF(PRODUCTOS[[#This Row],[CODIGO]]="", "", PRODUCTOS[[#This Row],[CODIGO]])</f>
        <v>ELE-INTTRM-125</v>
      </c>
      <c r="C87" s="6" t="str">
        <f>IF(GENERAL[[#This Row],[CODIGO]]="", "", VLOOKUP(GENERAL[[#This Row],[CODIGO]], PRODUCTOS[#All], 2, FALSE))</f>
        <v>Interruptores termomagneticos 125 amp.</v>
      </c>
      <c r="D8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7" s="28" t="str">
        <f>IFERROR(IF(GENERAL[[#This Row],[CANTIDAD]]=0, "AGOTADO", IF(GENERAL[[#This Row],[CANTIDAD]]&lt;VLOOKUP(GENERAL[[#This Row],[CODIGO]], PRODUCTOS[#All], 3, FALSE), "MENOR AL MINIMO", "")), "")</f>
        <v/>
      </c>
      <c r="F87" s="39">
        <f>IF(OR(GENERAL[[#This Row],[CODIGO]]="", GENERAL[[#This Row],[CANTIDAD]]=""), "", VLOOKUP(GENERAL[[#This Row],[CODIGO]], PRODUCTOS[#All], 4, FALSE) * GENERAL[[#This Row],[CANTIDAD]])</f>
        <v>0</v>
      </c>
    </row>
    <row r="88" spans="2:6" s="8" customFormat="1" ht="30" customHeight="1" x14ac:dyDescent="0.25">
      <c r="B88" s="11" t="str">
        <f>IF(PRODUCTOS[[#This Row],[CODIGO]]="", "", PRODUCTOS[[#This Row],[CODIGO]])</f>
        <v>ELE-INTTRM-250</v>
      </c>
      <c r="C88" s="6" t="str">
        <f>IF(GENERAL[[#This Row],[CODIGO]]="", "", VLOOKUP(GENERAL[[#This Row],[CODIGO]], PRODUCTOS[#All], 2, FALSE))</f>
        <v>Interruptor termomagnético 250 amp.</v>
      </c>
      <c r="D8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8" s="28" t="str">
        <f>IFERROR(IF(GENERAL[[#This Row],[CANTIDAD]]=0, "AGOTADO", IF(GENERAL[[#This Row],[CANTIDAD]]&lt;VLOOKUP(GENERAL[[#This Row],[CODIGO]], PRODUCTOS[#All], 3, FALSE), "MENOR AL MINIMO", "")), "")</f>
        <v/>
      </c>
      <c r="F88" s="39">
        <f>IF(OR(GENERAL[[#This Row],[CODIGO]]="", GENERAL[[#This Row],[CANTIDAD]]=""), "", VLOOKUP(GENERAL[[#This Row],[CODIGO]], PRODUCTOS[#All], 4, FALSE) * GENERAL[[#This Row],[CANTIDAD]])</f>
        <v>8850</v>
      </c>
    </row>
    <row r="89" spans="2:6" s="8" customFormat="1" ht="30" customHeight="1" x14ac:dyDescent="0.25">
      <c r="B89" s="11" t="str">
        <f>IF(PRODUCTOS[[#This Row],[CODIGO]]="", "", PRODUCTOS[[#This Row],[CODIGO]])</f>
        <v>ELE-INTTRM-400</v>
      </c>
      <c r="C89" s="6" t="str">
        <f>IF(GENERAL[[#This Row],[CODIGO]]="", "", VLOOKUP(GENERAL[[#This Row],[CODIGO]], PRODUCTOS[#All], 2, FALSE))</f>
        <v>Interruptor termomagnético 400 amp.</v>
      </c>
      <c r="D8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9" s="28" t="str">
        <f>IFERROR(IF(GENERAL[[#This Row],[CANTIDAD]]=0, "AGOTADO", IF(GENERAL[[#This Row],[CANTIDAD]]&lt;VLOOKUP(GENERAL[[#This Row],[CODIGO]], PRODUCTOS[#All], 3, FALSE), "MENOR AL MINIMO", "")), "")</f>
        <v/>
      </c>
      <c r="F89" s="39">
        <f>IF(OR(GENERAL[[#This Row],[CODIGO]]="", GENERAL[[#This Row],[CANTIDAD]]=""), "", VLOOKUP(GENERAL[[#This Row],[CODIGO]], PRODUCTOS[#All], 4, FALSE) * GENERAL[[#This Row],[CANTIDAD]])</f>
        <v>8879.89</v>
      </c>
    </row>
    <row r="90" spans="2:6" s="8" customFormat="1" ht="30" customHeight="1" x14ac:dyDescent="0.25">
      <c r="B90" s="11" t="str">
        <f>IF(PRODUCTOS[[#This Row],[CODIGO]]="", "", PRODUCTOS[[#This Row],[CODIGO]])</f>
        <v>ELE-MONSME-002</v>
      </c>
      <c r="C90" s="6" t="str">
        <f>IF(GENERAL[[#This Row],[CODIGO]]="", "", VLOOKUP(GENERAL[[#This Row],[CODIGO]], PRODUCTOS[#All], 2, FALSE))</f>
        <v>Monitor SME</v>
      </c>
      <c r="D9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90" s="28" t="str">
        <f>IFERROR(IF(GENERAL[[#This Row],[CANTIDAD]]=0, "AGOTADO", IF(GENERAL[[#This Row],[CANTIDAD]]&lt;VLOOKUP(GENERAL[[#This Row],[CODIGO]], PRODUCTOS[#All], 3, FALSE), "MENOR AL MINIMO", "")), "")</f>
        <v/>
      </c>
      <c r="F90" s="39">
        <f>IF(OR(GENERAL[[#This Row],[CODIGO]]="", GENERAL[[#This Row],[CANTIDAD]]=""), "", VLOOKUP(GENERAL[[#This Row],[CODIGO]], PRODUCTOS[#All], 4, FALSE) * GENERAL[[#This Row],[CANTIDAD]])</f>
        <v>0</v>
      </c>
    </row>
    <row r="91" spans="2:6" s="8" customFormat="1" ht="30" customHeight="1" x14ac:dyDescent="0.25">
      <c r="B91" s="11" t="str">
        <f>IF(PRODUCTOS[[#This Row],[CODIGO]]="", "", PRODUCTOS[[#This Row],[CODIGO]])</f>
        <v>ELE-MT1-0000</v>
      </c>
      <c r="C91" s="6" t="str">
        <f>IF(GENERAL[[#This Row],[CODIGO]]="", "", VLOOKUP(GENERAL[[#This Row],[CODIGO]], PRODUCTOS[#All], 2, FALSE))</f>
        <v>Manga 1 - 4/0 AWG</v>
      </c>
      <c r="D9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572</v>
      </c>
      <c r="E91" s="28" t="str">
        <f>IFERROR(IF(GENERAL[[#This Row],[CANTIDAD]]=0, "AGOTADO", IF(GENERAL[[#This Row],[CANTIDAD]]&lt;VLOOKUP(GENERAL[[#This Row],[CODIGO]], PRODUCTOS[#All], 3, FALSE), "MENOR AL MINIMO", "")), "")</f>
        <v/>
      </c>
      <c r="F91" s="39">
        <f>IF(OR(GENERAL[[#This Row],[CODIGO]]="", GENERAL[[#This Row],[CANTIDAD]]=""), "", VLOOKUP(GENERAL[[#This Row],[CODIGO]], PRODUCTOS[#All], 4, FALSE) * GENERAL[[#This Row],[CANTIDAD]])</f>
        <v>3672.24</v>
      </c>
    </row>
    <row r="92" spans="2:6" s="8" customFormat="1" ht="30" customHeight="1" x14ac:dyDescent="0.25">
      <c r="B92" s="11" t="str">
        <f>IF(PRODUCTOS[[#This Row],[CODIGO]]="", "", PRODUCTOS[[#This Row],[CODIGO]])</f>
        <v>ELE-MT1000-2500</v>
      </c>
      <c r="C92" s="6" t="str">
        <f>IF(GENERAL[[#This Row],[CODIGO]]="", "", VLOOKUP(GENERAL[[#This Row],[CODIGO]], PRODUCTOS[#All], 2, FALSE))</f>
        <v>Manga 1000 -2500 KCMIL</v>
      </c>
      <c r="D9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240</v>
      </c>
      <c r="E92" s="28" t="str">
        <f>IFERROR(IF(GENERAL[[#This Row],[CANTIDAD]]=0, "AGOTADO", IF(GENERAL[[#This Row],[CANTIDAD]]&lt;VLOOKUP(GENERAL[[#This Row],[CODIGO]], PRODUCTOS[#All], 3, FALSE), "MENOR AL MINIMO", "")), "")</f>
        <v/>
      </c>
      <c r="F92" s="39">
        <f>IF(OR(GENERAL[[#This Row],[CODIGO]]="", GENERAL[[#This Row],[CANTIDAD]]=""), "", VLOOKUP(GENERAL[[#This Row],[CODIGO]], PRODUCTOS[#All], 4, FALSE) * GENERAL[[#This Row],[CANTIDAD]])</f>
        <v>3891.1598400000003</v>
      </c>
    </row>
    <row r="93" spans="2:6" s="8" customFormat="1" ht="30" customHeight="1" x14ac:dyDescent="0.25">
      <c r="B93" s="11" t="str">
        <f>IF(PRODUCTOS[[#This Row],[CODIGO]]="", "", PRODUCTOS[[#This Row],[CODIGO]])</f>
        <v>ELE-MT2-00</v>
      </c>
      <c r="C93" s="6" t="str">
        <f>IF(GENERAL[[#This Row],[CODIGO]]="", "", VLOOKUP(GENERAL[[#This Row],[CODIGO]], PRODUCTOS[#All], 2, FALSE))</f>
        <v>Manga 2 - 2/0 AWG</v>
      </c>
      <c r="D9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242</v>
      </c>
      <c r="E93" s="28" t="str">
        <f>IFERROR(IF(GENERAL[[#This Row],[CANTIDAD]]=0, "AGOTADO", IF(GENERAL[[#This Row],[CANTIDAD]]&lt;VLOOKUP(GENERAL[[#This Row],[CODIGO]], PRODUCTOS[#All], 3, FALSE), "MENOR AL MINIMO", "")), "")</f>
        <v/>
      </c>
      <c r="F93" s="39">
        <f>IF(OR(GENERAL[[#This Row],[CODIGO]]="", GENERAL[[#This Row],[CANTIDAD]]=""), "", VLOOKUP(GENERAL[[#This Row],[CODIGO]], PRODUCTOS[#All], 4, FALSE) * GENERAL[[#This Row],[CANTIDAD]])</f>
        <v>1157.6877312000001</v>
      </c>
    </row>
    <row r="94" spans="2:6" s="8" customFormat="1" ht="30" customHeight="1" x14ac:dyDescent="0.25">
      <c r="B94" s="11" t="str">
        <f>IF(PRODUCTOS[[#This Row],[CODIGO]]="", "", PRODUCTOS[[#This Row],[CODIGO]])</f>
        <v>ELE-MT300-500</v>
      </c>
      <c r="C94" s="6" t="str">
        <f>IF(GENERAL[[#This Row],[CODIGO]]="", "", VLOOKUP(GENERAL[[#This Row],[CODIGO]], PRODUCTOS[#All], 2, FALSE))</f>
        <v>manga 300 - 500 KCMIL</v>
      </c>
      <c r="D9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68</v>
      </c>
      <c r="E94" s="28" t="str">
        <f>IFERROR(IF(GENERAL[[#This Row],[CANTIDAD]]=0, "AGOTADO", IF(GENERAL[[#This Row],[CANTIDAD]]&lt;VLOOKUP(GENERAL[[#This Row],[CODIGO]], PRODUCTOS[#All], 3, FALSE), "MENOR AL MINIMO", "")), "")</f>
        <v/>
      </c>
      <c r="F94" s="39">
        <f>IF(OR(GENERAL[[#This Row],[CODIGO]]="", GENERAL[[#This Row],[CANTIDAD]]=""), "", VLOOKUP(GENERAL[[#This Row],[CODIGO]], PRODUCTOS[#All], 4, FALSE) * GENERAL[[#This Row],[CANTIDAD]])</f>
        <v>463.08</v>
      </c>
    </row>
    <row r="95" spans="2:6" s="8" customFormat="1" ht="30" customHeight="1" x14ac:dyDescent="0.25">
      <c r="B95" s="11" t="str">
        <f>IF(PRODUCTOS[[#This Row],[CODIGO]]="", "", PRODUCTOS[[#This Row],[CODIGO]])</f>
        <v>ELE-MT600-1250</v>
      </c>
      <c r="C95" s="6" t="str">
        <f>IF(GENERAL[[#This Row],[CODIGO]]="", "", VLOOKUP(GENERAL[[#This Row],[CODIGO]], PRODUCTOS[#All], 2, FALSE))</f>
        <v>Manga 600 - 1250 KCMIL</v>
      </c>
      <c r="D9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245</v>
      </c>
      <c r="E95" s="28" t="str">
        <f>IFERROR(IF(GENERAL[[#This Row],[CANTIDAD]]=0, "AGOTADO", IF(GENERAL[[#This Row],[CANTIDAD]]&lt;VLOOKUP(GENERAL[[#This Row],[CODIGO]], PRODUCTOS[#All], 3, FALSE), "MENOR AL MINIMO", "")), "")</f>
        <v/>
      </c>
      <c r="F95" s="39">
        <f>IF(OR(GENERAL[[#This Row],[CODIGO]]="", GENERAL[[#This Row],[CANTIDAD]]=""), "", VLOOKUP(GENERAL[[#This Row],[CODIGO]], PRODUCTOS[#All], 4, FALSE) * GENERAL[[#This Row],[CANTIDAD]])</f>
        <v>3544.415</v>
      </c>
    </row>
    <row r="96" spans="2:6" s="8" customFormat="1" ht="30" customHeight="1" x14ac:dyDescent="0.25">
      <c r="B96" s="11" t="str">
        <f>IF(PRODUCTOS[[#This Row],[CODIGO]]="", "", PRODUCTOS[[#This Row],[CODIGO]])</f>
        <v>ELE-NIPLE-112</v>
      </c>
      <c r="C96" s="6" t="str">
        <f>IF(GENERAL[[#This Row],[CODIGO]]="", "", VLOOKUP(GENERAL[[#This Row],[CODIGO]], PRODUCTOS[#All], 2, FALSE))</f>
        <v>Niple 1 - 1/2"</v>
      </c>
      <c r="D9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11</v>
      </c>
      <c r="E96" s="28" t="str">
        <f>IFERROR(IF(GENERAL[[#This Row],[CANTIDAD]]=0, "AGOTADO", IF(GENERAL[[#This Row],[CANTIDAD]]&lt;VLOOKUP(GENERAL[[#This Row],[CODIGO]], PRODUCTOS[#All], 3, FALSE), "MENOR AL MINIMO", "")), "")</f>
        <v/>
      </c>
      <c r="F96" s="39">
        <f>IF(OR(GENERAL[[#This Row],[CODIGO]]="", GENERAL[[#This Row],[CANTIDAD]]=""), "", VLOOKUP(GENERAL[[#This Row],[CODIGO]], PRODUCTOS[#All], 4, FALSE) * GENERAL[[#This Row],[CANTIDAD]])</f>
        <v>0</v>
      </c>
    </row>
    <row r="97" spans="2:20" s="8" customFormat="1" ht="30" customHeight="1" x14ac:dyDescent="0.25">
      <c r="B97" s="11" t="str">
        <f>IF(PRODUCTOS[[#This Row],[CODIGO]]="", "", PRODUCTOS[[#This Row],[CODIGO]])</f>
        <v>ELE-NIPLE-2</v>
      </c>
      <c r="C97" s="6" t="str">
        <f>IF(GENERAL[[#This Row],[CODIGO]]="", "", VLOOKUP(GENERAL[[#This Row],[CODIGO]], PRODUCTOS[#All], 2, FALSE))</f>
        <v>Niple 2"</v>
      </c>
      <c r="D9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97" s="28" t="str">
        <f>IFERROR(IF(GENERAL[[#This Row],[CANTIDAD]]=0, "AGOTADO", IF(GENERAL[[#This Row],[CANTIDAD]]&lt;VLOOKUP(GENERAL[[#This Row],[CODIGO]], PRODUCTOS[#All], 3, FALSE), "MENOR AL MINIMO", "")), "")</f>
        <v/>
      </c>
      <c r="F97" s="39">
        <f>IF(OR(GENERAL[[#This Row],[CODIGO]]="", GENERAL[[#This Row],[CANTIDAD]]=""), "", VLOOKUP(GENERAL[[#This Row],[CODIGO]], PRODUCTOS[#All], 4, FALSE) * GENERAL[[#This Row],[CANTIDAD]])</f>
        <v>0</v>
      </c>
    </row>
    <row r="98" spans="2:20" s="8" customFormat="1" ht="30" customHeight="1" x14ac:dyDescent="0.25">
      <c r="B98" s="11" t="str">
        <f>IF(PRODUCTOS[[#This Row],[CODIGO]]="", "", PRODUCTOS[[#This Row],[CODIGO]])</f>
        <v>ELE-NIPLE-212</v>
      </c>
      <c r="C98" s="6" t="str">
        <f>IF(GENERAL[[#This Row],[CODIGO]]="", "", VLOOKUP(GENERAL[[#This Row],[CODIGO]], PRODUCTOS[#All], 2, FALSE))</f>
        <v>Niple 2 1/2"</v>
      </c>
      <c r="D9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98" s="28" t="str">
        <f>IFERROR(IF(GENERAL[[#This Row],[CANTIDAD]]=0, "AGOTADO", IF(GENERAL[[#This Row],[CANTIDAD]]&lt;VLOOKUP(GENERAL[[#This Row],[CODIGO]], PRODUCTOS[#All], 3, FALSE), "MENOR AL MINIMO", "")), "")</f>
        <v/>
      </c>
      <c r="F98" s="39">
        <f>IF(OR(GENERAL[[#This Row],[CODIGO]]="", GENERAL[[#This Row],[CANTIDAD]]=""), "", VLOOKUP(GENERAL[[#This Row],[CODIGO]], PRODUCTOS[#All], 4, FALSE) * GENERAL[[#This Row],[CANTIDAD]])</f>
        <v>0</v>
      </c>
    </row>
    <row r="99" spans="2:20" s="8" customFormat="1" ht="30" customHeight="1" x14ac:dyDescent="0.25">
      <c r="B99" s="11" t="str">
        <f>IF(PRODUCTOS[[#This Row],[CODIGO]]="", "", PRODUCTOS[[#This Row],[CODIGO]])</f>
        <v>ELE-NIPLE-3</v>
      </c>
      <c r="C99" s="6" t="str">
        <f>IF(GENERAL[[#This Row],[CODIGO]]="", "", VLOOKUP(GENERAL[[#This Row],[CODIGO]], PRODUCTOS[#All], 2, FALSE))</f>
        <v>Niple 3"</v>
      </c>
      <c r="D9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18</v>
      </c>
      <c r="E99" s="28" t="str">
        <f>IFERROR(IF(GENERAL[[#This Row],[CANTIDAD]]=0, "AGOTADO", IF(GENERAL[[#This Row],[CANTIDAD]]&lt;VLOOKUP(GENERAL[[#This Row],[CODIGO]], PRODUCTOS[#All], 3, FALSE), "MENOR AL MINIMO", "")), "")</f>
        <v/>
      </c>
      <c r="F99" s="39">
        <f>IF(OR(GENERAL[[#This Row],[CODIGO]]="", GENERAL[[#This Row],[CANTIDAD]]=""), "", VLOOKUP(GENERAL[[#This Row],[CODIGO]], PRODUCTOS[#All], 4, FALSE) * GENERAL[[#This Row],[CANTIDAD]])</f>
        <v>0</v>
      </c>
    </row>
    <row r="100" spans="2:20" s="8" customFormat="1" ht="30" customHeight="1" x14ac:dyDescent="0.25">
      <c r="B100" s="11" t="str">
        <f>IF(PRODUCTOS[[#This Row],[CODIGO]]="", "", PRODUCTOS[[#This Row],[CODIGO]])</f>
        <v>ELE-NIPLE-4</v>
      </c>
      <c r="C100" s="6" t="str">
        <f>IF(GENERAL[[#This Row],[CODIGO]]="", "", VLOOKUP(GENERAL[[#This Row],[CODIGO]], PRODUCTOS[#All], 2, FALSE))</f>
        <v>Niple 4"</v>
      </c>
      <c r="D10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100" s="28" t="str">
        <f>IFERROR(IF(GENERAL[[#This Row],[CANTIDAD]]=0, "AGOTADO", IF(GENERAL[[#This Row],[CANTIDAD]]&lt;VLOOKUP(GENERAL[[#This Row],[CODIGO]], PRODUCTOS[#All], 3, FALSE), "MENOR AL MINIMO", "")), "")</f>
        <v/>
      </c>
      <c r="F100" s="39">
        <f>IF(OR(GENERAL[[#This Row],[CODIGO]]="", GENERAL[[#This Row],[CANTIDAD]]=""), "", VLOOKUP(GENERAL[[#This Row],[CODIGO]], PRODUCTOS[#All], 4, FALSE) * GENERAL[[#This Row],[CANTIDAD]])</f>
        <v>0</v>
      </c>
    </row>
    <row r="101" spans="2:20" x14ac:dyDescent="0.2">
      <c r="B101" s="11" t="str">
        <f>IF(PRODUCTOS[[#This Row],[CODIGO]]="", "", PRODUCTOS[[#This Row],[CODIGO]])</f>
        <v>ELE-NIPREX-2</v>
      </c>
      <c r="C101" s="6" t="str">
        <f>IF(GENERAL[[#This Row],[CODIGO]]="", "", VLOOKUP(GENERAL[[#This Row],[CODIGO]], PRODUCTOS[#All], 2, FALSE))</f>
        <v>Niple rosca externa 2"</v>
      </c>
      <c r="D10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101" s="28" t="str">
        <f>IFERROR(IF(GENERAL[[#This Row],[CANTIDAD]]=0, "AGOTADO", IF(GENERAL[[#This Row],[CANTIDAD]]&lt;VLOOKUP(GENERAL[[#This Row],[CODIGO]], PRODUCTOS[#All], 3, FALSE), "MENOR AL MINIMO", "")), "")</f>
        <v/>
      </c>
      <c r="F101" s="39">
        <f>IF(OR(GENERAL[[#This Row],[CODIGO]]="", GENERAL[[#This Row],[CANTIDAD]]=""), "", VLOOKUP(GENERAL[[#This Row],[CODIGO]], PRODUCTOS[#All], 4, FALSE) * GENERAL[[#This Row],[CANTIDAD]])</f>
        <v>0</v>
      </c>
      <c r="T101" s="8"/>
    </row>
    <row r="102" spans="2:20" x14ac:dyDescent="0.2">
      <c r="B102" s="11" t="str">
        <f>IF(PRODUCTOS[[#This Row],[CODIGO]]="", "", PRODUCTOS[[#This Row],[CODIGO]])</f>
        <v>ELE-NIPREX-3</v>
      </c>
      <c r="C102" s="6" t="str">
        <f>IF(GENERAL[[#This Row],[CODIGO]]="", "", VLOOKUP(GENERAL[[#This Row],[CODIGO]], PRODUCTOS[#All], 2, FALSE))</f>
        <v>Niple rosca externa 3"</v>
      </c>
      <c r="D10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102" s="28" t="str">
        <f>IFERROR(IF(GENERAL[[#This Row],[CANTIDAD]]=0, "AGOTADO", IF(GENERAL[[#This Row],[CANTIDAD]]&lt;VLOOKUP(GENERAL[[#This Row],[CODIGO]], PRODUCTOS[#All], 3, FALSE), "MENOR AL MINIMO", "")), "")</f>
        <v/>
      </c>
      <c r="F102" s="39">
        <f>IF(OR(GENERAL[[#This Row],[CODIGO]]="", GENERAL[[#This Row],[CANTIDAD]]=""), "", VLOOKUP(GENERAL[[#This Row],[CODIGO]], PRODUCTOS[#All], 4, FALSE) * GENERAL[[#This Row],[CANTIDAD]])</f>
        <v>0</v>
      </c>
      <c r="T102" s="8"/>
    </row>
    <row r="103" spans="2:20" x14ac:dyDescent="0.2">
      <c r="B103" s="11" t="str">
        <f>IF(PRODUCTOS[[#This Row],[CODIGO]]="", "", PRODUCTOS[[#This Row],[CODIGO]])</f>
        <v>ELE-PROSOBR-003</v>
      </c>
      <c r="C103" s="6" t="str">
        <f>IF(GENERAL[[#This Row],[CODIGO]]="", "", VLOOKUP(GENERAL[[#This Row],[CODIGO]], PRODUCTOS[#All], 2, FALSE))</f>
        <v>Protección p/ sobretensiones</v>
      </c>
      <c r="D10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103" s="28" t="str">
        <f>IFERROR(IF(GENERAL[[#This Row],[CANTIDAD]]=0, "AGOTADO", IF(GENERAL[[#This Row],[CANTIDAD]]&lt;VLOOKUP(GENERAL[[#This Row],[CODIGO]], PRODUCTOS[#All], 3, FALSE), "MENOR AL MINIMO", "")), "")</f>
        <v/>
      </c>
      <c r="F103" s="39">
        <f>IF(OR(GENERAL[[#This Row],[CODIGO]]="", GENERAL[[#This Row],[CANTIDAD]]=""), "", VLOOKUP(GENERAL[[#This Row],[CODIGO]], PRODUCTOS[#All], 4, FALSE) * GENERAL[[#This Row],[CANTIDAD]])</f>
        <v>792</v>
      </c>
      <c r="T103" s="8"/>
    </row>
    <row r="104" spans="2:20" x14ac:dyDescent="0.2">
      <c r="B104" s="11" t="str">
        <f>IF(PRODUCTOS[[#This Row],[CODIGO]]="", "", PRODUCTOS[[#This Row],[CODIGO]])</f>
        <v>ELE-RAC-001</v>
      </c>
      <c r="C104" s="6" t="str">
        <f>IF(GENERAL[[#This Row],[CODIGO]]="", "", VLOOKUP(GENERAL[[#This Row],[CODIGO]], PRODUCTOS[#All], 2, FALSE))</f>
        <v>Racor</v>
      </c>
      <c r="D10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04" s="28" t="str">
        <f>IFERROR(IF(GENERAL[[#This Row],[CANTIDAD]]=0, "AGOTADO", IF(GENERAL[[#This Row],[CANTIDAD]]&lt;VLOOKUP(GENERAL[[#This Row],[CODIGO]], PRODUCTOS[#All], 3, FALSE), "MENOR AL MINIMO", "")), "")</f>
        <v/>
      </c>
      <c r="F104" s="39">
        <f>IF(OR(GENERAL[[#This Row],[CODIGO]]="", GENERAL[[#This Row],[CANTIDAD]]=""), "", VLOOKUP(GENERAL[[#This Row],[CODIGO]], PRODUCTOS[#All], 4, FALSE) * GENERAL[[#This Row],[CANTIDAD]])</f>
        <v>0</v>
      </c>
      <c r="T104" s="8"/>
    </row>
    <row r="105" spans="2:20" x14ac:dyDescent="0.2">
      <c r="B105" s="11" t="str">
        <f>IF(PRODUCTOS[[#This Row],[CODIGO]]="", "", PRODUCTOS[[#This Row],[CODIGO]])</f>
        <v>ELE-REFL-18AWG</v>
      </c>
      <c r="C105" s="6" t="str">
        <f>IF(GENERAL[[#This Row],[CODIGO]]="", "", VLOOKUP(GENERAL[[#This Row],[CODIGO]], PRODUCTOS[#All], 2, FALSE))</f>
        <v>Reflector c/cable 18 awg</v>
      </c>
      <c r="D10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105" s="28" t="str">
        <f>IFERROR(IF(GENERAL[[#This Row],[CANTIDAD]]=0, "AGOTADO", IF(GENERAL[[#This Row],[CANTIDAD]]&lt;VLOOKUP(GENERAL[[#This Row],[CODIGO]], PRODUCTOS[#All], 3, FALSE), "MENOR AL MINIMO", "")), "")</f>
        <v/>
      </c>
      <c r="F105" s="39">
        <f>IF(OR(GENERAL[[#This Row],[CODIGO]]="", GENERAL[[#This Row],[CANTIDAD]]=""), "", VLOOKUP(GENERAL[[#This Row],[CODIGO]], PRODUCTOS[#All], 4, FALSE) * GENERAL[[#This Row],[CANTIDAD]])</f>
        <v>0</v>
      </c>
      <c r="T105" s="8"/>
    </row>
    <row r="106" spans="2:20" x14ac:dyDescent="0.2">
      <c r="B106" s="11" t="str">
        <f>IF(PRODUCTOS[[#This Row],[CODIGO]]="", "", PRODUCTOS[[#This Row],[CODIGO]])</f>
        <v>ELE-RELESC-009</v>
      </c>
      <c r="C106" s="6" t="str">
        <f>IF(GENERAL[[#This Row],[CODIGO]]="", "", VLOOKUP(GENERAL[[#This Row],[CODIGO]], PRODUCTOS[#All], 2, FALSE))</f>
        <v xml:space="preserve">Rele sobre carga </v>
      </c>
      <c r="D10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06" s="28" t="str">
        <f>IFERROR(IF(GENERAL[[#This Row],[CANTIDAD]]=0, "AGOTADO", IF(GENERAL[[#This Row],[CANTIDAD]]&lt;VLOOKUP(GENERAL[[#This Row],[CODIGO]], PRODUCTOS[#All], 3, FALSE), "MENOR AL MINIMO", "")), "")</f>
        <v/>
      </c>
      <c r="F106" s="39">
        <f>IF(OR(GENERAL[[#This Row],[CODIGO]]="", GENERAL[[#This Row],[CANTIDAD]]=""), "", VLOOKUP(GENERAL[[#This Row],[CODIGO]], PRODUCTOS[#All], 4, FALSE) * GENERAL[[#This Row],[CANTIDAD]])</f>
        <v>0</v>
      </c>
      <c r="T106" s="8"/>
    </row>
    <row r="107" spans="2:20" x14ac:dyDescent="0.2">
      <c r="B107" s="11" t="str">
        <f>IF(PRODUCTOS[[#This Row],[CODIGO]]="", "", PRODUCTOS[[#This Row],[CODIGO]])</f>
        <v>ELE-RELEV-011</v>
      </c>
      <c r="C107" s="6" t="str">
        <f>IF(GENERAL[[#This Row],[CODIGO]]="", "", VLOOKUP(GENERAL[[#This Row],[CODIGO]], PRODUCTOS[#All], 2, FALSE))</f>
        <v>Contactor de sobrecarga (relevador)</v>
      </c>
      <c r="D10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07" s="28" t="str">
        <f>IFERROR(IF(GENERAL[[#This Row],[CANTIDAD]]=0, "AGOTADO", IF(GENERAL[[#This Row],[CANTIDAD]]&lt;VLOOKUP(GENERAL[[#This Row],[CODIGO]], PRODUCTOS[#All], 3, FALSE), "MENOR AL MINIMO", "")), "")</f>
        <v/>
      </c>
      <c r="F107" s="39">
        <f>IF(OR(GENERAL[[#This Row],[CODIGO]]="", GENERAL[[#This Row],[CANTIDAD]]=""), "", VLOOKUP(GENERAL[[#This Row],[CODIGO]], PRODUCTOS[#All], 4, FALSE) * GENERAL[[#This Row],[CANTIDAD]])</f>
        <v>450</v>
      </c>
      <c r="T107" s="8"/>
    </row>
    <row r="108" spans="2:20" x14ac:dyDescent="0.2">
      <c r="B108" s="11" t="str">
        <f>IF(PRODUCTOS[[#This Row],[CODIGO]]="", "", PRODUCTOS[[#This Row],[CODIGO]])</f>
        <v>ELE-SUPRV-005</v>
      </c>
      <c r="C108" s="6" t="str">
        <f>IF(GENERAL[[#This Row],[CODIGO]]="", "", VLOOKUP(GENERAL[[#This Row],[CODIGO]], PRODUCTOS[#All], 2, FALSE))</f>
        <v>Supresor de picos de voltaje</v>
      </c>
      <c r="D10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08" s="28" t="str">
        <f>IFERROR(IF(GENERAL[[#This Row],[CANTIDAD]]=0, "AGOTADO", IF(GENERAL[[#This Row],[CANTIDAD]]&lt;VLOOKUP(GENERAL[[#This Row],[CODIGO]], PRODUCTOS[#All], 3, FALSE), "MENOR AL MINIMO", "")), "")</f>
        <v/>
      </c>
      <c r="F108" s="39">
        <f>IF(OR(GENERAL[[#This Row],[CODIGO]]="", GENERAL[[#This Row],[CANTIDAD]]=""), "", VLOOKUP(GENERAL[[#This Row],[CODIGO]], PRODUCTOS[#All], 4, FALSE) * GENERAL[[#This Row],[CANTIDAD]])</f>
        <v>7600</v>
      </c>
      <c r="T108" s="8"/>
    </row>
    <row r="109" spans="2:20" x14ac:dyDescent="0.2">
      <c r="B109" s="11" t="str">
        <f>IF(PRODUCTOS[[#This Row],[CODIGO]]="", "", PRODUCTOS[[#This Row],[CODIGO]])</f>
        <v>ELE-TAPMACH-2</v>
      </c>
      <c r="C109" s="6" t="str">
        <f>IF(GENERAL[[#This Row],[CODIGO]]="", "", VLOOKUP(GENERAL[[#This Row],[CODIGO]], PRODUCTOS[#All], 2, FALSE))</f>
        <v>Tapon macho 2"</v>
      </c>
      <c r="D10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109" s="28" t="str">
        <f>IFERROR(IF(GENERAL[[#This Row],[CANTIDAD]]=0, "AGOTADO", IF(GENERAL[[#This Row],[CANTIDAD]]&lt;VLOOKUP(GENERAL[[#This Row],[CODIGO]], PRODUCTOS[#All], 3, FALSE), "MENOR AL MINIMO", "")), "")</f>
        <v/>
      </c>
      <c r="F109" s="39">
        <f>IF(OR(GENERAL[[#This Row],[CODIGO]]="", GENERAL[[#This Row],[CANTIDAD]]=""), "", VLOOKUP(GENERAL[[#This Row],[CODIGO]], PRODUCTOS[#All], 4, FALSE) * GENERAL[[#This Row],[CANTIDAD]])</f>
        <v>0</v>
      </c>
      <c r="T109" s="8"/>
    </row>
    <row r="110" spans="2:20" x14ac:dyDescent="0.2">
      <c r="B110" s="11" t="str">
        <f>IF(PRODUCTOS[[#This Row],[CODIGO]]="", "", PRODUCTOS[[#This Row],[CODIGO]])</f>
        <v>ELE-TRANPR-004</v>
      </c>
      <c r="C110" s="6" t="str">
        <f>IF(GENERAL[[#This Row],[CODIGO]]="", "", VLOOKUP(GENERAL[[#This Row],[CODIGO]], PRODUCTOS[#All], 2, FALSE))</f>
        <v xml:space="preserve">Transductor de presión </v>
      </c>
      <c r="D11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110" s="28" t="str">
        <f>IFERROR(IF(GENERAL[[#This Row],[CANTIDAD]]=0, "AGOTADO", IF(GENERAL[[#This Row],[CANTIDAD]]&lt;VLOOKUP(GENERAL[[#This Row],[CODIGO]], PRODUCTOS[#All], 3, FALSE), "MENOR AL MINIMO", "")), "")</f>
        <v/>
      </c>
      <c r="F110" s="39">
        <f>IF(OR(GENERAL[[#This Row],[CODIGO]]="", GENERAL[[#This Row],[CANTIDAD]]=""), "", VLOOKUP(GENERAL[[#This Row],[CODIGO]], PRODUCTOS[#All], 4, FALSE) * GENERAL[[#This Row],[CANTIDAD]])</f>
        <v>10500</v>
      </c>
      <c r="T110" s="8"/>
    </row>
    <row r="111" spans="2:20" x14ac:dyDescent="0.2">
      <c r="B111" s="11" t="str">
        <f>IF(PRODUCTOS[[#This Row],[CODIGO]]="", "", PRODUCTOS[[#This Row],[CODIGO]])</f>
        <v>ELE-TRANSF-400A</v>
      </c>
      <c r="C111" s="6" t="str">
        <f>IF(GENERAL[[#This Row],[CODIGO]]="", "", VLOOKUP(GENERAL[[#This Row],[CODIGO]], PRODUCTOS[#All], 2, FALSE))</f>
        <v>Transformador de corriente 400A/5A</v>
      </c>
      <c r="D11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111" s="28" t="str">
        <f>IFERROR(IF(GENERAL[[#This Row],[CANTIDAD]]=0, "AGOTADO", IF(GENERAL[[#This Row],[CANTIDAD]]&lt;VLOOKUP(GENERAL[[#This Row],[CODIGO]], PRODUCTOS[#All], 3, FALSE), "MENOR AL MINIMO", "")), "")</f>
        <v/>
      </c>
      <c r="F111" s="39">
        <f>IF(OR(GENERAL[[#This Row],[CODIGO]]="", GENERAL[[#This Row],[CANTIDAD]]=""), "", VLOOKUP(GENERAL[[#This Row],[CODIGO]], PRODUCTOS[#All], 4, FALSE) * GENERAL[[#This Row],[CANTIDAD]])</f>
        <v>10255.049999999999</v>
      </c>
      <c r="T111" s="8"/>
    </row>
    <row r="112" spans="2:20" x14ac:dyDescent="0.2">
      <c r="B112" s="11" t="str">
        <f>IF(PRODUCTOS[[#This Row],[CODIGO]]="", "", PRODUCTOS[[#This Row],[CODIGO]])</f>
        <v>ELE-TRANSF-500A</v>
      </c>
      <c r="C112" s="6" t="str">
        <f>IF(GENERAL[[#This Row],[CODIGO]]="", "", VLOOKUP(GENERAL[[#This Row],[CODIGO]], PRODUCTOS[#All], 2, FALSE))</f>
        <v>Transformador de corriente 500A / 5A</v>
      </c>
      <c r="D11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112" s="28" t="str">
        <f>IFERROR(IF(GENERAL[[#This Row],[CANTIDAD]]=0, "AGOTADO", IF(GENERAL[[#This Row],[CANTIDAD]]&lt;VLOOKUP(GENERAL[[#This Row],[CODIGO]], PRODUCTOS[#All], 3, FALSE), "MENOR AL MINIMO", "")), "")</f>
        <v/>
      </c>
      <c r="F112" s="39">
        <f>IF(OR(GENERAL[[#This Row],[CODIGO]]="", GENERAL[[#This Row],[CANTIDAD]]=""), "", VLOOKUP(GENERAL[[#This Row],[CODIGO]], PRODUCTOS[#All], 4, FALSE) * GENERAL[[#This Row],[CANTIDAD]])</f>
        <v>5250</v>
      </c>
      <c r="T112" s="8"/>
    </row>
    <row r="113" spans="2:20" x14ac:dyDescent="0.2">
      <c r="B113" s="11" t="str">
        <f>IF(PRODUCTOS[[#This Row],[CODIGO]]="", "", PRODUCTOS[[#This Row],[CODIGO]])</f>
        <v>ELE-VAR-006</v>
      </c>
      <c r="C113" s="6" t="str">
        <f>IF(GENERAL[[#This Row],[CODIGO]]="", "", VLOOKUP(GENERAL[[#This Row],[CODIGO]], PRODUCTOS[#All], 2, FALSE))</f>
        <v xml:space="preserve">Variador </v>
      </c>
      <c r="D11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13" s="28" t="str">
        <f>IFERROR(IF(GENERAL[[#This Row],[CANTIDAD]]=0, "AGOTADO", IF(GENERAL[[#This Row],[CANTIDAD]]&lt;VLOOKUP(GENERAL[[#This Row],[CODIGO]], PRODUCTOS[#All], 3, FALSE), "MENOR AL MINIMO", "")), "")</f>
        <v/>
      </c>
      <c r="F113" s="39">
        <f>IF(OR(GENERAL[[#This Row],[CODIGO]]="", GENERAL[[#This Row],[CANTIDAD]]=""), "", VLOOKUP(GENERAL[[#This Row],[CODIGO]], PRODUCTOS[#All], 4, FALSE) * GENERAL[[#This Row],[CANTIDAD]])</f>
        <v>9100</v>
      </c>
      <c r="T113" s="8"/>
    </row>
    <row r="114" spans="2:20" x14ac:dyDescent="0.2">
      <c r="B114" s="11" t="str">
        <f>IF(PRODUCTOS[[#This Row],[CODIGO]]="", "", PRODUCTOS[[#This Row],[CODIGO]])</f>
        <v>EPP-CARSOLD-026</v>
      </c>
      <c r="C114" s="6" t="str">
        <f>IF(GENERAL[[#This Row],[CODIGO]]="", "", VLOOKUP(GENERAL[[#This Row],[CODIGO]], PRODUCTOS[#All], 2, FALSE))</f>
        <v xml:space="preserve">Careta de soldador </v>
      </c>
      <c r="D11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114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14" s="39">
        <f>IF(OR(GENERAL[[#This Row],[CODIGO]]="", GENERAL[[#This Row],[CANTIDAD]]=""), "", VLOOKUP(GENERAL[[#This Row],[CODIGO]], PRODUCTOS[#All], 4, FALSE) * GENERAL[[#This Row],[CANTIDAD]])</f>
        <v>358</v>
      </c>
      <c r="T114" s="8"/>
    </row>
    <row r="115" spans="2:20" x14ac:dyDescent="0.2">
      <c r="B115" s="11" t="str">
        <f>IF(PRODUCTOS[[#This Row],[CODIGO]]="", "", PRODUCTOS[[#This Row],[CODIGO]])</f>
        <v>EPP-CASAZ-019</v>
      </c>
      <c r="C115" s="6" t="str">
        <f>IF(GENERAL[[#This Row],[CODIGO]]="", "", VLOOKUP(GENERAL[[#This Row],[CODIGO]], PRODUCTOS[#All], 2, FALSE))</f>
        <v>Cascos azules</v>
      </c>
      <c r="D11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</v>
      </c>
      <c r="E115" s="28" t="str">
        <f>IFERROR(IF(GENERAL[[#This Row],[CANTIDAD]]=0, "AGOTADO", IF(GENERAL[[#This Row],[CANTIDAD]]&lt;VLOOKUP(GENERAL[[#This Row],[CODIGO]], PRODUCTOS[#All], 3, FALSE), "MENOR AL MINIMO", "")), "")</f>
        <v/>
      </c>
      <c r="F115" s="39">
        <f>IF(OR(GENERAL[[#This Row],[CODIGO]]="", GENERAL[[#This Row],[CANTIDAD]]=""), "", VLOOKUP(GENERAL[[#This Row],[CODIGO]], PRODUCTOS[#All], 4, FALSE) * GENERAL[[#This Row],[CANTIDAD]])</f>
        <v>658</v>
      </c>
      <c r="T115" s="8"/>
    </row>
    <row r="116" spans="2:20" x14ac:dyDescent="0.2">
      <c r="B116" s="11" t="str">
        <f>IF(PRODUCTOS[[#This Row],[CODIGO]]="", "", PRODUCTOS[[#This Row],[CODIGO]])</f>
        <v>EPP-CASBL-020</v>
      </c>
      <c r="C116" s="6" t="str">
        <f>IF(GENERAL[[#This Row],[CODIGO]]="", "", VLOOKUP(GENERAL[[#This Row],[CODIGO]], PRODUCTOS[#All], 2, FALSE))</f>
        <v xml:space="preserve">Cascos blancos </v>
      </c>
      <c r="D11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116" s="28" t="str">
        <f>IFERROR(IF(GENERAL[[#This Row],[CANTIDAD]]=0, "AGOTADO", IF(GENERAL[[#This Row],[CANTIDAD]]&lt;VLOOKUP(GENERAL[[#This Row],[CODIGO]], PRODUCTOS[#All], 3, FALSE), "MENOR AL MINIMO", "")), "")</f>
        <v/>
      </c>
      <c r="F116" s="39">
        <f>IF(OR(GENERAL[[#This Row],[CODIGO]]="", GENERAL[[#This Row],[CANTIDAD]]=""), "", VLOOKUP(GENERAL[[#This Row],[CODIGO]], PRODUCTOS[#All], 4, FALSE) * GENERAL[[#This Row],[CANTIDAD]])</f>
        <v>329</v>
      </c>
      <c r="T116" s="8"/>
    </row>
    <row r="117" spans="2:20" x14ac:dyDescent="0.2">
      <c r="B117" s="11" t="str">
        <f>IF(PRODUCTOS[[#This Row],[CODIGO]]="", "", PRODUCTOS[[#This Row],[CODIGO]])</f>
        <v>EPP-CHPDOB-016</v>
      </c>
      <c r="C117" s="6" t="str">
        <f>IF(GENERAL[[#This Row],[CODIGO]]="", "", VLOOKUP(GENERAL[[#This Row],[CODIGO]], PRODUCTOS[#All], 2, FALSE))</f>
        <v>Guante chino doble palma</v>
      </c>
      <c r="D11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48</v>
      </c>
      <c r="E117" s="28" t="str">
        <f>IFERROR(IF(GENERAL[[#This Row],[CANTIDAD]]=0, "AGOTADO", IF(GENERAL[[#This Row],[CANTIDAD]]&lt;VLOOKUP(GENERAL[[#This Row],[CODIGO]], PRODUCTOS[#All], 3, FALSE), "MENOR AL MINIMO", "")), "")</f>
        <v/>
      </c>
      <c r="F117" s="39">
        <f>IF(OR(GENERAL[[#This Row],[CODIGO]]="", GENERAL[[#This Row],[CANTIDAD]]=""), "", VLOOKUP(GENERAL[[#This Row],[CODIGO]], PRODUCTOS[#All], 4, FALSE) * GENERAL[[#This Row],[CANTIDAD]])</f>
        <v>1579.1999999999998</v>
      </c>
      <c r="T117" s="8"/>
    </row>
    <row r="118" spans="2:20" x14ac:dyDescent="0.2">
      <c r="B118" s="11" t="str">
        <f>IF(PRODUCTOS[[#This Row],[CODIGO]]="", "", PRODUCTOS[[#This Row],[CODIGO]])</f>
        <v>EPP-CUBRN-021</v>
      </c>
      <c r="C118" s="6" t="str">
        <f>IF(GENERAL[[#This Row],[CODIGO]]="", "", VLOOKUP(GENERAL[[#This Row],[CODIGO]], PRODUCTOS[#All], 2, FALSE))</f>
        <v>Cubrenuca</v>
      </c>
      <c r="D11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118" s="28" t="str">
        <f>IFERROR(IF(GENERAL[[#This Row],[CANTIDAD]]=0, "AGOTADO", IF(GENERAL[[#This Row],[CANTIDAD]]&lt;VLOOKUP(GENERAL[[#This Row],[CODIGO]], PRODUCTOS[#All], 3, FALSE), "MENOR AL MINIMO", "")), "")</f>
        <v/>
      </c>
      <c r="F118" s="39">
        <f>IF(OR(GENERAL[[#This Row],[CODIGO]]="", GENERAL[[#This Row],[CANTIDAD]]=""), "", VLOOKUP(GENERAL[[#This Row],[CODIGO]], PRODUCTOS[#All], 4, FALSE) * GENERAL[[#This Row],[CANTIDAD]])</f>
        <v>153.29999999999998</v>
      </c>
      <c r="T118" s="8"/>
    </row>
    <row r="119" spans="2:20" x14ac:dyDescent="0.2">
      <c r="B119" s="11" t="str">
        <f>IF(PRODUCTOS[[#This Row],[CODIGO]]="", "", PRODUCTOS[[#This Row],[CODIGO]])</f>
        <v>EPP-GANTD-014</v>
      </c>
      <c r="C119" s="6" t="str">
        <f>IF(GENERAL[[#This Row],[CODIGO]]="", "", VLOOKUP(GENERAL[[#This Row],[CODIGO]], PRODUCTOS[#All], 2, FALSE))</f>
        <v xml:space="preserve">Guantes antiderrapantes </v>
      </c>
      <c r="D11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</v>
      </c>
      <c r="E119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19" s="39">
        <f>IF(OR(GENERAL[[#This Row],[CODIGO]]="", GENERAL[[#This Row],[CANTIDAD]]=""), "", VLOOKUP(GENERAL[[#This Row],[CODIGO]], PRODUCTOS[#All], 4, FALSE) * GENERAL[[#This Row],[CANTIDAD]])</f>
        <v>2296.8000000000002</v>
      </c>
      <c r="T119" s="8"/>
    </row>
    <row r="120" spans="2:20" x14ac:dyDescent="0.2">
      <c r="B120" s="11" t="str">
        <f>IF(PRODUCTOS[[#This Row],[CODIGO]]="", "", PRODUCTOS[[#This Row],[CODIGO]])</f>
        <v>EPP-GCAR-001</v>
      </c>
      <c r="C120" s="6" t="str">
        <f>IF(GENERAL[[#This Row],[CODIGO]]="", "", VLOOKUP(GENERAL[[#This Row],[CODIGO]], PRODUCTOS[#All], 2, FALSE))</f>
        <v>Guantes de carnaza</v>
      </c>
      <c r="D12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20</v>
      </c>
      <c r="E120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20" s="39">
        <f>IF(OR(GENERAL[[#This Row],[CODIGO]]="", GENERAL[[#This Row],[CANTIDAD]]=""), "", VLOOKUP(GENERAL[[#This Row],[CODIGO]], PRODUCTOS[#All], 4, FALSE) * GENERAL[[#This Row],[CANTIDAD]])</f>
        <v>1044</v>
      </c>
      <c r="T120" s="8"/>
    </row>
    <row r="121" spans="2:20" x14ac:dyDescent="0.2">
      <c r="B121" s="11" t="str">
        <f>IF(PRODUCTOS[[#This Row],[CODIGO]]="", "", PRODUCTOS[[#This Row],[CODIGO]])</f>
        <v>EPP-GDIEL-013</v>
      </c>
      <c r="C121" s="6" t="str">
        <f>IF(GENERAL[[#This Row],[CODIGO]]="", "", VLOOKUP(GENERAL[[#This Row],[CODIGO]], PRODUCTOS[#All], 2, FALSE))</f>
        <v>Guantes dielectricos (pares)</v>
      </c>
      <c r="D12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21" s="28" t="str">
        <f>IFERROR(IF(GENERAL[[#This Row],[CANTIDAD]]=0, "AGOTADO", IF(GENERAL[[#This Row],[CANTIDAD]]&lt;VLOOKUP(GENERAL[[#This Row],[CODIGO]], PRODUCTOS[#All], 3, FALSE), "MENOR AL MINIMO", "")), "")</f>
        <v/>
      </c>
      <c r="F121" s="39">
        <f>IF(OR(GENERAL[[#This Row],[CODIGO]]="", GENERAL[[#This Row],[CANTIDAD]]=""), "", VLOOKUP(GENERAL[[#This Row],[CODIGO]], PRODUCTOS[#All], 4, FALSE) * GENERAL[[#This Row],[CANTIDAD]])</f>
        <v>9860</v>
      </c>
      <c r="T121" s="8"/>
    </row>
    <row r="122" spans="2:20" x14ac:dyDescent="0.2">
      <c r="B122" s="11" t="str">
        <f>IF(PRODUCTOS[[#This Row],[CODIGO]]="", "", PRODUCTOS[[#This Row],[CODIGO]])</f>
        <v>EPP-GKEVA-003</v>
      </c>
      <c r="C122" s="6" t="str">
        <f>IF(GENERAL[[#This Row],[CODIGO]]="", "", VLOOKUP(GENERAL[[#This Row],[CODIGO]], PRODUCTOS[#All], 2, FALSE))</f>
        <v>Guantes de soldar Kevlar azul</v>
      </c>
      <c r="D12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</v>
      </c>
      <c r="E122" s="28" t="str">
        <f>IFERROR(IF(GENERAL[[#This Row],[CANTIDAD]]=0, "AGOTADO", IF(GENERAL[[#This Row],[CANTIDAD]]&lt;VLOOKUP(GENERAL[[#This Row],[CODIGO]], PRODUCTOS[#All], 3, FALSE), "MENOR AL MINIMO", "")), "")</f>
        <v/>
      </c>
      <c r="F122" s="39">
        <f>IF(OR(GENERAL[[#This Row],[CODIGO]]="", GENERAL[[#This Row],[CANTIDAD]]=""), "", VLOOKUP(GENERAL[[#This Row],[CODIGO]], PRODUCTOS[#All], 4, FALSE) * GENERAL[[#This Row],[CANTIDAD]])</f>
        <v>644</v>
      </c>
      <c r="T122" s="8"/>
    </row>
    <row r="123" spans="2:20" x14ac:dyDescent="0.2">
      <c r="B123" s="37" t="str">
        <f>IF(PRODUCTOS[[#This Row],[CODIGO]]="", "", PRODUCTOS[[#This Row],[CODIGO]])</f>
        <v>EPP-GNIT8-002</v>
      </c>
      <c r="C123" s="12" t="str">
        <f>IF(GENERAL[[#This Row],[CODIGO]]="", "", VLOOKUP(GENERAL[[#This Row],[CODIGO]], PRODUCTOS[#All], 2, FALSE))</f>
        <v>Guante de nitrilo T.8</v>
      </c>
      <c r="D123" s="22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67</v>
      </c>
      <c r="E123" s="29" t="str">
        <f>IFERROR(IF(GENERAL[[#This Row],[CANTIDAD]]=0, "AGOTADO", IF(GENERAL[[#This Row],[CANTIDAD]]&lt;VLOOKUP(GENERAL[[#This Row],[CODIGO]], PRODUCTOS[#All], 3, FALSE), "MENOR AL MINIMO", "")), "")</f>
        <v/>
      </c>
      <c r="F123" s="41">
        <f>IF(OR(GENERAL[[#This Row],[CODIGO]]="", GENERAL[[#This Row],[CANTIDAD]]=""), "", VLOOKUP(GENERAL[[#This Row],[CODIGO]], PRODUCTOS[#All], 4, FALSE) * GENERAL[[#This Row],[CANTIDAD]])</f>
        <v>596.30000000000007</v>
      </c>
      <c r="T123" s="8"/>
    </row>
    <row r="124" spans="2:20" x14ac:dyDescent="0.2">
      <c r="B124" s="11" t="str">
        <f>IF(PRODUCTOS[[#This Row],[CODIGO]]="", "", PRODUCTOS[[#This Row],[CODIGO]])</f>
        <v>EPP-GNIT9-017</v>
      </c>
      <c r="C124" s="6" t="str">
        <f>IF(GENERAL[[#This Row],[CODIGO]]="", "", VLOOKUP(GENERAL[[#This Row],[CODIGO]], PRODUCTOS[#All], 2, FALSE))</f>
        <v>Guante de nitrilo T.9</v>
      </c>
      <c r="D12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68</v>
      </c>
      <c r="E124" s="28" t="str">
        <f>IFERROR(IF(GENERAL[[#This Row],[CANTIDAD]]=0, "AGOTADO", IF(GENERAL[[#This Row],[CANTIDAD]]&lt;VLOOKUP(GENERAL[[#This Row],[CODIGO]], PRODUCTOS[#All], 3, FALSE), "MENOR AL MINIMO", "")), "")</f>
        <v/>
      </c>
      <c r="F124" s="39">
        <f>IF(OR(GENERAL[[#This Row],[CODIGO]]="", GENERAL[[#This Row],[CANTIDAD]]=""), "", VLOOKUP(GENERAL[[#This Row],[CODIGO]], PRODUCTOS[#All], 4, FALSE) * GENERAL[[#This Row],[CANTIDAD]])</f>
        <v>605.20000000000005</v>
      </c>
      <c r="T124" s="8"/>
    </row>
    <row r="125" spans="2:20" x14ac:dyDescent="0.2">
      <c r="B125" s="11" t="str">
        <f>IF(PRODUCTOS[[#This Row],[CODIGO]]="", "", PRODUCTOS[[#This Row],[CODIGO]])</f>
        <v>EPP-GOSEG-010</v>
      </c>
      <c r="C125" s="6" t="str">
        <f>IF(GENERAL[[#This Row],[CODIGO]]="", "", VLOOKUP(GENERAL[[#This Row],[CODIGO]], PRODUCTOS[#All], 2, FALSE))</f>
        <v>Gogles de seguridad</v>
      </c>
      <c r="D12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125" s="28" t="str">
        <f>IFERROR(IF(GENERAL[[#This Row],[CANTIDAD]]=0, "AGOTADO", IF(GENERAL[[#This Row],[CANTIDAD]]&lt;VLOOKUP(GENERAL[[#This Row],[CODIGO]], PRODUCTOS[#All], 3, FALSE), "MENOR AL MINIMO", "")), "")</f>
        <v/>
      </c>
      <c r="F125" s="39">
        <f>IF(OR(GENERAL[[#This Row],[CODIGO]]="", GENERAL[[#This Row],[CANTIDAD]]=""), "", VLOOKUP(GENERAL[[#This Row],[CODIGO]], PRODUCTOS[#All], 4, FALSE) * GENERAL[[#This Row],[CANTIDAD]])</f>
        <v>765.59999999999991</v>
      </c>
      <c r="T125" s="8"/>
    </row>
    <row r="126" spans="2:20" x14ac:dyDescent="0.2">
      <c r="B126" s="11" t="str">
        <f>IF(PRODUCTOS[[#This Row],[CODIGO]]="", "", PRODUCTOS[[#This Row],[CODIGO]])</f>
        <v>EPP-GPCAB-015</v>
      </c>
      <c r="C126" s="6" t="str">
        <f>IF(GENERAL[[#This Row],[CODIGO]]="", "", VLOOKUP(GENERAL[[#This Row],[CODIGO]], PRODUCTOS[#All], 2, FALSE))</f>
        <v>Guantes piel de cabra</v>
      </c>
      <c r="D12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126" s="28" t="str">
        <f>IFERROR(IF(GENERAL[[#This Row],[CANTIDAD]]=0, "AGOTADO", IF(GENERAL[[#This Row],[CANTIDAD]]&lt;VLOOKUP(GENERAL[[#This Row],[CODIGO]], PRODUCTOS[#All], 3, FALSE), "MENOR AL MINIMO", "")), "")</f>
        <v/>
      </c>
      <c r="F126" s="39">
        <f>IF(OR(GENERAL[[#This Row],[CODIGO]]="", GENERAL[[#This Row],[CANTIDAD]]=""), "", VLOOKUP(GENERAL[[#This Row],[CODIGO]], PRODUCTOS[#All], 4, FALSE) * GENERAL[[#This Row],[CANTIDAD]])</f>
        <v>750</v>
      </c>
      <c r="T126" s="8"/>
    </row>
    <row r="127" spans="2:20" x14ac:dyDescent="0.2">
      <c r="B127" s="11" t="str">
        <f>IF(PRODUCTOS[[#This Row],[CODIGO]]="", "", PRODUCTOS[[#This Row],[CODIGO]])</f>
        <v>EPP-GSOLR-012</v>
      </c>
      <c r="C127" s="6" t="str">
        <f>IF(GENERAL[[#This Row],[CODIGO]]="", "", VLOOKUP(GENERAL[[#This Row],[CODIGO]], PRODUCTOS[#All], 2, FALSE))</f>
        <v>Guantes para soldar rojo (pares)</v>
      </c>
      <c r="D12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127" s="28" t="str">
        <f>IFERROR(IF(GENERAL[[#This Row],[CANTIDAD]]=0, "AGOTADO", IF(GENERAL[[#This Row],[CANTIDAD]]&lt;VLOOKUP(GENERAL[[#This Row],[CODIGO]], PRODUCTOS[#All], 3, FALSE), "MENOR AL MINIMO", "")), "")</f>
        <v/>
      </c>
      <c r="F127" s="39">
        <f>IF(OR(GENERAL[[#This Row],[CODIGO]]="", GENERAL[[#This Row],[CANTIDAD]]=""), "", VLOOKUP(GENERAL[[#This Row],[CODIGO]], PRODUCTOS[#All], 4, FALSE) * GENERAL[[#This Row],[CANTIDAD]])</f>
        <v>1014</v>
      </c>
      <c r="T127" s="8"/>
    </row>
    <row r="128" spans="2:20" x14ac:dyDescent="0.2">
      <c r="B128" s="11" t="str">
        <f>IF(PRODUCTOS[[#This Row],[CODIGO]]="", "", PRODUCTOS[[#This Row],[CODIGO]])</f>
        <v>EPP-IMPER-023</v>
      </c>
      <c r="C128" s="6" t="str">
        <f>IF(GENERAL[[#This Row],[CODIGO]]="", "", VLOOKUP(GENERAL[[#This Row],[CODIGO]], PRODUCTOS[#All], 2, FALSE))</f>
        <v xml:space="preserve">Impermeable </v>
      </c>
      <c r="D12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128" s="28" t="str">
        <f>IFERROR(IF(GENERAL[[#This Row],[CANTIDAD]]=0, "AGOTADO", IF(GENERAL[[#This Row],[CANTIDAD]]&lt;VLOOKUP(GENERAL[[#This Row],[CODIGO]], PRODUCTOS[#All], 3, FALSE), "MENOR AL MINIMO", "")), "")</f>
        <v/>
      </c>
      <c r="F128" s="39">
        <f>IF(OR(GENERAL[[#This Row],[CODIGO]]="", GENERAL[[#This Row],[CANTIDAD]]=""), "", VLOOKUP(GENERAL[[#This Row],[CODIGO]], PRODUCTOS[#All], 4, FALSE) * GENERAL[[#This Row],[CANTIDAD]])</f>
        <v>1308</v>
      </c>
      <c r="T128" s="8"/>
    </row>
    <row r="129" spans="2:20" x14ac:dyDescent="0.2">
      <c r="B129" s="11" t="str">
        <f>IF(PRODUCTOS[[#This Row],[CODIGO]]="", "", PRODUCTOS[[#This Row],[CODIGO]])</f>
        <v>EPP-LEAZ-006</v>
      </c>
      <c r="C129" s="6" t="str">
        <f>IF(GENERAL[[#This Row],[CODIGO]]="", "", VLOOKUP(GENERAL[[#This Row],[CODIGO]], PRODUCTOS[#All], 2, FALSE))</f>
        <v xml:space="preserve">Lentes azules </v>
      </c>
      <c r="D12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129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29" s="39">
        <f>IF(OR(GENERAL[[#This Row],[CODIGO]]="", GENERAL[[#This Row],[CANTIDAD]]=""), "", VLOOKUP(GENERAL[[#This Row],[CODIGO]], PRODUCTOS[#All], 4, FALSE) * GENERAL[[#This Row],[CANTIDAD]])</f>
        <v>225.60000000000002</v>
      </c>
      <c r="T129" s="8"/>
    </row>
    <row r="130" spans="2:20" x14ac:dyDescent="0.2">
      <c r="B130" s="11" t="str">
        <f>IF(PRODUCTOS[[#This Row],[CODIGO]]="", "", PRODUCTOS[[#This Row],[CODIGO]])</f>
        <v>EPP-LENEG-004</v>
      </c>
      <c r="C130" s="6" t="str">
        <f>IF(GENERAL[[#This Row],[CODIGO]]="", "", VLOOKUP(GENERAL[[#This Row],[CODIGO]], PRODUCTOS[#All], 2, FALSE))</f>
        <v>Lentes negros</v>
      </c>
      <c r="D13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99</v>
      </c>
      <c r="E130" s="28" t="str">
        <f>IFERROR(IF(GENERAL[[#This Row],[CANTIDAD]]=0, "AGOTADO", IF(GENERAL[[#This Row],[CANTIDAD]]&lt;VLOOKUP(GENERAL[[#This Row],[CODIGO]], PRODUCTOS[#All], 3, FALSE), "MENOR AL MINIMO", "")), "")</f>
        <v/>
      </c>
      <c r="F130" s="39">
        <f>IF(OR(GENERAL[[#This Row],[CODIGO]]="", GENERAL[[#This Row],[CANTIDAD]]=""), "", VLOOKUP(GENERAL[[#This Row],[CODIGO]], PRODUCTOS[#All], 4, FALSE) * GENERAL[[#This Row],[CANTIDAD]])</f>
        <v>811.8</v>
      </c>
      <c r="T130" s="8"/>
    </row>
    <row r="131" spans="2:20" x14ac:dyDescent="0.2">
      <c r="B131" s="11" t="str">
        <f>IF(PRODUCTOS[[#This Row],[CODIGO]]="", "", PRODUCTOS[[#This Row],[CODIGO]])</f>
        <v>EPP-LENMN-007</v>
      </c>
      <c r="C131" s="6" t="str">
        <f>IF(GENERAL[[#This Row],[CODIGO]]="", "", VLOOKUP(GENERAL[[#This Row],[CODIGO]], PRODUCTOS[#All], 2, FALSE))</f>
        <v>Lentes tipo nemesis negro</v>
      </c>
      <c r="D13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131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31" s="39">
        <f>IF(OR(GENERAL[[#This Row],[CODIGO]]="", GENERAL[[#This Row],[CANTIDAD]]=""), "", VLOOKUP(GENERAL[[#This Row],[CODIGO]], PRODUCTOS[#All], 4, FALSE) * GENERAL[[#This Row],[CANTIDAD]])</f>
        <v>465.59999999999997</v>
      </c>
      <c r="T131" s="8"/>
    </row>
    <row r="132" spans="2:20" x14ac:dyDescent="0.2">
      <c r="B132" s="11" t="str">
        <f>IF(PRODUCTOS[[#This Row],[CODIGO]]="", "", PRODUCTOS[[#This Row],[CODIGO]])</f>
        <v>EPP-LESOLD-009</v>
      </c>
      <c r="C132" s="6" t="str">
        <f>IF(GENERAL[[#This Row],[CODIGO]]="", "", VLOOKUP(GENERAL[[#This Row],[CODIGO]], PRODUCTOS[#All], 2, FALSE))</f>
        <v>Lente para soldar sombra 5</v>
      </c>
      <c r="D13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132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32" s="39">
        <f>IF(OR(GENERAL[[#This Row],[CODIGO]]="", GENERAL[[#This Row],[CANTIDAD]]=""), "", VLOOKUP(GENERAL[[#This Row],[CODIGO]], PRODUCTOS[#All], 4, FALSE) * GENERAL[[#This Row],[CANTIDAD]])</f>
        <v>124</v>
      </c>
      <c r="T132" s="8"/>
    </row>
    <row r="133" spans="2:20" x14ac:dyDescent="0.2">
      <c r="B133" s="11" t="str">
        <f>IF(PRODUCTOS[[#This Row],[CODIGO]]="", "", PRODUCTOS[[#This Row],[CODIGO]])</f>
        <v>EPP-LETRA-005</v>
      </c>
      <c r="C133" s="6" t="str">
        <f>IF(GENERAL[[#This Row],[CODIGO]]="", "", VLOOKUP(GENERAL[[#This Row],[CODIGO]], PRODUCTOS[#All], 2, FALSE))</f>
        <v>Lentes transparentes</v>
      </c>
      <c r="D13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101</v>
      </c>
      <c r="E133" s="28" t="str">
        <f>IFERROR(IF(GENERAL[[#This Row],[CANTIDAD]]=0, "AGOTADO", IF(GENERAL[[#This Row],[CANTIDAD]]&lt;VLOOKUP(GENERAL[[#This Row],[CODIGO]], PRODUCTOS[#All], 3, FALSE), "MENOR AL MINIMO", "")), "")</f>
        <v/>
      </c>
      <c r="F133" s="39">
        <f>IF(OR(GENERAL[[#This Row],[CODIGO]]="", GENERAL[[#This Row],[CANTIDAD]]=""), "", VLOOKUP(GENERAL[[#This Row],[CODIGO]], PRODUCTOS[#All], 4, FALSE) * GENERAL[[#This Row],[CANTIDAD]])</f>
        <v>828.19999999999993</v>
      </c>
      <c r="T133" s="8"/>
    </row>
    <row r="134" spans="2:20" x14ac:dyDescent="0.2">
      <c r="B134" s="11" t="str">
        <f>IF(PRODUCTOS[[#This Row],[CODIGO]]="", "", PRODUCTOS[[#This Row],[CODIGO]])</f>
        <v>EPP-LNMA-008</v>
      </c>
      <c r="C134" s="6" t="str">
        <f>IF(GENERAL[[#This Row],[CODIGO]]="", "", VLOOKUP(GENERAL[[#This Row],[CODIGO]], PRODUCTOS[#All], 2, FALSE))</f>
        <v>Lentes tipo nemesis azul</v>
      </c>
      <c r="D13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9</v>
      </c>
      <c r="E134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34" s="39">
        <f>IF(OR(GENERAL[[#This Row],[CODIGO]]="", GENERAL[[#This Row],[CANTIDAD]]=""), "", VLOOKUP(GENERAL[[#This Row],[CODIGO]], PRODUCTOS[#All], 4, FALSE) * GENERAL[[#This Row],[CANTIDAD]])</f>
        <v>349.2</v>
      </c>
      <c r="T134" s="8"/>
    </row>
    <row r="135" spans="2:20" x14ac:dyDescent="0.2">
      <c r="B135" s="11" t="str">
        <f>IF(PRODUCTOS[[#This Row],[CODIGO]]="", "", PRODUCTOS[[#This Row],[CODIGO]])</f>
        <v>EPP-MANCAR-024</v>
      </c>
      <c r="C135" s="6" t="str">
        <f>IF(GENERAL[[#This Row],[CODIGO]]="", "", VLOOKUP(GENERAL[[#This Row],[CODIGO]], PRODUCTOS[#All], 2, FALSE))</f>
        <v>Mandiles de carnaza</v>
      </c>
      <c r="D13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135" s="28" t="str">
        <f>IFERROR(IF(GENERAL[[#This Row],[CANTIDAD]]=0, "AGOTADO", IF(GENERAL[[#This Row],[CANTIDAD]]&lt;VLOOKUP(GENERAL[[#This Row],[CODIGO]], PRODUCTOS[#All], 3, FALSE), "MENOR AL MINIMO", "")), "")</f>
        <v/>
      </c>
      <c r="F135" s="39">
        <f>IF(OR(GENERAL[[#This Row],[CODIGO]]="", GENERAL[[#This Row],[CANTIDAD]]=""), "", VLOOKUP(GENERAL[[#This Row],[CODIGO]], PRODUCTOS[#All], 4, FALSE) * GENERAL[[#This Row],[CANTIDAD]])</f>
        <v>658.8</v>
      </c>
      <c r="T135" s="8"/>
    </row>
    <row r="136" spans="2:20" x14ac:dyDescent="0.2">
      <c r="B136" s="11" t="str">
        <f>IF(PRODUCTOS[[#This Row],[CODIGO]]="", "", PRODUCTOS[[#This Row],[CODIGO]])</f>
        <v>EPP-MANGCA-025</v>
      </c>
      <c r="C136" s="6" t="str">
        <f>IF(GENERAL[[#This Row],[CODIGO]]="", "", VLOOKUP(GENERAL[[#This Row],[CODIGO]], PRODUCTOS[#All], 2, FALSE))</f>
        <v>Mangas de carnaza (pares)</v>
      </c>
      <c r="D13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136" s="28" t="str">
        <f>IFERROR(IF(GENERAL[[#This Row],[CANTIDAD]]=0, "AGOTADO", IF(GENERAL[[#This Row],[CANTIDAD]]&lt;VLOOKUP(GENERAL[[#This Row],[CODIGO]], PRODUCTOS[#All], 3, FALSE), "MENOR AL MINIMO", "")), "")</f>
        <v/>
      </c>
      <c r="F136" s="39">
        <f>IF(OR(GENERAL[[#This Row],[CODIGO]]="", GENERAL[[#This Row],[CANTIDAD]]=""), "", VLOOKUP(GENERAL[[#This Row],[CODIGO]], PRODUCTOS[#All], 4, FALSE) * GENERAL[[#This Row],[CANTIDAD]])</f>
        <v>658.8</v>
      </c>
      <c r="T136" s="8"/>
    </row>
    <row r="137" spans="2:20" x14ac:dyDescent="0.2">
      <c r="B137" s="11" t="str">
        <f>IF(PRODUCTOS[[#This Row],[CODIGO]]="", "", PRODUCTOS[[#This Row],[CODIGO]])</f>
        <v>EPP-OVLAM-022</v>
      </c>
      <c r="C137" s="6" t="str">
        <f>IF(GENERAL[[#This Row],[CODIGO]]="", "", VLOOKUP(GENERAL[[#This Row],[CODIGO]], PRODUCTOS[#All], 2, FALSE))</f>
        <v xml:space="preserve">Overol laminado </v>
      </c>
      <c r="D13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23</v>
      </c>
      <c r="E137" s="28" t="str">
        <f>IFERROR(IF(GENERAL[[#This Row],[CANTIDAD]]=0, "AGOTADO", IF(GENERAL[[#This Row],[CANTIDAD]]&lt;VLOOKUP(GENERAL[[#This Row],[CODIGO]], PRODUCTOS[#All], 3, FALSE), "MENOR AL MINIMO", "")), "")</f>
        <v/>
      </c>
      <c r="F137" s="39">
        <f>IF(OR(GENERAL[[#This Row],[CODIGO]]="", GENERAL[[#This Row],[CANTIDAD]]=""), "", VLOOKUP(GENERAL[[#This Row],[CODIGO]], PRODUCTOS[#All], 4, FALSE) * GENERAL[[#This Row],[CANTIDAD]])</f>
        <v>756.69999999999993</v>
      </c>
      <c r="T137" s="8"/>
    </row>
    <row r="138" spans="2:20" x14ac:dyDescent="0.2">
      <c r="B138" s="11" t="str">
        <f>IF(PRODUCTOS[[#This Row],[CODIGO]]="", "", PRODUCTOS[[#This Row],[CODIGO]])</f>
        <v>EPP-PROTFA-018</v>
      </c>
      <c r="C138" s="6" t="str">
        <f>IF(GENERAL[[#This Row],[CODIGO]]="", "", VLOOKUP(GENERAL[[#This Row],[CODIGO]], PRODUCTOS[#All], 2, FALSE))</f>
        <v>Protector facial de malla</v>
      </c>
      <c r="D13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138" s="28" t="str">
        <f>IFERROR(IF(GENERAL[[#This Row],[CANTIDAD]]=0, "AGOTADO", IF(GENERAL[[#This Row],[CANTIDAD]]&lt;VLOOKUP(GENERAL[[#This Row],[CODIGO]], PRODUCTOS[#All], 3, FALSE), "MENOR AL MINIMO", "")), "")</f>
        <v/>
      </c>
      <c r="F138" s="39">
        <f>IF(OR(GENERAL[[#This Row],[CODIGO]]="", GENERAL[[#This Row],[CANTIDAD]]=""), "", VLOOKUP(GENERAL[[#This Row],[CODIGO]], PRODUCTOS[#All], 4, FALSE) * GENERAL[[#This Row],[CANTIDAD]])</f>
        <v>155</v>
      </c>
      <c r="T138" s="8"/>
    </row>
    <row r="139" spans="2:20" x14ac:dyDescent="0.2">
      <c r="B139" s="11" t="str">
        <f>IF(PRODUCTOS[[#This Row],[CODIGO]]="", "", PRODUCTOS[[#This Row],[CODIGO]])</f>
        <v>EPP-RESMC-011</v>
      </c>
      <c r="C139" s="6" t="str">
        <f>IF(GENERAL[[#This Row],[CODIGO]]="", "", VLOOKUP(GENERAL[[#This Row],[CODIGO]], PRODUCTOS[#All], 2, FALSE))</f>
        <v>Respirador media cara</v>
      </c>
      <c r="D13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139" s="28" t="str">
        <f>IFERROR(IF(GENERAL[[#This Row],[CANTIDAD]]=0, "AGOTADO", IF(GENERAL[[#This Row],[CANTIDAD]]&lt;VLOOKUP(GENERAL[[#This Row],[CODIGO]], PRODUCTOS[#All], 3, FALSE), "MENOR AL MINIMO", "")), "")</f>
        <v>AGOTADO</v>
      </c>
      <c r="F139" s="39">
        <f>IF(OR(GENERAL[[#This Row],[CODIGO]]="", GENERAL[[#This Row],[CANTIDAD]]=""), "", VLOOKUP(GENERAL[[#This Row],[CODIGO]], PRODUCTOS[#All], 4, FALSE) * GENERAL[[#This Row],[CANTIDAD]])</f>
        <v>0</v>
      </c>
      <c r="T139" s="8"/>
    </row>
    <row r="140" spans="2:20" x14ac:dyDescent="0.2">
      <c r="B140" s="11" t="str">
        <f>IF(PRODUCTOS[[#This Row],[CODIGO]]="", "", PRODUCTOS[[#This Row],[CODIGO]])</f>
        <v>EQU-ANEM-008</v>
      </c>
      <c r="C140" s="6" t="str">
        <f>IF(GENERAL[[#This Row],[CODIGO]]="", "", VLOOKUP(GENERAL[[#This Row],[CODIGO]], PRODUCTOS[#All], 2, FALSE))</f>
        <v>Anemometro UNIT-T UT63S</v>
      </c>
      <c r="D14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40" s="28" t="str">
        <f>IFERROR(IF(GENERAL[[#This Row],[CANTIDAD]]=0, "AGOTADO", IF(GENERAL[[#This Row],[CANTIDAD]]&lt;VLOOKUP(GENERAL[[#This Row],[CODIGO]], PRODUCTOS[#All], 3, FALSE), "MENOR AL MINIMO", "")), "")</f>
        <v/>
      </c>
      <c r="F140" s="39">
        <f>IF(OR(GENERAL[[#This Row],[CODIGO]]="", GENERAL[[#This Row],[CANTIDAD]]=""), "", VLOOKUP(GENERAL[[#This Row],[CODIGO]], PRODUCTOS[#All], 4, FALSE) * GENERAL[[#This Row],[CANTIDAD]])</f>
        <v>858.8</v>
      </c>
      <c r="T140" s="8"/>
    </row>
    <row r="141" spans="2:20" x14ac:dyDescent="0.2">
      <c r="B141" s="11" t="str">
        <f>IF(PRODUCTOS[[#This Row],[CODIGO]]="", "", PRODUCTOS[[#This Row],[CODIGO]])</f>
        <v>EQU-INROT600-002</v>
      </c>
      <c r="C141" s="6" t="str">
        <f>IF(GENERAL[[#This Row],[CODIGO]]="", "", VLOOKUP(GENERAL[[#This Row],[CODIGO]], PRODUCTOS[#All], 2, FALSE))</f>
        <v>Indicador de rotación UNIT-T UT261B 600V</v>
      </c>
      <c r="D14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41" s="28" t="str">
        <f>IFERROR(IF(GENERAL[[#This Row],[CANTIDAD]]=0, "AGOTADO", IF(GENERAL[[#This Row],[CANTIDAD]]&lt;VLOOKUP(GENERAL[[#This Row],[CODIGO]], PRODUCTOS[#All], 3, FALSE), "MENOR AL MINIMO", "")), "")</f>
        <v/>
      </c>
      <c r="F141" s="39">
        <f>IF(OR(GENERAL[[#This Row],[CODIGO]]="", GENERAL[[#This Row],[CANTIDAD]]=""), "", VLOOKUP(GENERAL[[#This Row],[CODIGO]], PRODUCTOS[#All], 4, FALSE) * GENERAL[[#This Row],[CANTIDAD]])</f>
        <v>2140.9</v>
      </c>
      <c r="T141" s="8"/>
    </row>
    <row r="142" spans="2:20" x14ac:dyDescent="0.2">
      <c r="B142" s="11" t="str">
        <f>IF(PRODUCTOS[[#This Row],[CODIGO]]="", "", PRODUCTOS[[#This Row],[CODIGO]])</f>
        <v>EQU-MEDFLU-012</v>
      </c>
      <c r="C142" s="6" t="str">
        <f>IF(GENERAL[[#This Row],[CODIGO]]="", "", VLOOKUP(GENERAL[[#This Row],[CODIGO]], PRODUCTOS[#All], 2, FALSE))</f>
        <v xml:space="preserve">Medidor de flujo Ultrasonico ABDT-LCT-S </v>
      </c>
      <c r="D14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42" s="28" t="str">
        <f>IFERROR(IF(GENERAL[[#This Row],[CANTIDAD]]=0, "AGOTADO", IF(GENERAL[[#This Row],[CANTIDAD]]&lt;VLOOKUP(GENERAL[[#This Row],[CODIGO]], PRODUCTOS[#All], 3, FALSE), "MENOR AL MINIMO", "")), "")</f>
        <v/>
      </c>
      <c r="F142" s="39">
        <f>IF(OR(GENERAL[[#This Row],[CODIGO]]="", GENERAL[[#This Row],[CANTIDAD]]=""), "", VLOOKUP(GENERAL[[#This Row],[CODIGO]], PRODUCTOS[#All], 4, FALSE) * GENERAL[[#This Row],[CANTIDAD]])</f>
        <v>25000</v>
      </c>
      <c r="T142" s="8"/>
    </row>
    <row r="143" spans="2:20" x14ac:dyDescent="0.2">
      <c r="B143" s="11" t="str">
        <f>IF(PRODUCTOS[[#This Row],[CODIGO]]="", "", PRODUCTOS[[#This Row],[CODIGO]])</f>
        <v>EQU-MEDVIB-007</v>
      </c>
      <c r="C143" s="6" t="str">
        <f>IF(GENERAL[[#This Row],[CODIGO]]="", "", VLOOKUP(GENERAL[[#This Row],[CODIGO]], PRODUCTOS[#All], 2, FALSE))</f>
        <v xml:space="preserve">Medidor de vibración WINTAC WT63B </v>
      </c>
      <c r="D14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43" s="28" t="str">
        <f>IFERROR(IF(GENERAL[[#This Row],[CANTIDAD]]=0, "AGOTADO", IF(GENERAL[[#This Row],[CANTIDAD]]&lt;VLOOKUP(GENERAL[[#This Row],[CODIGO]], PRODUCTOS[#All], 3, FALSE), "MENOR AL MINIMO", "")), "")</f>
        <v/>
      </c>
      <c r="F143" s="39">
        <f>IF(OR(GENERAL[[#This Row],[CODIGO]]="", GENERAL[[#This Row],[CANTIDAD]]=""), "", VLOOKUP(GENERAL[[#This Row],[CODIGO]], PRODUCTOS[#All], 4, FALSE) * GENERAL[[#This Row],[CANTIDAD]])</f>
        <v>3800.32</v>
      </c>
      <c r="T143" s="8"/>
    </row>
    <row r="144" spans="2:20" x14ac:dyDescent="0.2">
      <c r="B144" s="11" t="str">
        <f>IF(PRODUCTOS[[#This Row],[CODIGO]]="", "", PRODUCTOS[[#This Row],[CODIGO]])</f>
        <v>EQU-MEGG-006</v>
      </c>
      <c r="C144" s="6" t="str">
        <f>IF(GENERAL[[#This Row],[CODIGO]]="", "", VLOOKUP(GENERAL[[#This Row],[CODIGO]], PRODUCTOS[#All], 2, FALSE))</f>
        <v>Megger UNIT-T UT512 2500V</v>
      </c>
      <c r="D14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44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44" s="39">
        <f>IF(OR(GENERAL[[#This Row],[CODIGO]]="", GENERAL[[#This Row],[CANTIDAD]]=""), "", VLOOKUP(GENERAL[[#This Row],[CODIGO]], PRODUCTOS[#All], 4, FALSE) * GENERAL[[#This Row],[CANTIDAD]])</f>
        <v>4530.2</v>
      </c>
      <c r="T144" s="8"/>
    </row>
    <row r="145" spans="2:20" x14ac:dyDescent="0.2">
      <c r="B145" s="11" t="str">
        <f>IF(PRODUCTOS[[#This Row],[CODIGO]]="", "", PRODUCTOS[[#This Row],[CODIGO]])</f>
        <v>EQU-MEGG1000-011</v>
      </c>
      <c r="C145" s="6" t="str">
        <f>IF(GENERAL[[#This Row],[CODIGO]]="", "", VLOOKUP(GENERAL[[#This Row],[CODIGO]], PRODUCTOS[#All], 2, FALSE))</f>
        <v>Megger FLUKE 1587 1000V</v>
      </c>
      <c r="D14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45" s="28" t="str">
        <f>IFERROR(IF(GENERAL[[#This Row],[CANTIDAD]]=0, "AGOTADO", IF(GENERAL[[#This Row],[CANTIDAD]]&lt;VLOOKUP(GENERAL[[#This Row],[CODIGO]], PRODUCTOS[#All], 3, FALSE), "MENOR AL MINIMO", "")), "")</f>
        <v/>
      </c>
      <c r="F145" s="39">
        <f>IF(OR(GENERAL[[#This Row],[CODIGO]]="", GENERAL[[#This Row],[CANTIDAD]]=""), "", VLOOKUP(GENERAL[[#This Row],[CODIGO]], PRODUCTOS[#All], 4, FALSE) * GENERAL[[#This Row],[CANTIDAD]])</f>
        <v>17432.09</v>
      </c>
      <c r="T145" s="8"/>
    </row>
    <row r="146" spans="2:20" x14ac:dyDescent="0.2">
      <c r="B146" s="11" t="str">
        <f>IF(PRODUCTOS[[#This Row],[CODIGO]]="", "", PRODUCTOS[[#This Row],[CODIGO]])</f>
        <v>EQU-MITACO-004</v>
      </c>
      <c r="C146" s="6" t="str">
        <f>IF(GENERAL[[#This Row],[CODIGO]]="", "", VLOOKUP(GENERAL[[#This Row],[CODIGO]], PRODUCTOS[#All], 2, FALSE))</f>
        <v>Mini tacometro UNIT-T UT373</v>
      </c>
      <c r="D14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46" s="28" t="str">
        <f>IFERROR(IF(GENERAL[[#This Row],[CANTIDAD]]=0, "AGOTADO", IF(GENERAL[[#This Row],[CANTIDAD]]&lt;VLOOKUP(GENERAL[[#This Row],[CODIGO]], PRODUCTOS[#All], 3, FALSE), "MENOR AL MINIMO", "")), "")</f>
        <v/>
      </c>
      <c r="F146" s="39">
        <f>IF(OR(GENERAL[[#This Row],[CODIGO]]="", GENERAL[[#This Row],[CANTIDAD]]=""), "", VLOOKUP(GENERAL[[#This Row],[CODIGO]], PRODUCTOS[#All], 4, FALSE) * GENERAL[[#This Row],[CANTIDAD]])</f>
        <v>974.3</v>
      </c>
      <c r="T146" s="8"/>
    </row>
    <row r="147" spans="2:20" x14ac:dyDescent="0.2">
      <c r="B147" s="11" t="str">
        <f>IF(PRODUCTOS[[#This Row],[CODIGO]]="", "", PRODUCTOS[[#This Row],[CODIGO]])</f>
        <v>EQU-MULT600-001</v>
      </c>
      <c r="C147" s="6" t="str">
        <f>IF(GENERAL[[#This Row],[CODIGO]]="", "", VLOOKUP(GENERAL[[#This Row],[CODIGO]], PRODUCTOS[#All], 2, FALSE))</f>
        <v>Multimetro intelgente FNIRSI 600A 600V</v>
      </c>
      <c r="D14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47" s="28" t="str">
        <f>IFERROR(IF(GENERAL[[#This Row],[CANTIDAD]]=0, "AGOTADO", IF(GENERAL[[#This Row],[CANTIDAD]]&lt;VLOOKUP(GENERAL[[#This Row],[CODIGO]], PRODUCTOS[#All], 3, FALSE), "MENOR AL MINIMO", "")), "")</f>
        <v/>
      </c>
      <c r="F147" s="39">
        <f>IF(OR(GENERAL[[#This Row],[CODIGO]]="", GENERAL[[#This Row],[CANTIDAD]]=""), "", VLOOKUP(GENERAL[[#This Row],[CODIGO]], PRODUCTOS[#All], 4, FALSE) * GENERAL[[#This Row],[CANTIDAD]])</f>
        <v>423.93</v>
      </c>
      <c r="T147" s="8"/>
    </row>
    <row r="148" spans="2:20" x14ac:dyDescent="0.2">
      <c r="B148" s="11" t="str">
        <f>IF(PRODUCTOS[[#This Row],[CODIGO]]="", "", PRODUCTOS[[#This Row],[CODIGO]])</f>
        <v>EQU-PINTERR-010</v>
      </c>
      <c r="C148" s="6" t="str">
        <f>IF(GENERAL[[#This Row],[CODIGO]]="", "", VLOOKUP(GENERAL[[#This Row],[CODIGO]], PRODUCTOS[#All], 2, FALSE))</f>
        <v xml:space="preserve">Pinza terrómica UNIT-T UT278A+ </v>
      </c>
      <c r="D14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48" s="28" t="str">
        <f>IFERROR(IF(GENERAL[[#This Row],[CANTIDAD]]=0, "AGOTADO", IF(GENERAL[[#This Row],[CANTIDAD]]&lt;VLOOKUP(GENERAL[[#This Row],[CODIGO]], PRODUCTOS[#All], 3, FALSE), "MENOR AL MINIMO", "")), "")</f>
        <v/>
      </c>
      <c r="F148" s="39">
        <f>IF(OR(GENERAL[[#This Row],[CODIGO]]="", GENERAL[[#This Row],[CANTIDAD]]=""), "", VLOOKUP(GENERAL[[#This Row],[CODIGO]], PRODUCTOS[#All], 4, FALSE) * GENERAL[[#This Row],[CANTIDAD]])</f>
        <v>9052.02</v>
      </c>
      <c r="T148" s="8"/>
    </row>
    <row r="149" spans="2:20" x14ac:dyDescent="0.2">
      <c r="B149" s="11" t="str">
        <f>IF(PRODUCTOS[[#This Row],[CODIGO]]="", "", PRODUCTOS[[#This Row],[CODIGO]])</f>
        <v>EQU-PITEM-003</v>
      </c>
      <c r="C149" s="6" t="str">
        <f>IF(GENERAL[[#This Row],[CODIGO]]="", "", VLOOKUP(GENERAL[[#This Row],[CODIGO]], PRODUCTOS[#All], 2, FALSE))</f>
        <v>Pistola de temperatura MESTEK IR01D</v>
      </c>
      <c r="D14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49" s="28" t="str">
        <f>IFERROR(IF(GENERAL[[#This Row],[CANTIDAD]]=0, "AGOTADO", IF(GENERAL[[#This Row],[CANTIDAD]]&lt;VLOOKUP(GENERAL[[#This Row],[CODIGO]], PRODUCTOS[#All], 3, FALSE), "MENOR AL MINIMO", "")), "")</f>
        <v/>
      </c>
      <c r="F149" s="39">
        <f>IF(OR(GENERAL[[#This Row],[CODIGO]]="", GENERAL[[#This Row],[CANTIDAD]]=""), "", VLOOKUP(GENERAL[[#This Row],[CODIGO]], PRODUCTOS[#All], 4, FALSE) * GENERAL[[#This Row],[CANTIDAD]])</f>
        <v>455.08</v>
      </c>
      <c r="T149" s="8"/>
    </row>
    <row r="150" spans="2:20" x14ac:dyDescent="0.2">
      <c r="B150" s="11" t="str">
        <f>IF(PRODUCTOS[[#This Row],[CODIGO]]="", "", PRODUCTOS[[#This Row],[CODIGO]])</f>
        <v>EQU-PITERMG-005</v>
      </c>
      <c r="C150" s="6" t="str">
        <f>IF(GENERAL[[#This Row],[CODIGO]]="", "", VLOOKUP(GENERAL[[#This Row],[CODIGO]], PRODUCTOS[#All], 2, FALSE))</f>
        <v xml:space="preserve">Pistola-camara Termografica  UNIT-T UTi260B </v>
      </c>
      <c r="D15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50" s="28" t="str">
        <f>IFERROR(IF(GENERAL[[#This Row],[CANTIDAD]]=0, "AGOTADO", IF(GENERAL[[#This Row],[CANTIDAD]]&lt;VLOOKUP(GENERAL[[#This Row],[CODIGO]], PRODUCTOS[#All], 3, FALSE), "MENOR AL MINIMO", "")), "")</f>
        <v/>
      </c>
      <c r="F150" s="39">
        <f>IF(OR(GENERAL[[#This Row],[CODIGO]]="", GENERAL[[#This Row],[CANTIDAD]]=""), "", VLOOKUP(GENERAL[[#This Row],[CODIGO]], PRODUCTOS[#All], 4, FALSE) * GENERAL[[#This Row],[CANTIDAD]])</f>
        <v>5850.31</v>
      </c>
      <c r="T150" s="8"/>
    </row>
    <row r="151" spans="2:20" x14ac:dyDescent="0.2">
      <c r="B151" s="11" t="str">
        <f>IF(PRODUCTOS[[#This Row],[CODIGO]]="", "", PRODUCTOS[[#This Row],[CODIGO]])</f>
        <v>EQU-TERROD-009</v>
      </c>
      <c r="C151" s="6" t="str">
        <f>IF(GENERAL[[#This Row],[CODIGO]]="", "", VLOOKUP(GENERAL[[#This Row],[CODIGO]], PRODUCTOS[#All], 2, FALSE))</f>
        <v>Terrometro digital DUOYI 20 - 2000 OHMS</v>
      </c>
      <c r="D15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51" s="28" t="str">
        <f>IFERROR(IF(GENERAL[[#This Row],[CANTIDAD]]=0, "AGOTADO", IF(GENERAL[[#This Row],[CANTIDAD]]&lt;VLOOKUP(GENERAL[[#This Row],[CODIGO]], PRODUCTOS[#All], 3, FALSE), "MENOR AL MINIMO", "")), "")</f>
        <v/>
      </c>
      <c r="F151" s="39">
        <f>IF(OR(GENERAL[[#This Row],[CODIGO]]="", GENERAL[[#This Row],[CANTIDAD]]=""), "", VLOOKUP(GENERAL[[#This Row],[CODIGO]], PRODUCTOS[#All], 4, FALSE) * GENERAL[[#This Row],[CANTIDAD]])</f>
        <v>2809.5</v>
      </c>
      <c r="T151" s="8"/>
    </row>
    <row r="152" spans="2:20" x14ac:dyDescent="0.2">
      <c r="B152" s="11" t="str">
        <f>IF(PRODUCTOS[[#This Row],[CODIGO]]="", "", PRODUCTOS[[#This Row],[CODIGO]])</f>
        <v>FER-ABLC11-074</v>
      </c>
      <c r="C152" s="6" t="str">
        <f>IF(GENERAL[[#This Row],[CODIGO]]="", "", VLOOKUP(GENERAL[[#This Row],[CODIGO]], PRODUCTOS[#All], 2, FALSE))</f>
        <v>Abrazaderas de bloqueo en C 11"</v>
      </c>
      <c r="D15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152" s="28" t="str">
        <f>IFERROR(IF(GENERAL[[#This Row],[CANTIDAD]]=0, "AGOTADO", IF(GENERAL[[#This Row],[CANTIDAD]]&lt;VLOOKUP(GENERAL[[#This Row],[CODIGO]], PRODUCTOS[#All], 3, FALSE), "MENOR AL MINIMO", "")), "")</f>
        <v>AGOTADO</v>
      </c>
      <c r="F152" s="39">
        <f>IF(OR(GENERAL[[#This Row],[CODIGO]]="", GENERAL[[#This Row],[CANTIDAD]]=""), "", VLOOKUP(GENERAL[[#This Row],[CODIGO]], PRODUCTOS[#All], 4, FALSE) * GENERAL[[#This Row],[CANTIDAD]])</f>
        <v>0</v>
      </c>
      <c r="T152" s="8"/>
    </row>
    <row r="153" spans="2:20" x14ac:dyDescent="0.2">
      <c r="B153" s="11" t="str">
        <f>IF(PRODUCTOS[[#This Row],[CODIGO]]="", "", PRODUCTOS[[#This Row],[CODIGO]])</f>
        <v>FER-ABR58-114</v>
      </c>
      <c r="C153" s="6" t="str">
        <f>IF(GENERAL[[#This Row],[CODIGO]]="", "", VLOOKUP(GENERAL[[#This Row],[CODIGO]], PRODUCTOS[#All], 2, FALSE))</f>
        <v>Abrazadera 5/8 a 1 1/4"</v>
      </c>
      <c r="D15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153" s="28" t="str">
        <f>IFERROR(IF(GENERAL[[#This Row],[CANTIDAD]]=0, "AGOTADO", IF(GENERAL[[#This Row],[CANTIDAD]]&lt;VLOOKUP(GENERAL[[#This Row],[CODIGO]], PRODUCTOS[#All], 3, FALSE), "MENOR AL MINIMO", "")), "")</f>
        <v/>
      </c>
      <c r="F153" s="39">
        <f>IF(OR(GENERAL[[#This Row],[CODIGO]]="", GENERAL[[#This Row],[CANTIDAD]]=""), "", VLOOKUP(GENERAL[[#This Row],[CODIGO]], PRODUCTOS[#All], 4, FALSE) * GENERAL[[#This Row],[CANTIDAD]])</f>
        <v>0</v>
      </c>
      <c r="T153" s="8"/>
    </row>
    <row r="154" spans="2:20" x14ac:dyDescent="0.2">
      <c r="B154" s="11" t="str">
        <f>IF(PRODUCTOS[[#This Row],[CODIGO]]="", "", PRODUCTOS[[#This Row],[CODIGO]])</f>
        <v>FER-ABRCH-14</v>
      </c>
      <c r="C154" s="6" t="str">
        <f>IF(GENERAL[[#This Row],[CODIGO]]="", "", VLOOKUP(GENERAL[[#This Row],[CODIGO]], PRODUCTOS[#All], 2, FALSE))</f>
        <v>Abrazadera chica</v>
      </c>
      <c r="D15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45</v>
      </c>
      <c r="E154" s="28" t="str">
        <f>IFERROR(IF(GENERAL[[#This Row],[CANTIDAD]]=0, "AGOTADO", IF(GENERAL[[#This Row],[CANTIDAD]]&lt;VLOOKUP(GENERAL[[#This Row],[CODIGO]], PRODUCTOS[#All], 3, FALSE), "MENOR AL MINIMO", "")), "")</f>
        <v/>
      </c>
      <c r="F154" s="39">
        <f>IF(OR(GENERAL[[#This Row],[CODIGO]]="", GENERAL[[#This Row],[CANTIDAD]]=""), "", VLOOKUP(GENERAL[[#This Row],[CODIGO]], PRODUCTOS[#All], 4, FALSE) * GENERAL[[#This Row],[CANTIDAD]])</f>
        <v>0</v>
      </c>
      <c r="T154" s="8"/>
    </row>
    <row r="155" spans="2:20" x14ac:dyDescent="0.2">
      <c r="B155" s="11" t="str">
        <f>IF(PRODUCTOS[[#This Row],[CODIGO]]="", "", PRODUCTOS[[#This Row],[CODIGO]])</f>
        <v>FER-ACEMOT-1L</v>
      </c>
      <c r="C155" s="6" t="str">
        <f>IF(GENERAL[[#This Row],[CODIGO]]="", "", VLOOKUP(GENERAL[[#This Row],[CODIGO]], PRODUCTOS[#All], 2, FALSE))</f>
        <v>Aceite para motores de gasolina 1L</v>
      </c>
      <c r="D15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155" s="28" t="str">
        <f>IFERROR(IF(GENERAL[[#This Row],[CANTIDAD]]=0, "AGOTADO", IF(GENERAL[[#This Row],[CANTIDAD]]&lt;VLOOKUP(GENERAL[[#This Row],[CODIGO]], PRODUCTOS[#All], 3, FALSE), "MENOR AL MINIMO", "")), "")</f>
        <v>AGOTADO</v>
      </c>
      <c r="F155" s="39">
        <f>IF(OR(GENERAL[[#This Row],[CODIGO]]="", GENERAL[[#This Row],[CANTIDAD]]=""), "", VLOOKUP(GENERAL[[#This Row],[CODIGO]], PRODUCTOS[#All], 4, FALSE) * GENERAL[[#This Row],[CANTIDAD]])</f>
        <v>0</v>
      </c>
      <c r="T155" s="8"/>
    </row>
    <row r="156" spans="2:20" x14ac:dyDescent="0.2">
      <c r="B156" s="11" t="str">
        <f>IF(PRODUCTOS[[#This Row],[CODIGO]]="", "", PRODUCTOS[[#This Row],[CODIGO]])</f>
        <v>FER-ACOPL-046</v>
      </c>
      <c r="C156" s="6" t="str">
        <f>IF(GENERAL[[#This Row],[CODIGO]]="", "", VLOOKUP(GENERAL[[#This Row],[CODIGO]], PRODUCTOS[#All], 2, FALSE))</f>
        <v>Acoplador de tierras fisicas</v>
      </c>
      <c r="D15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56" s="28" t="str">
        <f>IFERROR(IF(GENERAL[[#This Row],[CANTIDAD]]=0, "AGOTADO", IF(GENERAL[[#This Row],[CANTIDAD]]&lt;VLOOKUP(GENERAL[[#This Row],[CODIGO]], PRODUCTOS[#All], 3, FALSE), "MENOR AL MINIMO", "")), "")</f>
        <v/>
      </c>
      <c r="F156" s="39">
        <f>IF(OR(GENERAL[[#This Row],[CODIGO]]="", GENERAL[[#This Row],[CANTIDAD]]=""), "", VLOOKUP(GENERAL[[#This Row],[CODIGO]], PRODUCTOS[#All], 4, FALSE) * GENERAL[[#This Row],[CANTIDAD]])</f>
        <v>6800</v>
      </c>
      <c r="T156" s="8"/>
    </row>
    <row r="157" spans="2:20" x14ac:dyDescent="0.2">
      <c r="B157" s="11" t="str">
        <f>IF(PRODUCTOS[[#This Row],[CODIGO]]="", "", PRODUCTOS[[#This Row],[CODIGO]])</f>
        <v>FER-ADEPOX-062</v>
      </c>
      <c r="C157" s="6" t="str">
        <f>IF(GENERAL[[#This Row],[CODIGO]]="", "", VLOOKUP(GENERAL[[#This Row],[CODIGO]], PRODUCTOS[#All], 2, FALSE))</f>
        <v>Adhesico epóxico 30g</v>
      </c>
      <c r="D15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157" s="28" t="str">
        <f>IFERROR(IF(GENERAL[[#This Row],[CANTIDAD]]=0, "AGOTADO", IF(GENERAL[[#This Row],[CANTIDAD]]&lt;VLOOKUP(GENERAL[[#This Row],[CODIGO]], PRODUCTOS[#All], 3, FALSE), "MENOR AL MINIMO", "")), "")</f>
        <v/>
      </c>
      <c r="F157" s="39">
        <f>IF(OR(GENERAL[[#This Row],[CODIGO]]="", GENERAL[[#This Row],[CANTIDAD]]=""), "", VLOOKUP(GENERAL[[#This Row],[CODIGO]], PRODUCTOS[#All], 4, FALSE) * GENERAL[[#This Row],[CANTIDAD]])</f>
        <v>279.95999999999998</v>
      </c>
      <c r="T157" s="8"/>
    </row>
    <row r="158" spans="2:20" x14ac:dyDescent="0.2">
      <c r="B158" s="11" t="str">
        <f>IF(PRODUCTOS[[#This Row],[CODIGO]]="", "", PRODUCTOS[[#This Row],[CODIGO]])</f>
        <v>FER-ADPTAL-080</v>
      </c>
      <c r="C158" s="6" t="str">
        <f>IF(GENERAL[[#This Row],[CODIGO]]="", "", VLOOKUP(GENERAL[[#This Row],[CODIGO]], PRODUCTOS[#All], 2, FALSE))</f>
        <v>Adaptador taladro angulo 105 (juego 9pzs)</v>
      </c>
      <c r="D15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58" s="28" t="str">
        <f>IFERROR(IF(GENERAL[[#This Row],[CANTIDAD]]=0, "AGOTADO", IF(GENERAL[[#This Row],[CANTIDAD]]&lt;VLOOKUP(GENERAL[[#This Row],[CODIGO]], PRODUCTOS[#All], 3, FALSE), "MENOR AL MINIMO", "")), "")</f>
        <v/>
      </c>
      <c r="F158" s="39">
        <f>IF(OR(GENERAL[[#This Row],[CODIGO]]="", GENERAL[[#This Row],[CANTIDAD]]=""), "", VLOOKUP(GENERAL[[#This Row],[CODIGO]], PRODUCTOS[#All], 4, FALSE) * GENERAL[[#This Row],[CANTIDAD]])</f>
        <v>0</v>
      </c>
      <c r="T158" s="8"/>
    </row>
    <row r="159" spans="2:20" x14ac:dyDescent="0.2">
      <c r="B159" s="11" t="str">
        <f>IF(PRODUCTOS[[#This Row],[CODIGO]]="", "", PRODUCTOS[[#This Row],[CODIGO]])</f>
        <v>FER-AERAZ-400ML</v>
      </c>
      <c r="C159" s="6" t="str">
        <f>IF(GENERAL[[#This Row],[CODIGO]]="", "", VLOOKUP(GENERAL[[#This Row],[CODIGO]], PRODUCTOS[#All], 2, FALSE))</f>
        <v>Pintura en aerosol azul 400ml</v>
      </c>
      <c r="D15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59" s="28" t="str">
        <f>IFERROR(IF(GENERAL[[#This Row],[CANTIDAD]]=0, "AGOTADO", IF(GENERAL[[#This Row],[CANTIDAD]]&lt;VLOOKUP(GENERAL[[#This Row],[CODIGO]], PRODUCTOS[#All], 3, FALSE), "MENOR AL MINIMO", "")), "")</f>
        <v/>
      </c>
      <c r="F159" s="39">
        <f>IF(OR(GENERAL[[#This Row],[CODIGO]]="", GENERAL[[#This Row],[CANTIDAD]]=""), "", VLOOKUP(GENERAL[[#This Row],[CODIGO]], PRODUCTOS[#All], 4, FALSE) * GENERAL[[#This Row],[CANTIDAD]])</f>
        <v>0</v>
      </c>
      <c r="T159" s="8"/>
    </row>
    <row r="160" spans="2:20" x14ac:dyDescent="0.2">
      <c r="B160" s="11" t="str">
        <f>IF(PRODUCTOS[[#This Row],[CODIGO]]="", "", PRODUCTOS[[#This Row],[CODIGO]])</f>
        <v>FER-AERVE-400ML</v>
      </c>
      <c r="C160" s="6" t="str">
        <f>IF(GENERAL[[#This Row],[CODIGO]]="", "", VLOOKUP(GENERAL[[#This Row],[CODIGO]], PRODUCTOS[#All], 2, FALSE))</f>
        <v>Pintura en aerosol verde 400ml</v>
      </c>
      <c r="D16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60" s="28" t="str">
        <f>IFERROR(IF(GENERAL[[#This Row],[CANTIDAD]]=0, "AGOTADO", IF(GENERAL[[#This Row],[CANTIDAD]]&lt;VLOOKUP(GENERAL[[#This Row],[CODIGO]], PRODUCTOS[#All], 3, FALSE), "MENOR AL MINIMO", "")), "")</f>
        <v/>
      </c>
      <c r="F160" s="39">
        <f>IF(OR(GENERAL[[#This Row],[CODIGO]]="", GENERAL[[#This Row],[CANTIDAD]]=""), "", VLOOKUP(GENERAL[[#This Row],[CODIGO]], PRODUCTOS[#All], 4, FALSE) * GENERAL[[#This Row],[CANTIDAD]])</f>
        <v>0</v>
      </c>
      <c r="T160" s="8"/>
    </row>
    <row r="161" spans="2:20" x14ac:dyDescent="0.2">
      <c r="B161" s="11" t="str">
        <f>IF(PRODUCTOS[[#This Row],[CODIGO]]="", "", PRODUCTOS[[#This Row],[CODIGO]])</f>
        <v>FER-AFLTO-400</v>
      </c>
      <c r="C161" s="6" t="str">
        <f>IF(GENERAL[[#This Row],[CODIGO]]="", "", VLOOKUP(GENERAL[[#This Row],[CODIGO]], PRODUCTOS[#All], 2, FALSE))</f>
        <v xml:space="preserve">Aflojatodo 400ml </v>
      </c>
      <c r="D16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161" s="28" t="str">
        <f>IFERROR(IF(GENERAL[[#This Row],[CANTIDAD]]=0, "AGOTADO", IF(GENERAL[[#This Row],[CANTIDAD]]&lt;VLOOKUP(GENERAL[[#This Row],[CODIGO]], PRODUCTOS[#All], 3, FALSE), "MENOR AL MINIMO", "")), "")</f>
        <v/>
      </c>
      <c r="F161" s="39">
        <f>IF(OR(GENERAL[[#This Row],[CODIGO]]="", GENERAL[[#This Row],[CANTIDAD]]=""), "", VLOOKUP(GENERAL[[#This Row],[CODIGO]], PRODUCTOS[#All], 4, FALSE) * GENERAL[[#This Row],[CANTIDAD]])</f>
        <v>395</v>
      </c>
      <c r="T161" s="8"/>
    </row>
    <row r="162" spans="2:20" x14ac:dyDescent="0.2">
      <c r="B162" s="11" t="str">
        <f>IF(PRODUCTOS[[#This Row],[CODIGO]]="", "", PRODUCTOS[[#This Row],[CODIGO]])</f>
        <v>FER-AFLTO-550</v>
      </c>
      <c r="C162" s="6" t="str">
        <f>IF(GENERAL[[#This Row],[CODIGO]]="", "", VLOOKUP(GENERAL[[#This Row],[CODIGO]], PRODUCTOS[#All], 2, FALSE))</f>
        <v>Aflojatodo 550ml</v>
      </c>
      <c r="D16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162" s="28" t="str">
        <f>IFERROR(IF(GENERAL[[#This Row],[CANTIDAD]]=0, "AGOTADO", IF(GENERAL[[#This Row],[CANTIDAD]]&lt;VLOOKUP(GENERAL[[#This Row],[CODIGO]], PRODUCTOS[#All], 3, FALSE), "MENOR AL MINIMO", "")), "")</f>
        <v/>
      </c>
      <c r="F162" s="39">
        <f>IF(OR(GENERAL[[#This Row],[CODIGO]]="", GENERAL[[#This Row],[CANTIDAD]]=""), "", VLOOKUP(GENERAL[[#This Row],[CODIGO]], PRODUCTOS[#All], 4, FALSE) * GENERAL[[#This Row],[CANTIDAD]])</f>
        <v>291</v>
      </c>
      <c r="T162" s="8"/>
    </row>
    <row r="163" spans="2:20" x14ac:dyDescent="0.2">
      <c r="B163" s="11" t="str">
        <f>IF(PRODUCTOS[[#This Row],[CODIGO]]="", "", PRODUCTOS[[#This Row],[CODIGO]])</f>
        <v>FER-ALAM10-004</v>
      </c>
      <c r="C163" s="6" t="str">
        <f>IF(GENERAL[[#This Row],[CODIGO]]="", "", VLOOKUP(GENERAL[[#This Row],[CODIGO]], PRODUCTOS[#All], 2, FALSE))</f>
        <v>Rollo alambre cal. 10</v>
      </c>
      <c r="D16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11</v>
      </c>
      <c r="E163" s="28" t="str">
        <f>IFERROR(IF(GENERAL[[#This Row],[CANTIDAD]]=0, "AGOTADO", IF(GENERAL[[#This Row],[CANTIDAD]]&lt;VLOOKUP(GENERAL[[#This Row],[CODIGO]], PRODUCTOS[#All], 3, FALSE), "MENOR AL MINIMO", "")), "")</f>
        <v/>
      </c>
      <c r="F163" s="39">
        <f>IF(OR(GENERAL[[#This Row],[CODIGO]]="", GENERAL[[#This Row],[CANTIDAD]]=""), "", VLOOKUP(GENERAL[[#This Row],[CODIGO]], PRODUCTOS[#All], 4, FALSE) * GENERAL[[#This Row],[CANTIDAD]])</f>
        <v>15207.83</v>
      </c>
      <c r="T163" s="8"/>
    </row>
    <row r="164" spans="2:20" x14ac:dyDescent="0.2">
      <c r="B164" s="11" t="str">
        <f>IF(PRODUCTOS[[#This Row],[CODIGO]]="", "", PRODUCTOS[[#This Row],[CODIGO]])</f>
        <v>FER-ALCET-1L</v>
      </c>
      <c r="C164" s="6" t="str">
        <f>IF(GENERAL[[#This Row],[CODIGO]]="", "", VLOOKUP(GENERAL[[#This Row],[CODIGO]], PRODUCTOS[#All], 2, FALSE))</f>
        <v>Alcohol etílico 1L</v>
      </c>
      <c r="D16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64" s="28" t="str">
        <f>IFERROR(IF(GENERAL[[#This Row],[CANTIDAD]]=0, "AGOTADO", IF(GENERAL[[#This Row],[CANTIDAD]]&lt;VLOOKUP(GENERAL[[#This Row],[CODIGO]], PRODUCTOS[#All], 3, FALSE), "MENOR AL MINIMO", "")), "")</f>
        <v/>
      </c>
      <c r="F164" s="39">
        <f>IF(OR(GENERAL[[#This Row],[CODIGO]]="", GENERAL[[#This Row],[CANTIDAD]]=""), "", VLOOKUP(GENERAL[[#This Row],[CODIGO]], PRODUCTOS[#All], 4, FALSE) * GENERAL[[#This Row],[CANTIDAD]])</f>
        <v>120</v>
      </c>
      <c r="T164" s="8"/>
    </row>
    <row r="165" spans="2:20" x14ac:dyDescent="0.2">
      <c r="B165" s="11" t="str">
        <f>IF(PRODUCTOS[[#This Row],[CODIGO]]="", "", PRODUCTOS[[#This Row],[CODIGO]])</f>
        <v>FER-ALHIS-1L</v>
      </c>
      <c r="C165" s="6" t="str">
        <f>IF(GENERAL[[#This Row],[CODIGO]]="", "", VLOOKUP(GENERAL[[#This Row],[CODIGO]], PRODUCTOS[#All], 2, FALSE))</f>
        <v>Alcohol isopropílico 1L</v>
      </c>
      <c r="D16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165" s="28" t="str">
        <f>IFERROR(IF(GENERAL[[#This Row],[CANTIDAD]]=0, "AGOTADO", IF(GENERAL[[#This Row],[CANTIDAD]]&lt;VLOOKUP(GENERAL[[#This Row],[CODIGO]], PRODUCTOS[#All], 3, FALSE), "MENOR AL MINIMO", "")), "")</f>
        <v/>
      </c>
      <c r="F165" s="39">
        <f>IF(OR(GENERAL[[#This Row],[CODIGO]]="", GENERAL[[#This Row],[CANTIDAD]]=""), "", VLOOKUP(GENERAL[[#This Row],[CODIGO]], PRODUCTOS[#All], 4, FALSE) * GENERAL[[#This Row],[CANTIDAD]])</f>
        <v>608</v>
      </c>
      <c r="T165" s="8"/>
    </row>
    <row r="166" spans="2:20" x14ac:dyDescent="0.2">
      <c r="B166" s="11" t="str">
        <f>IF(PRODUCTOS[[#This Row],[CODIGO]]="", "", PRODUCTOS[[#This Row],[CODIGO]])</f>
        <v>FER-ALHIS-280ML</v>
      </c>
      <c r="C166" s="6" t="str">
        <f>IF(GENERAL[[#This Row],[CODIGO]]="", "", VLOOKUP(GENERAL[[#This Row],[CODIGO]], PRODUCTOS[#All], 2, FALSE))</f>
        <v>Alcohol isopropílico 280ml</v>
      </c>
      <c r="D16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166" s="28" t="str">
        <f>IFERROR(IF(GENERAL[[#This Row],[CANTIDAD]]=0, "AGOTADO", IF(GENERAL[[#This Row],[CANTIDAD]]&lt;VLOOKUP(GENERAL[[#This Row],[CODIGO]], PRODUCTOS[#All], 3, FALSE), "MENOR AL MINIMO", "")), "")</f>
        <v/>
      </c>
      <c r="F166" s="39">
        <f>IF(OR(GENERAL[[#This Row],[CODIGO]]="", GENERAL[[#This Row],[CANTIDAD]]=""), "", VLOOKUP(GENERAL[[#This Row],[CODIGO]], PRODUCTOS[#All], 4, FALSE) * GENERAL[[#This Row],[CANTIDAD]])</f>
        <v>500</v>
      </c>
      <c r="T166" s="8"/>
    </row>
    <row r="167" spans="2:20" x14ac:dyDescent="0.2">
      <c r="B167" s="11" t="str">
        <f>IF(PRODUCTOS[[#This Row],[CODIGO]]="", "", PRODUCTOS[[#This Row],[CODIGO]])</f>
        <v>FER-ALIBR3-079</v>
      </c>
      <c r="C167" s="6" t="str">
        <f>IF(GENERAL[[#This Row],[CODIGO]]="", "", VLOOKUP(GENERAL[[#This Row],[CODIGO]], PRODUCTOS[#All], 2, FALSE))</f>
        <v xml:space="preserve">Juego de piedras montadas truper </v>
      </c>
      <c r="D16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67" s="28" t="str">
        <f>IFERROR(IF(GENERAL[[#This Row],[CANTIDAD]]=0, "AGOTADO", IF(GENERAL[[#This Row],[CANTIDAD]]&lt;VLOOKUP(GENERAL[[#This Row],[CODIGO]], PRODUCTOS[#All], 3, FALSE), "MENOR AL MINIMO", "")), "")</f>
        <v/>
      </c>
      <c r="F167" s="39">
        <f>IF(OR(GENERAL[[#This Row],[CODIGO]]="", GENERAL[[#This Row],[CANTIDAD]]=""), "", VLOOKUP(GENERAL[[#This Row],[CODIGO]], PRODUCTOS[#All], 4, FALSE) * GENERAL[[#This Row],[CANTIDAD]])</f>
        <v>0</v>
      </c>
      <c r="T167" s="8"/>
    </row>
    <row r="168" spans="2:20" x14ac:dyDescent="0.2">
      <c r="B168" s="11" t="str">
        <f>IF(PRODUCTOS[[#This Row],[CODIGO]]="", "", PRODUCTOS[[#This Row],[CODIGO]])</f>
        <v>FER-ALIBR4-077</v>
      </c>
      <c r="C168" s="6" t="str">
        <f>IF(GENERAL[[#This Row],[CODIGO]]="", "", VLOOKUP(GENERAL[[#This Row],[CODIGO]], PRODUCTOS[#All], 2, FALSE))</f>
        <v>Abrazadera de liberación rápida 4"</v>
      </c>
      <c r="D16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168" s="28" t="str">
        <f>IFERROR(IF(GENERAL[[#This Row],[CANTIDAD]]=0, "AGOTADO", IF(GENERAL[[#This Row],[CANTIDAD]]&lt;VLOOKUP(GENERAL[[#This Row],[CODIGO]], PRODUCTOS[#All], 3, FALSE), "MENOR AL MINIMO", "")), "")</f>
        <v/>
      </c>
      <c r="F168" s="39">
        <f>IF(OR(GENERAL[[#This Row],[CODIGO]]="", GENERAL[[#This Row],[CANTIDAD]]=""), "", VLOOKUP(GENERAL[[#This Row],[CODIGO]], PRODUCTOS[#All], 4, FALSE) * GENERAL[[#This Row],[CANTIDAD]])</f>
        <v>0</v>
      </c>
      <c r="T168" s="8"/>
    </row>
    <row r="169" spans="2:20" x14ac:dyDescent="0.2">
      <c r="B169" s="11" t="str">
        <f>IF(PRODUCTOS[[#This Row],[CODIGO]]="", "", PRODUCTOS[[#This Row],[CODIGO]])</f>
        <v>FER-ANTICH-477GR</v>
      </c>
      <c r="C169" s="6" t="str">
        <f>IF(GENERAL[[#This Row],[CODIGO]]="", "", VLOOKUP(GENERAL[[#This Row],[CODIGO]], PRODUCTOS[#All], 2, FALSE))</f>
        <v>Antichispa 477gr</v>
      </c>
      <c r="D16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69" s="28" t="str">
        <f>IFERROR(IF(GENERAL[[#This Row],[CANTIDAD]]=0, "AGOTADO", IF(GENERAL[[#This Row],[CANTIDAD]]&lt;VLOOKUP(GENERAL[[#This Row],[CODIGO]], PRODUCTOS[#All], 3, FALSE), "MENOR AL MINIMO", "")), "")</f>
        <v/>
      </c>
      <c r="F169" s="39">
        <f>IF(OR(GENERAL[[#This Row],[CODIGO]]="", GENERAL[[#This Row],[CANTIDAD]]=""), "", VLOOKUP(GENERAL[[#This Row],[CODIGO]], PRODUCTOS[#All], 4, FALSE) * GENERAL[[#This Row],[CANTIDAD]])</f>
        <v>145</v>
      </c>
      <c r="T169" s="8"/>
    </row>
    <row r="170" spans="2:20" x14ac:dyDescent="0.2">
      <c r="B170" s="11" t="str">
        <f>IF(PRODUCTOS[[#This Row],[CODIGO]]="", "", PRODUCTOS[[#This Row],[CODIGO]])</f>
        <v>FER-ARCCEG12-037</v>
      </c>
      <c r="C170" s="6" t="str">
        <f>IF(GENERAL[[#This Row],[CODIGO]]="", "", VLOOKUP(GENERAL[[#This Row],[CODIGO]], PRODUCTOS[#All], 2, FALSE))</f>
        <v>Arco con cegueta 12"</v>
      </c>
      <c r="D17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70" s="28" t="str">
        <f>IFERROR(IF(GENERAL[[#This Row],[CANTIDAD]]=0, "AGOTADO", IF(GENERAL[[#This Row],[CANTIDAD]]&lt;VLOOKUP(GENERAL[[#This Row],[CODIGO]], PRODUCTOS[#All], 3, FALSE), "MENOR AL MINIMO", "")), "")</f>
        <v/>
      </c>
      <c r="F170" s="39">
        <f>IF(OR(GENERAL[[#This Row],[CODIGO]]="", GENERAL[[#This Row],[CANTIDAD]]=""), "", VLOOKUP(GENERAL[[#This Row],[CODIGO]], PRODUCTOS[#All], 4, FALSE) * GENERAL[[#This Row],[CANTIDAD]])</f>
        <v>329</v>
      </c>
      <c r="T170" s="8"/>
    </row>
    <row r="171" spans="2:20" x14ac:dyDescent="0.2">
      <c r="B171" s="11" t="str">
        <f>IF(PRODUCTOS[[#This Row],[CODIGO]]="", "", PRODUCTOS[[#This Row],[CODIGO]])</f>
        <v>FER-ARCSEG12-071</v>
      </c>
      <c r="C171" s="6" t="str">
        <f>IF(GENERAL[[#This Row],[CODIGO]]="", "", VLOOKUP(GENERAL[[#This Row],[CODIGO]], PRODUCTOS[#All], 2, FALSE))</f>
        <v>Arco de solera para segueta 12"</v>
      </c>
      <c r="D17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171" s="28" t="str">
        <f>IFERROR(IF(GENERAL[[#This Row],[CANTIDAD]]=0, "AGOTADO", IF(GENERAL[[#This Row],[CANTIDAD]]&lt;VLOOKUP(GENERAL[[#This Row],[CODIGO]], PRODUCTOS[#All], 3, FALSE), "MENOR AL MINIMO", "")), "")</f>
        <v/>
      </c>
      <c r="F171" s="39">
        <f>IF(OR(GENERAL[[#This Row],[CODIGO]]="", GENERAL[[#This Row],[CANTIDAD]]=""), "", VLOOKUP(GENERAL[[#This Row],[CODIGO]], PRODUCTOS[#All], 4, FALSE) * GENERAL[[#This Row],[CANTIDAD]])</f>
        <v>0</v>
      </c>
      <c r="T171" s="8"/>
    </row>
    <row r="172" spans="2:20" x14ac:dyDescent="0.2">
      <c r="B172" s="11" t="str">
        <f>IF(PRODUCTOS[[#This Row],[CODIGO]]="", "", PRODUCTOS[[#This Row],[CODIGO]])</f>
        <v>FER-BISINX-076</v>
      </c>
      <c r="C172" s="6" t="str">
        <f>IF(GENERAL[[#This Row],[CODIGO]]="", "", VLOOKUP(GENERAL[[#This Row],[CODIGO]], PRODUCTOS[#All], 2, FALSE))</f>
        <v>Bisagra acero inoxidable 4"x3"x2.5" (pares)</v>
      </c>
      <c r="D17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172" s="28" t="str">
        <f>IFERROR(IF(GENERAL[[#This Row],[CANTIDAD]]=0, "AGOTADO", IF(GENERAL[[#This Row],[CANTIDAD]]&lt;VLOOKUP(GENERAL[[#This Row],[CODIGO]], PRODUCTOS[#All], 3, FALSE), "MENOR AL MINIMO", "")), "")</f>
        <v/>
      </c>
      <c r="F172" s="39">
        <f>IF(OR(GENERAL[[#This Row],[CODIGO]]="", GENERAL[[#This Row],[CANTIDAD]]=""), "", VLOOKUP(GENERAL[[#This Row],[CODIGO]], PRODUCTOS[#All], 4, FALSE) * GENERAL[[#This Row],[CANTIDAD]])</f>
        <v>0</v>
      </c>
      <c r="T172" s="8"/>
    </row>
    <row r="173" spans="2:20" x14ac:dyDescent="0.2">
      <c r="B173" s="11" t="str">
        <f>IF(PRODUCTOS[[#This Row],[CODIGO]]="", "", PRODUCTOS[[#This Row],[CODIGO]])</f>
        <v>FER-BRO-1.5MM</v>
      </c>
      <c r="C173" s="6" t="str">
        <f>IF(GENERAL[[#This Row],[CODIGO]]="", "", VLOOKUP(GENERAL[[#This Row],[CODIGO]], PRODUCTOS[#All], 2, FALSE))</f>
        <v>Broca 1.5mm</v>
      </c>
      <c r="D17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16</v>
      </c>
      <c r="E173" s="28" t="str">
        <f>IFERROR(IF(GENERAL[[#This Row],[CANTIDAD]]=0, "AGOTADO", IF(GENERAL[[#This Row],[CANTIDAD]]&lt;VLOOKUP(GENERAL[[#This Row],[CODIGO]], PRODUCTOS[#All], 3, FALSE), "MENOR AL MINIMO", "")), "")</f>
        <v/>
      </c>
      <c r="F173" s="39">
        <f>IF(OR(GENERAL[[#This Row],[CODIGO]]="", GENERAL[[#This Row],[CANTIDAD]]=""), "", VLOOKUP(GENERAL[[#This Row],[CODIGO]], PRODUCTOS[#All], 4, FALSE) * GENERAL[[#This Row],[CANTIDAD]])</f>
        <v>0</v>
      </c>
      <c r="T173" s="8"/>
    </row>
    <row r="174" spans="2:20" x14ac:dyDescent="0.2">
      <c r="B174" s="11" t="str">
        <f>IF(PRODUCTOS[[#This Row],[CODIGO]]="", "", PRODUCTOS[[#This Row],[CODIGO]])</f>
        <v>FER-BRO14-069</v>
      </c>
      <c r="C174" s="6" t="str">
        <f>IF(GENERAL[[#This Row],[CODIGO]]="", "", VLOOKUP(GENERAL[[#This Row],[CODIGO]], PRODUCTOS[#All], 2, FALSE))</f>
        <v>Brocas 1/4" truper</v>
      </c>
      <c r="D17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174" s="28" t="str">
        <f>IFERROR(IF(GENERAL[[#This Row],[CANTIDAD]]=0, "AGOTADO", IF(GENERAL[[#This Row],[CANTIDAD]]&lt;VLOOKUP(GENERAL[[#This Row],[CODIGO]], PRODUCTOS[#All], 3, FALSE), "MENOR AL MINIMO", "")), "")</f>
        <v/>
      </c>
      <c r="F174" s="39">
        <f>IF(OR(GENERAL[[#This Row],[CODIGO]]="", GENERAL[[#This Row],[CANTIDAD]]=""), "", VLOOKUP(GENERAL[[#This Row],[CODIGO]], PRODUCTOS[#All], 4, FALSE) * GENERAL[[#This Row],[CANTIDAD]])</f>
        <v>0</v>
      </c>
      <c r="T174" s="8"/>
    </row>
    <row r="175" spans="2:20" x14ac:dyDescent="0.2">
      <c r="B175" s="11" t="str">
        <f>IF(PRODUCTOS[[#This Row],[CODIGO]]="", "", PRODUCTOS[[#This Row],[CODIGO]])</f>
        <v>FER-BRO-2.5MM</v>
      </c>
      <c r="C175" s="6" t="str">
        <f>IF(GENERAL[[#This Row],[CODIGO]]="", "", VLOOKUP(GENERAL[[#This Row],[CODIGO]], PRODUCTOS[#All], 2, FALSE))</f>
        <v>Broca 2.5mm</v>
      </c>
      <c r="D17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</v>
      </c>
      <c r="E175" s="28" t="str">
        <f>IFERROR(IF(GENERAL[[#This Row],[CANTIDAD]]=0, "AGOTADO", IF(GENERAL[[#This Row],[CANTIDAD]]&lt;VLOOKUP(GENERAL[[#This Row],[CODIGO]], PRODUCTOS[#All], 3, FALSE), "MENOR AL MINIMO", "")), "")</f>
        <v/>
      </c>
      <c r="F175" s="39">
        <f>IF(OR(GENERAL[[#This Row],[CODIGO]]="", GENERAL[[#This Row],[CANTIDAD]]=""), "", VLOOKUP(GENERAL[[#This Row],[CODIGO]], PRODUCTOS[#All], 4, FALSE) * GENERAL[[#This Row],[CANTIDAD]])</f>
        <v>0</v>
      </c>
      <c r="T175" s="8"/>
    </row>
    <row r="176" spans="2:20" x14ac:dyDescent="0.2">
      <c r="B176" s="11" t="str">
        <f>IF(PRODUCTOS[[#This Row],[CODIGO]]="", "", PRODUCTOS[[#This Row],[CODIGO]])</f>
        <v>FER-BRO-2MM</v>
      </c>
      <c r="C176" s="6" t="str">
        <f>IF(GENERAL[[#This Row],[CODIGO]]="", "", VLOOKUP(GENERAL[[#This Row],[CODIGO]], PRODUCTOS[#All], 2, FALSE))</f>
        <v>Broca 2mm</v>
      </c>
      <c r="D17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17</v>
      </c>
      <c r="E176" s="28" t="str">
        <f>IFERROR(IF(GENERAL[[#This Row],[CANTIDAD]]=0, "AGOTADO", IF(GENERAL[[#This Row],[CANTIDAD]]&lt;VLOOKUP(GENERAL[[#This Row],[CODIGO]], PRODUCTOS[#All], 3, FALSE), "MENOR AL MINIMO", "")), "")</f>
        <v/>
      </c>
      <c r="F176" s="39">
        <f>IF(OR(GENERAL[[#This Row],[CODIGO]]="", GENERAL[[#This Row],[CANTIDAD]]=""), "", VLOOKUP(GENERAL[[#This Row],[CODIGO]], PRODUCTOS[#All], 4, FALSE) * GENERAL[[#This Row],[CANTIDAD]])</f>
        <v>0</v>
      </c>
      <c r="T176" s="8"/>
    </row>
    <row r="177" spans="2:20" x14ac:dyDescent="0.2">
      <c r="B177" s="11" t="str">
        <f>IF(PRODUCTOS[[#This Row],[CODIGO]]="", "", PRODUCTOS[[#This Row],[CODIGO]])</f>
        <v>FER-BRO-3.2MM</v>
      </c>
      <c r="C177" s="6" t="str">
        <f>IF(GENERAL[[#This Row],[CODIGO]]="", "", VLOOKUP(GENERAL[[#This Row],[CODIGO]], PRODUCTOS[#All], 2, FALSE))</f>
        <v>Broca 3.2mm</v>
      </c>
      <c r="D17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9</v>
      </c>
      <c r="E177" s="28" t="str">
        <f>IFERROR(IF(GENERAL[[#This Row],[CANTIDAD]]=0, "AGOTADO", IF(GENERAL[[#This Row],[CANTIDAD]]&lt;VLOOKUP(GENERAL[[#This Row],[CODIGO]], PRODUCTOS[#All], 3, FALSE), "MENOR AL MINIMO", "")), "")</f>
        <v/>
      </c>
      <c r="F177" s="39">
        <f>IF(OR(GENERAL[[#This Row],[CODIGO]]="", GENERAL[[#This Row],[CANTIDAD]]=""), "", VLOOKUP(GENERAL[[#This Row],[CODIGO]], PRODUCTOS[#All], 4, FALSE) * GENERAL[[#This Row],[CANTIDAD]])</f>
        <v>0</v>
      </c>
      <c r="T177" s="8"/>
    </row>
    <row r="178" spans="2:20" x14ac:dyDescent="0.2">
      <c r="B178" s="11" t="str">
        <f>IF(PRODUCTOS[[#This Row],[CODIGO]]="", "", PRODUCTOS[[#This Row],[CODIGO]])</f>
        <v>FER-BRO-3.5MM</v>
      </c>
      <c r="C178" s="6" t="str">
        <f>IF(GENERAL[[#This Row],[CODIGO]]="", "", VLOOKUP(GENERAL[[#This Row],[CODIGO]], PRODUCTOS[#All], 2, FALSE))</f>
        <v>Broca 3.5mm</v>
      </c>
      <c r="D17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178" s="28" t="str">
        <f>IFERROR(IF(GENERAL[[#This Row],[CANTIDAD]]=0, "AGOTADO", IF(GENERAL[[#This Row],[CANTIDAD]]&lt;VLOOKUP(GENERAL[[#This Row],[CODIGO]], PRODUCTOS[#All], 3, FALSE), "MENOR AL MINIMO", "")), "")</f>
        <v/>
      </c>
      <c r="F178" s="39">
        <f>IF(OR(GENERAL[[#This Row],[CODIGO]]="", GENERAL[[#This Row],[CANTIDAD]]=""), "", VLOOKUP(GENERAL[[#This Row],[CODIGO]], PRODUCTOS[#All], 4, FALSE) * GENERAL[[#This Row],[CANTIDAD]])</f>
        <v>0</v>
      </c>
      <c r="T178" s="8"/>
    </row>
    <row r="179" spans="2:20" x14ac:dyDescent="0.2">
      <c r="B179" s="11" t="str">
        <f>IF(PRODUCTOS[[#This Row],[CODIGO]]="", "", PRODUCTOS[[#This Row],[CODIGO]])</f>
        <v>FER-BRO316-068</v>
      </c>
      <c r="C179" s="6" t="str">
        <f>IF(GENERAL[[#This Row],[CODIGO]]="", "", VLOOKUP(GENERAL[[#This Row],[CODIGO]], PRODUCTOS[#All], 2, FALSE))</f>
        <v>Brocas 3/16" truper</v>
      </c>
      <c r="D17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179" s="28" t="str">
        <f>IFERROR(IF(GENERAL[[#This Row],[CANTIDAD]]=0, "AGOTADO", IF(GENERAL[[#This Row],[CANTIDAD]]&lt;VLOOKUP(GENERAL[[#This Row],[CODIGO]], PRODUCTOS[#All], 3, FALSE), "MENOR AL MINIMO", "")), "")</f>
        <v/>
      </c>
      <c r="F179" s="39">
        <f>IF(OR(GENERAL[[#This Row],[CODIGO]]="", GENERAL[[#This Row],[CANTIDAD]]=""), "", VLOOKUP(GENERAL[[#This Row],[CODIGO]], PRODUCTOS[#All], 4, FALSE) * GENERAL[[#This Row],[CANTIDAD]])</f>
        <v>0</v>
      </c>
      <c r="T179" s="8"/>
    </row>
    <row r="180" spans="2:20" x14ac:dyDescent="0.2">
      <c r="B180" s="11" t="str">
        <f>IF(PRODUCTOS[[#This Row],[CODIGO]]="", "", PRODUCTOS[[#This Row],[CODIGO]])</f>
        <v>FER-BRO-3MM</v>
      </c>
      <c r="C180" s="6" t="str">
        <f>IF(GENERAL[[#This Row],[CODIGO]]="", "", VLOOKUP(GENERAL[[#This Row],[CODIGO]], PRODUCTOS[#All], 2, FALSE))</f>
        <v>Broca 3mm</v>
      </c>
      <c r="D18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14</v>
      </c>
      <c r="E180" s="28" t="str">
        <f>IFERROR(IF(GENERAL[[#This Row],[CANTIDAD]]=0, "AGOTADO", IF(GENERAL[[#This Row],[CANTIDAD]]&lt;VLOOKUP(GENERAL[[#This Row],[CODIGO]], PRODUCTOS[#All], 3, FALSE), "MENOR AL MINIMO", "")), "")</f>
        <v/>
      </c>
      <c r="F180" s="39">
        <f>IF(OR(GENERAL[[#This Row],[CODIGO]]="", GENERAL[[#This Row],[CANTIDAD]]=""), "", VLOOKUP(GENERAL[[#This Row],[CODIGO]], PRODUCTOS[#All], 4, FALSE) * GENERAL[[#This Row],[CANTIDAD]])</f>
        <v>0</v>
      </c>
      <c r="T180" s="8"/>
    </row>
    <row r="181" spans="2:20" x14ac:dyDescent="0.2">
      <c r="B181" s="11" t="str">
        <f>IF(PRODUCTOS[[#This Row],[CODIGO]]="", "", PRODUCTOS[[#This Row],[CODIGO]])</f>
        <v>FER-BRO-4.5MM</v>
      </c>
      <c r="C181" s="6" t="str">
        <f>IF(GENERAL[[#This Row],[CODIGO]]="", "", VLOOKUP(GENERAL[[#This Row],[CODIGO]], PRODUCTOS[#All], 2, FALSE))</f>
        <v>Broca 4.5mm</v>
      </c>
      <c r="D18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181" s="28" t="str">
        <f>IFERROR(IF(GENERAL[[#This Row],[CANTIDAD]]=0, "AGOTADO", IF(GENERAL[[#This Row],[CANTIDAD]]&lt;VLOOKUP(GENERAL[[#This Row],[CODIGO]], PRODUCTOS[#All], 3, FALSE), "MENOR AL MINIMO", "")), "")</f>
        <v/>
      </c>
      <c r="F181" s="39">
        <f>IF(OR(GENERAL[[#This Row],[CODIGO]]="", GENERAL[[#This Row],[CANTIDAD]]=""), "", VLOOKUP(GENERAL[[#This Row],[CODIGO]], PRODUCTOS[#All], 4, FALSE) * GENERAL[[#This Row],[CANTIDAD]])</f>
        <v>0</v>
      </c>
      <c r="T181" s="8"/>
    </row>
    <row r="182" spans="2:20" x14ac:dyDescent="0.2">
      <c r="B182" s="11" t="str">
        <f>IF(PRODUCTOS[[#This Row],[CODIGO]]="", "", PRODUCTOS[[#This Row],[CODIGO]])</f>
        <v>FER-BRO-4MM</v>
      </c>
      <c r="C182" s="6" t="str">
        <f>IF(GENERAL[[#This Row],[CODIGO]]="", "", VLOOKUP(GENERAL[[#This Row],[CODIGO]], PRODUCTOS[#All], 2, FALSE))</f>
        <v>Broca 4mm</v>
      </c>
      <c r="D18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182" s="28" t="str">
        <f>IFERROR(IF(GENERAL[[#This Row],[CANTIDAD]]=0, "AGOTADO", IF(GENERAL[[#This Row],[CANTIDAD]]&lt;VLOOKUP(GENERAL[[#This Row],[CODIGO]], PRODUCTOS[#All], 3, FALSE), "MENOR AL MINIMO", "")), "")</f>
        <v/>
      </c>
      <c r="F182" s="39">
        <f>IF(OR(GENERAL[[#This Row],[CODIGO]]="", GENERAL[[#This Row],[CANTIDAD]]=""), "", VLOOKUP(GENERAL[[#This Row],[CODIGO]], PRODUCTOS[#All], 4, FALSE) * GENERAL[[#This Row],[CANTIDAD]])</f>
        <v>0</v>
      </c>
      <c r="T182" s="8"/>
    </row>
    <row r="183" spans="2:20" x14ac:dyDescent="0.2">
      <c r="B183" s="11" t="str">
        <f>IF(PRODUCTOS[[#This Row],[CODIGO]]="", "", PRODUCTOS[[#This Row],[CODIGO]])</f>
        <v>FER-BRO-5.5MM</v>
      </c>
      <c r="C183" s="6" t="str">
        <f>IF(GENERAL[[#This Row],[CODIGO]]="", "", VLOOKUP(GENERAL[[#This Row],[CODIGO]], PRODUCTOS[#All], 2, FALSE))</f>
        <v>Broca 5.5mm</v>
      </c>
      <c r="D18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83" s="28" t="str">
        <f>IFERROR(IF(GENERAL[[#This Row],[CANTIDAD]]=0, "AGOTADO", IF(GENERAL[[#This Row],[CANTIDAD]]&lt;VLOOKUP(GENERAL[[#This Row],[CODIGO]], PRODUCTOS[#All], 3, FALSE), "MENOR AL MINIMO", "")), "")</f>
        <v/>
      </c>
      <c r="F183" s="39">
        <f>IF(OR(GENERAL[[#This Row],[CODIGO]]="", GENERAL[[#This Row],[CANTIDAD]]=""), "", VLOOKUP(GENERAL[[#This Row],[CODIGO]], PRODUCTOS[#All], 4, FALSE) * GENERAL[[#This Row],[CANTIDAD]])</f>
        <v>0</v>
      </c>
      <c r="T183" s="8"/>
    </row>
    <row r="184" spans="2:20" x14ac:dyDescent="0.2">
      <c r="B184" s="11" t="str">
        <f>IF(PRODUCTOS[[#This Row],[CODIGO]]="", "", PRODUCTOS[[#This Row],[CODIGO]])</f>
        <v>FER-BRO-5MM</v>
      </c>
      <c r="C184" s="6" t="str">
        <f>IF(GENERAL[[#This Row],[CODIGO]]="", "", VLOOKUP(GENERAL[[#This Row],[CODIGO]], PRODUCTOS[#All], 2, FALSE))</f>
        <v>Broca 5mm</v>
      </c>
      <c r="D18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9</v>
      </c>
      <c r="E184" s="28" t="str">
        <f>IFERROR(IF(GENERAL[[#This Row],[CANTIDAD]]=0, "AGOTADO", IF(GENERAL[[#This Row],[CANTIDAD]]&lt;VLOOKUP(GENERAL[[#This Row],[CODIGO]], PRODUCTOS[#All], 3, FALSE), "MENOR AL MINIMO", "")), "")</f>
        <v/>
      </c>
      <c r="F184" s="39">
        <f>IF(OR(GENERAL[[#This Row],[CODIGO]]="", GENERAL[[#This Row],[CANTIDAD]]=""), "", VLOOKUP(GENERAL[[#This Row],[CODIGO]], PRODUCTOS[#All], 4, FALSE) * GENERAL[[#This Row],[CANTIDAD]])</f>
        <v>0</v>
      </c>
      <c r="T184" s="8"/>
    </row>
    <row r="185" spans="2:20" x14ac:dyDescent="0.2">
      <c r="B185" s="11" t="str">
        <f>IF(PRODUCTOS[[#This Row],[CODIGO]]="", "", PRODUCTOS[[#This Row],[CODIGO]])</f>
        <v>FER-BRO-6.5MM</v>
      </c>
      <c r="C185" s="6" t="str">
        <f>IF(GENERAL[[#This Row],[CODIGO]]="", "", VLOOKUP(GENERAL[[#This Row],[CODIGO]], PRODUCTOS[#All], 2, FALSE))</f>
        <v>Broca 6.5mm</v>
      </c>
      <c r="D18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185" s="28" t="str">
        <f>IFERROR(IF(GENERAL[[#This Row],[CANTIDAD]]=0, "AGOTADO", IF(GENERAL[[#This Row],[CANTIDAD]]&lt;VLOOKUP(GENERAL[[#This Row],[CODIGO]], PRODUCTOS[#All], 3, FALSE), "MENOR AL MINIMO", "")), "")</f>
        <v/>
      </c>
      <c r="F185" s="39">
        <f>IF(OR(GENERAL[[#This Row],[CODIGO]]="", GENERAL[[#This Row],[CANTIDAD]]=""), "", VLOOKUP(GENERAL[[#This Row],[CODIGO]], PRODUCTOS[#All], 4, FALSE) * GENERAL[[#This Row],[CANTIDAD]])</f>
        <v>0</v>
      </c>
      <c r="T185" s="8"/>
    </row>
    <row r="186" spans="2:20" x14ac:dyDescent="0.2">
      <c r="B186" s="11" t="str">
        <f>IF(PRODUCTOS[[#This Row],[CODIGO]]="", "", PRODUCTOS[[#This Row],[CODIGO]])</f>
        <v>FER-BRO-6MM</v>
      </c>
      <c r="C186" s="6" t="str">
        <f>IF(GENERAL[[#This Row],[CODIGO]]="", "", VLOOKUP(GENERAL[[#This Row],[CODIGO]], PRODUCTOS[#All], 2, FALSE))</f>
        <v>Broca 6mm</v>
      </c>
      <c r="D18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186" s="28" t="str">
        <f>IFERROR(IF(GENERAL[[#This Row],[CANTIDAD]]=0, "AGOTADO", IF(GENERAL[[#This Row],[CANTIDAD]]&lt;VLOOKUP(GENERAL[[#This Row],[CODIGO]], PRODUCTOS[#All], 3, FALSE), "MENOR AL MINIMO", "")), "")</f>
        <v/>
      </c>
      <c r="F186" s="39">
        <f>IF(OR(GENERAL[[#This Row],[CODIGO]]="", GENERAL[[#This Row],[CANTIDAD]]=""), "", VLOOKUP(GENERAL[[#This Row],[CODIGO]], PRODUCTOS[#All], 4, FALSE) * GENERAL[[#This Row],[CANTIDAD]])</f>
        <v>0</v>
      </c>
      <c r="T186" s="8"/>
    </row>
    <row r="187" spans="2:20" x14ac:dyDescent="0.2">
      <c r="B187" s="11" t="str">
        <f>IF(PRODUCTOS[[#This Row],[CODIGO]]="", "", PRODUCTOS[[#This Row],[CODIGO]])</f>
        <v>FER-BRO-8MM</v>
      </c>
      <c r="C187" s="6" t="str">
        <f>IF(GENERAL[[#This Row],[CODIGO]]="", "", VLOOKUP(GENERAL[[#This Row],[CODIGO]], PRODUCTOS[#All], 2, FALSE))</f>
        <v>Broca 8mm</v>
      </c>
      <c r="D18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187" s="28" t="str">
        <f>IFERROR(IF(GENERAL[[#This Row],[CANTIDAD]]=0, "AGOTADO", IF(GENERAL[[#This Row],[CANTIDAD]]&lt;VLOOKUP(GENERAL[[#This Row],[CODIGO]], PRODUCTOS[#All], 3, FALSE), "MENOR AL MINIMO", "")), "")</f>
        <v/>
      </c>
      <c r="F187" s="39">
        <f>IF(OR(GENERAL[[#This Row],[CODIGO]]="", GENERAL[[#This Row],[CANTIDAD]]=""), "", VLOOKUP(GENERAL[[#This Row],[CODIGO]], PRODUCTOS[#All], 4, FALSE) * GENERAL[[#This Row],[CANTIDAD]])</f>
        <v>0</v>
      </c>
      <c r="T187" s="8"/>
    </row>
    <row r="188" spans="2:20" x14ac:dyDescent="0.2">
      <c r="B188" s="11" t="str">
        <f>IF(PRODUCTOS[[#This Row],[CODIGO]]="", "", PRODUCTOS[[#This Row],[CODIGO]])</f>
        <v>FER-BUJGO-047</v>
      </c>
      <c r="C188" s="6" t="str">
        <f>IF(GENERAL[[#This Row],[CODIGO]]="", "", VLOOKUP(GENERAL[[#This Row],[CODIGO]], PRODUCTOS[#All], 2, FALSE))</f>
        <v>Buje de goma</v>
      </c>
      <c r="D18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188" s="28" t="str">
        <f>IFERROR(IF(GENERAL[[#This Row],[CANTIDAD]]=0, "AGOTADO", IF(GENERAL[[#This Row],[CANTIDAD]]&lt;VLOOKUP(GENERAL[[#This Row],[CODIGO]], PRODUCTOS[#All], 3, FALSE), "MENOR AL MINIMO", "")), "")</f>
        <v/>
      </c>
      <c r="F188" s="39">
        <f>IF(OR(GENERAL[[#This Row],[CODIGO]]="", GENERAL[[#This Row],[CANTIDAD]]=""), "", VLOOKUP(GENERAL[[#This Row],[CODIGO]], PRODUCTOS[#All], 4, FALSE) * GENERAL[[#This Row],[CANTIDAD]])</f>
        <v>0</v>
      </c>
      <c r="T188" s="8"/>
    </row>
    <row r="189" spans="2:20" x14ac:dyDescent="0.2">
      <c r="B189" s="11" t="str">
        <f>IF(PRODUCTOS[[#This Row],[CODIGO]]="", "", PRODUCTOS[[#This Row],[CODIGO]])</f>
        <v>FER-C130C-005</v>
      </c>
      <c r="C189" s="6" t="str">
        <f>IF(GENERAL[[#This Row],[CODIGO]]="", "", VLOOKUP(GENERAL[[#This Row],[CODIGO]], PRODUCTOS[#All], 2, FALSE))</f>
        <v>Cinta  130C</v>
      </c>
      <c r="D18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44</v>
      </c>
      <c r="E189" s="28" t="str">
        <f>IFERROR(IF(GENERAL[[#This Row],[CANTIDAD]]=0, "AGOTADO", IF(GENERAL[[#This Row],[CANTIDAD]]&lt;VLOOKUP(GENERAL[[#This Row],[CODIGO]], PRODUCTOS[#All], 3, FALSE), "MENOR AL MINIMO", "")), "")</f>
        <v/>
      </c>
      <c r="F189" s="39">
        <f>IF(OR(GENERAL[[#This Row],[CODIGO]]="", GENERAL[[#This Row],[CANTIDAD]]=""), "", VLOOKUP(GENERAL[[#This Row],[CODIGO]], PRODUCTOS[#All], 4, FALSE) * GENERAL[[#This Row],[CANTIDAD]])</f>
        <v>28600</v>
      </c>
      <c r="T189" s="8"/>
    </row>
    <row r="190" spans="2:20" x14ac:dyDescent="0.2">
      <c r="B190" s="11" t="str">
        <f>IF(PRODUCTOS[[#This Row],[CODIGO]]="", "", PRODUCTOS[[#This Row],[CODIGO]])</f>
        <v>FER-C155-002</v>
      </c>
      <c r="C190" s="6" t="str">
        <f>IF(GENERAL[[#This Row],[CODIGO]]="", "", VLOOKUP(GENERAL[[#This Row],[CODIGO]], PRODUCTOS[#All], 2, FALSE))</f>
        <v>Cinta 3M 155 (Aforo)</v>
      </c>
      <c r="D19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145</v>
      </c>
      <c r="E190" s="28" t="str">
        <f>IFERROR(IF(GENERAL[[#This Row],[CANTIDAD]]=0, "AGOTADO", IF(GENERAL[[#This Row],[CANTIDAD]]&lt;VLOOKUP(GENERAL[[#This Row],[CODIGO]], PRODUCTOS[#All], 3, FALSE), "MENOR AL MINIMO", "")), "")</f>
        <v/>
      </c>
      <c r="F190" s="39">
        <f>IF(OR(GENERAL[[#This Row],[CODIGO]]="", GENERAL[[#This Row],[CANTIDAD]]=""), "", VLOOKUP(GENERAL[[#This Row],[CODIGO]], PRODUCTOS[#All], 4, FALSE) * GENERAL[[#This Row],[CANTIDAD]])</f>
        <v>2141.65</v>
      </c>
      <c r="T190" s="8"/>
    </row>
    <row r="191" spans="2:20" x14ac:dyDescent="0.2">
      <c r="B191" s="11" t="str">
        <f>IF(PRODUCTOS[[#This Row],[CODIGO]]="", "", PRODUCTOS[[#This Row],[CODIGO]])</f>
        <v>FER-C165-001</v>
      </c>
      <c r="C191" s="6" t="str">
        <f>IF(GENERAL[[#This Row],[CODIGO]]="", "", VLOOKUP(GENERAL[[#This Row],[CODIGO]], PRODUCTOS[#All], 2, FALSE))</f>
        <v>Cinta 3M 165 (Equipamiento)</v>
      </c>
      <c r="D19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102</v>
      </c>
      <c r="E191" s="28" t="str">
        <f>IFERROR(IF(GENERAL[[#This Row],[CANTIDAD]]=0, "AGOTADO", IF(GENERAL[[#This Row],[CANTIDAD]]&lt;VLOOKUP(GENERAL[[#This Row],[CODIGO]], PRODUCTOS[#All], 3, FALSE), "MENOR AL MINIMO", "")), "")</f>
        <v/>
      </c>
      <c r="F191" s="39">
        <f>IF(OR(GENERAL[[#This Row],[CODIGO]]="", GENERAL[[#This Row],[CANTIDAD]]=""), "", VLOOKUP(GENERAL[[#This Row],[CODIGO]], PRODUCTOS[#All], 4, FALSE) * GENERAL[[#This Row],[CANTIDAD]])</f>
        <v>2334.4536000000003</v>
      </c>
      <c r="T191" s="8"/>
    </row>
    <row r="192" spans="2:20" x14ac:dyDescent="0.2">
      <c r="B192" s="11" t="str">
        <f>IF(PRODUCTOS[[#This Row],[CODIGO]]="", "", PRODUCTOS[[#This Row],[CODIGO]])</f>
        <v>FER-CADEM-4LB</v>
      </c>
      <c r="C192" s="6" t="str">
        <f>IF(GENERAL[[#This Row],[CODIGO]]="", "", VLOOKUP(GENERAL[[#This Row],[CODIGO]], PRODUCTOS[#All], 2, FALSE))</f>
        <v>Cara demoledora 4lb</v>
      </c>
      <c r="D19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92" s="28" t="str">
        <f>IFERROR(IF(GENERAL[[#This Row],[CANTIDAD]]=0, "AGOTADO", IF(GENERAL[[#This Row],[CANTIDAD]]&lt;VLOOKUP(GENERAL[[#This Row],[CODIGO]], PRODUCTOS[#All], 3, FALSE), "MENOR AL MINIMO", "")), "")</f>
        <v/>
      </c>
      <c r="F192" s="39">
        <f>IF(OR(GENERAL[[#This Row],[CODIGO]]="", GENERAL[[#This Row],[CANTIDAD]]=""), "", VLOOKUP(GENERAL[[#This Row],[CODIGO]], PRODUCTOS[#All], 4, FALSE) * GENERAL[[#This Row],[CANTIDAD]])</f>
        <v>911</v>
      </c>
      <c r="T192" s="8"/>
    </row>
    <row r="193" spans="2:20" x14ac:dyDescent="0.2">
      <c r="B193" s="11" t="str">
        <f>IF(PRODUCTOS[[#This Row],[CODIGO]]="", "", PRODUCTOS[[#This Row],[CODIGO]])</f>
        <v>FER-CAIMREP-4PZ</v>
      </c>
      <c r="C193" s="6" t="str">
        <f>IF(GENERAL[[#This Row],[CODIGO]]="", "", VLOOKUP(GENERAL[[#This Row],[CODIGO]], PRODUCTOS[#All], 2, FALSE))</f>
        <v>Caimanes de repuesto (paq 4)</v>
      </c>
      <c r="D19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193" s="28" t="str">
        <f>IFERROR(IF(GENERAL[[#This Row],[CANTIDAD]]=0, "AGOTADO", IF(GENERAL[[#This Row],[CANTIDAD]]&lt;VLOOKUP(GENERAL[[#This Row],[CODIGO]], PRODUCTOS[#All], 3, FALSE), "MENOR AL MINIMO", "")), "")</f>
        <v/>
      </c>
      <c r="F193" s="39">
        <f>IF(OR(GENERAL[[#This Row],[CODIGO]]="", GENERAL[[#This Row],[CANTIDAD]]=""), "", VLOOKUP(GENERAL[[#This Row],[CODIGO]], PRODUCTOS[#All], 4, FALSE) * GENERAL[[#This Row],[CANTIDAD]])</f>
        <v>0</v>
      </c>
      <c r="T193" s="8"/>
    </row>
    <row r="194" spans="2:20" x14ac:dyDescent="0.2">
      <c r="B194" s="11" t="str">
        <f>IF(PRODUCTOS[[#This Row],[CODIGO]]="", "", PRODUCTOS[[#This Row],[CODIGO]])</f>
        <v>FER-CAISA-010</v>
      </c>
      <c r="C194" s="6" t="str">
        <f>IF(GENERAL[[#This Row],[CODIGO]]="", "", VLOOKUP(GENERAL[[#This Row],[CODIGO]], PRODUCTOS[#All], 2, FALSE))</f>
        <v>Cinta aislante amarilla</v>
      </c>
      <c r="D19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194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94" s="39">
        <f>IF(OR(GENERAL[[#This Row],[CODIGO]]="", GENERAL[[#This Row],[CANTIDAD]]=""), "", VLOOKUP(GENERAL[[#This Row],[CODIGO]], PRODUCTOS[#All], 4, FALSE) * GENERAL[[#This Row],[CANTIDAD]])</f>
        <v>140</v>
      </c>
      <c r="T194" s="8"/>
    </row>
    <row r="195" spans="2:20" x14ac:dyDescent="0.2">
      <c r="B195" s="11" t="str">
        <f>IF(PRODUCTOS[[#This Row],[CODIGO]]="", "", PRODUCTOS[[#This Row],[CODIGO]])</f>
        <v>FER-CAISG-011</v>
      </c>
      <c r="C195" s="6" t="str">
        <f>IF(GENERAL[[#This Row],[CODIGO]]="", "", VLOOKUP(GENERAL[[#This Row],[CODIGO]], PRODUCTOS[#All], 2, FALSE))</f>
        <v>Cinta aislante gris</v>
      </c>
      <c r="D19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195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95" s="39">
        <f>IF(OR(GENERAL[[#This Row],[CODIGO]]="", GENERAL[[#This Row],[CANTIDAD]]=""), "", VLOOKUP(GENERAL[[#This Row],[CODIGO]], PRODUCTOS[#All], 4, FALSE) * GENERAL[[#This Row],[CANTIDAD]])</f>
        <v>812</v>
      </c>
      <c r="T195" s="8"/>
    </row>
    <row r="196" spans="2:20" x14ac:dyDescent="0.2">
      <c r="B196" s="11" t="str">
        <f>IF(PRODUCTOS[[#This Row],[CODIGO]]="", "", PRODUCTOS[[#This Row],[CODIGO]])</f>
        <v>FER-CAISR-006</v>
      </c>
      <c r="C196" s="6" t="str">
        <f>IF(GENERAL[[#This Row],[CODIGO]]="", "", VLOOKUP(GENERAL[[#This Row],[CODIGO]], PRODUCTOS[#All], 2, FALSE))</f>
        <v>Cinta aislante roja</v>
      </c>
      <c r="D19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96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96" s="39">
        <f>IF(OR(GENERAL[[#This Row],[CODIGO]]="", GENERAL[[#This Row],[CANTIDAD]]=""), "", VLOOKUP(GENERAL[[#This Row],[CODIGO]], PRODUCTOS[#All], 4, FALSE) * GENERAL[[#This Row],[CANTIDAD]])</f>
        <v>49</v>
      </c>
      <c r="T196" s="8"/>
    </row>
    <row r="197" spans="2:20" x14ac:dyDescent="0.2">
      <c r="B197" s="11" t="str">
        <f>IF(PRODUCTOS[[#This Row],[CODIGO]]="", "", PRODUCTOS[[#This Row],[CODIGO]])</f>
        <v>FER-CAISV-009</v>
      </c>
      <c r="C197" s="6" t="str">
        <f>IF(GENERAL[[#This Row],[CODIGO]]="", "", VLOOKUP(GENERAL[[#This Row],[CODIGO]], PRODUCTOS[#All], 2, FALSE))</f>
        <v>Cinta aislante verde</v>
      </c>
      <c r="D19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197" s="28" t="str">
        <f>IFERROR(IF(GENERAL[[#This Row],[CANTIDAD]]=0, "AGOTADO", IF(GENERAL[[#This Row],[CANTIDAD]]&lt;VLOOKUP(GENERAL[[#This Row],[CODIGO]], PRODUCTOS[#All], 3, FALSE), "MENOR AL MINIMO", "")), "")</f>
        <v>MENOR AL MINIMO</v>
      </c>
      <c r="F197" s="39">
        <f>IF(OR(GENERAL[[#This Row],[CODIGO]]="", GENERAL[[#This Row],[CANTIDAD]]=""), "", VLOOKUP(GENERAL[[#This Row],[CODIGO]], PRODUCTOS[#All], 4, FALSE) * GENERAL[[#This Row],[CANTIDAD]])</f>
        <v>245</v>
      </c>
      <c r="T197" s="8"/>
    </row>
    <row r="198" spans="2:20" x14ac:dyDescent="0.2">
      <c r="B198" s="11" t="str">
        <f>IF(PRODUCTOS[[#This Row],[CODIGO]]="", "", PRODUCTOS[[#This Row],[CODIGO]])</f>
        <v>FER-CAND-70MM</v>
      </c>
      <c r="C198" s="6" t="str">
        <f>IF(GENERAL[[#This Row],[CODIGO]]="", "", VLOOKUP(GENERAL[[#This Row],[CODIGO]], PRODUCTOS[#All], 2, FALSE))</f>
        <v>Candado 70mm</v>
      </c>
      <c r="D19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198" s="28" t="str">
        <f>IFERROR(IF(GENERAL[[#This Row],[CANTIDAD]]=0, "AGOTADO", IF(GENERAL[[#This Row],[CANTIDAD]]&lt;VLOOKUP(GENERAL[[#This Row],[CODIGO]], PRODUCTOS[#All], 3, FALSE), "MENOR AL MINIMO", "")), "")</f>
        <v/>
      </c>
      <c r="F198" s="39">
        <f>IF(OR(GENERAL[[#This Row],[CODIGO]]="", GENERAL[[#This Row],[CANTIDAD]]=""), "", VLOOKUP(GENERAL[[#This Row],[CODIGO]], PRODUCTOS[#All], 4, FALSE) * GENERAL[[#This Row],[CANTIDAD]])</f>
        <v>238</v>
      </c>
      <c r="T198" s="8"/>
    </row>
    <row r="199" spans="2:20" x14ac:dyDescent="0.2">
      <c r="B199" s="11" t="str">
        <f>IF(PRODUCTOS[[#This Row],[CODIGO]]="", "", PRODUCTOS[[#This Row],[CODIGO]])</f>
        <v>FER-CAND-80MM</v>
      </c>
      <c r="C199" s="6" t="str">
        <f>IF(GENERAL[[#This Row],[CODIGO]]="", "", VLOOKUP(GENERAL[[#This Row],[CODIGO]], PRODUCTOS[#All], 2, FALSE))</f>
        <v>Candado 80mm</v>
      </c>
      <c r="D19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199" s="28" t="str">
        <f>IFERROR(IF(GENERAL[[#This Row],[CANTIDAD]]=0, "AGOTADO", IF(GENERAL[[#This Row],[CANTIDAD]]&lt;VLOOKUP(GENERAL[[#This Row],[CODIGO]], PRODUCTOS[#All], 3, FALSE), "MENOR AL MINIMO", "")), "")</f>
        <v/>
      </c>
      <c r="F199" s="39">
        <f>IF(OR(GENERAL[[#This Row],[CODIGO]]="", GENERAL[[#This Row],[CANTIDAD]]=""), "", VLOOKUP(GENERAL[[#This Row],[CODIGO]], PRODUCTOS[#All], 4, FALSE) * GENERAL[[#This Row],[CANTIDAD]])</f>
        <v>736</v>
      </c>
      <c r="T199" s="8"/>
    </row>
    <row r="200" spans="2:20" x14ac:dyDescent="0.2">
      <c r="B200" s="11" t="str">
        <f>IF(PRODUCTOS[[#This Row],[CODIGO]]="", "", PRODUCTOS[[#This Row],[CODIGO]])</f>
        <v>FER-CANDHI-40MM</v>
      </c>
      <c r="C200" s="6" t="str">
        <f>IF(GENERAL[[#This Row],[CODIGO]]="", "", VLOOKUP(GENERAL[[#This Row],[CODIGO]], PRODUCTOS[#All], 2, FALSE))</f>
        <v>Candado de hierro 40mm</v>
      </c>
      <c r="D20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00" s="28" t="str">
        <f>IFERROR(IF(GENERAL[[#This Row],[CANTIDAD]]=0, "AGOTADO", IF(GENERAL[[#This Row],[CANTIDAD]]&lt;VLOOKUP(GENERAL[[#This Row],[CODIGO]], PRODUCTOS[#All], 3, FALSE), "MENOR AL MINIMO", "")), "")</f>
        <v/>
      </c>
      <c r="F200" s="39">
        <f>IF(OR(GENERAL[[#This Row],[CODIGO]]="", GENERAL[[#This Row],[CANTIDAD]]=""), "", VLOOKUP(GENERAL[[#This Row],[CODIGO]], PRODUCTOS[#All], 4, FALSE) * GENERAL[[#This Row],[CANTIDAD]])</f>
        <v>372</v>
      </c>
      <c r="T200" s="8"/>
    </row>
    <row r="201" spans="2:20" x14ac:dyDescent="0.2">
      <c r="B201" s="11" t="str">
        <f>IF(PRODUCTOS[[#This Row],[CODIGO]]="", "", PRODUCTOS[[#This Row],[CODIGO]])</f>
        <v>FER-CANDHI-60MM</v>
      </c>
      <c r="C201" s="6" t="str">
        <f>IF(GENERAL[[#This Row],[CODIGO]]="", "", VLOOKUP(GENERAL[[#This Row],[CODIGO]], PRODUCTOS[#All], 2, FALSE))</f>
        <v>Candado de hierro 60mm</v>
      </c>
      <c r="D20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01" s="28" t="str">
        <f>IFERROR(IF(GENERAL[[#This Row],[CANTIDAD]]=0, "AGOTADO", IF(GENERAL[[#This Row],[CANTIDAD]]&lt;VLOOKUP(GENERAL[[#This Row],[CODIGO]], PRODUCTOS[#All], 3, FALSE), "MENOR AL MINIMO", "")), "")</f>
        <v/>
      </c>
      <c r="F201" s="39">
        <f>IF(OR(GENERAL[[#This Row],[CODIGO]]="", GENERAL[[#This Row],[CANTIDAD]]=""), "", VLOOKUP(GENERAL[[#This Row],[CODIGO]], PRODUCTOS[#All], 4, FALSE) * GENERAL[[#This Row],[CANTIDAD]])</f>
        <v>290</v>
      </c>
      <c r="T201" s="8"/>
    </row>
    <row r="202" spans="2:20" x14ac:dyDescent="0.2">
      <c r="B202" s="11" t="str">
        <f>IF(PRODUCTOS[[#This Row],[CODIGO]]="", "", PRODUCTOS[[#This Row],[CODIGO]])</f>
        <v>FER-CANLAM-057</v>
      </c>
      <c r="C202" s="6" t="str">
        <f>IF(GENERAL[[#This Row],[CODIGO]]="", "", VLOOKUP(GENERAL[[#This Row],[CODIGO]], PRODUCTOS[#All], 2, FALSE))</f>
        <v xml:space="preserve">Candado laminado </v>
      </c>
      <c r="D20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02" s="28" t="str">
        <f>IFERROR(IF(GENERAL[[#This Row],[CANTIDAD]]=0, "AGOTADO", IF(GENERAL[[#This Row],[CANTIDAD]]&lt;VLOOKUP(GENERAL[[#This Row],[CODIGO]], PRODUCTOS[#All], 3, FALSE), "MENOR AL MINIMO", "")), "")</f>
        <v/>
      </c>
      <c r="F202" s="39">
        <f>IF(OR(GENERAL[[#This Row],[CODIGO]]="", GENERAL[[#This Row],[CANTIDAD]]=""), "", VLOOKUP(GENERAL[[#This Row],[CODIGO]], PRODUCTOS[#All], 4, FALSE) * GENERAL[[#This Row],[CANTIDAD]])</f>
        <v>187.5</v>
      </c>
      <c r="T202" s="8"/>
    </row>
    <row r="203" spans="2:20" x14ac:dyDescent="0.2">
      <c r="B203" s="11" t="str">
        <f>IF(PRODUCTOS[[#This Row],[CODIGO]]="", "", PRODUCTOS[[#This Row],[CODIGO]])</f>
        <v>FER-CARCIR14-020</v>
      </c>
      <c r="C203" s="6" t="str">
        <f>IF(GENERAL[[#This Row],[CODIGO]]="", "", VLOOKUP(GENERAL[[#This Row],[CODIGO]], PRODUCTOS[#All], 2, FALSE))</f>
        <v>Carda circular 1/4"</v>
      </c>
      <c r="D20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03" s="28" t="str">
        <f>IFERROR(IF(GENERAL[[#This Row],[CANTIDAD]]=0, "AGOTADO", IF(GENERAL[[#This Row],[CANTIDAD]]&lt;VLOOKUP(GENERAL[[#This Row],[CODIGO]], PRODUCTOS[#All], 3, FALSE), "MENOR AL MINIMO", "")), "")</f>
        <v/>
      </c>
      <c r="F203" s="39">
        <f>IF(OR(GENERAL[[#This Row],[CODIGO]]="", GENERAL[[#This Row],[CANTIDAD]]=""), "", VLOOKUP(GENERAL[[#This Row],[CODIGO]], PRODUCTOS[#All], 4, FALSE) * GENERAL[[#This Row],[CANTIDAD]])</f>
        <v>165</v>
      </c>
      <c r="T203" s="8"/>
    </row>
    <row r="204" spans="2:20" x14ac:dyDescent="0.2">
      <c r="B204" s="11" t="str">
        <f>IF(PRODUCTOS[[#This Row],[CODIGO]]="", "", PRODUCTOS[[#This Row],[CODIGO]])</f>
        <v>FER-CARCONT58-023</v>
      </c>
      <c r="C204" s="6" t="str">
        <f>IF(GENERAL[[#This Row],[CODIGO]]="", "", VLOOKUP(GENERAL[[#This Row],[CODIGO]], PRODUCTOS[#All], 2, FALSE))</f>
        <v>Carda tipo conico almabre trenzado 5/8"</v>
      </c>
      <c r="D20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204" s="28" t="str">
        <f>IFERROR(IF(GENERAL[[#This Row],[CANTIDAD]]=0, "AGOTADO", IF(GENERAL[[#This Row],[CANTIDAD]]&lt;VLOOKUP(GENERAL[[#This Row],[CODIGO]], PRODUCTOS[#All], 3, FALSE), "MENOR AL MINIMO", "")), "")</f>
        <v>AGOTADO</v>
      </c>
      <c r="F204" s="39">
        <f>IF(OR(GENERAL[[#This Row],[CODIGO]]="", GENERAL[[#This Row],[CANTIDAD]]=""), "", VLOOKUP(GENERAL[[#This Row],[CODIGO]], PRODUCTOS[#All], 4, FALSE) * GENERAL[[#This Row],[CANTIDAD]])</f>
        <v>0</v>
      </c>
      <c r="T204" s="8"/>
    </row>
    <row r="205" spans="2:20" x14ac:dyDescent="0.2">
      <c r="B205" s="11" t="str">
        <f>IF(PRODUCTOS[[#This Row],[CODIGO]]="", "", PRODUCTOS[[#This Row],[CODIGO]])</f>
        <v>FER-CARCOP234-024</v>
      </c>
      <c r="C205" s="6" t="str">
        <f>IF(GENERAL[[#This Row],[CODIGO]]="", "", VLOOKUP(GENERAL[[#This Row],[CODIGO]], PRODUCTOS[#All], 2, FALSE))</f>
        <v xml:space="preserve">Carda de copa 2 3/4" </v>
      </c>
      <c r="D20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05" s="28" t="str">
        <f>IFERROR(IF(GENERAL[[#This Row],[CANTIDAD]]=0, "AGOTADO", IF(GENERAL[[#This Row],[CANTIDAD]]&lt;VLOOKUP(GENERAL[[#This Row],[CODIGO]], PRODUCTOS[#All], 3, FALSE), "MENOR AL MINIMO", "")), "")</f>
        <v/>
      </c>
      <c r="F205" s="39">
        <f>IF(OR(GENERAL[[#This Row],[CODIGO]]="", GENERAL[[#This Row],[CANTIDAD]]=""), "", VLOOKUP(GENERAL[[#This Row],[CODIGO]], PRODUCTOS[#All], 4, FALSE) * GENERAL[[#This Row],[CANTIDAD]])</f>
        <v>129</v>
      </c>
      <c r="T205" s="8"/>
    </row>
    <row r="206" spans="2:20" x14ac:dyDescent="0.2">
      <c r="B206" s="11" t="str">
        <f>IF(PRODUCTOS[[#This Row],[CODIGO]]="", "", PRODUCTOS[[#This Row],[CODIGO]])</f>
        <v>FER-CARTGAS-27GR</v>
      </c>
      <c r="C206" s="6" t="str">
        <f>IF(GENERAL[[#This Row],[CODIGO]]="", "", VLOOKUP(GENERAL[[#This Row],[CODIGO]], PRODUCTOS[#All], 2, FALSE))</f>
        <v>Cartucho de gas 27gr</v>
      </c>
      <c r="D20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06" s="28" t="str">
        <f>IFERROR(IF(GENERAL[[#This Row],[CANTIDAD]]=0, "AGOTADO", IF(GENERAL[[#This Row],[CANTIDAD]]&lt;VLOOKUP(GENERAL[[#This Row],[CODIGO]], PRODUCTOS[#All], 3, FALSE), "MENOR AL MINIMO", "")), "")</f>
        <v/>
      </c>
      <c r="F206" s="39">
        <f>IF(OR(GENERAL[[#This Row],[CODIGO]]="", GENERAL[[#This Row],[CANTIDAD]]=""), "", VLOOKUP(GENERAL[[#This Row],[CODIGO]], PRODUCTOS[#All], 4, FALSE) * GENERAL[[#This Row],[CANTIDAD]])</f>
        <v>300</v>
      </c>
      <c r="T206" s="8"/>
    </row>
    <row r="207" spans="2:20" x14ac:dyDescent="0.2">
      <c r="B207" s="11" t="str">
        <f>IF(PRODUCTOS[[#This Row],[CODIGO]]="", "", PRODUCTOS[[#This Row],[CODIGO]])</f>
        <v>FER-CDADR-059</v>
      </c>
      <c r="C207" s="6" t="str">
        <f>IF(GENERAL[[#This Row],[CODIGO]]="", "", VLOOKUP(GENERAL[[#This Row],[CODIGO]], PRODUCTOS[#All], 2, FALSE))</f>
        <v>Caja de dados (roja)</v>
      </c>
      <c r="D20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07" s="28" t="str">
        <f>IFERROR(IF(GENERAL[[#This Row],[CANTIDAD]]=0, "AGOTADO", IF(GENERAL[[#This Row],[CANTIDAD]]&lt;VLOOKUP(GENERAL[[#This Row],[CODIGO]], PRODUCTOS[#All], 3, FALSE), "MENOR AL MINIMO", "")), "")</f>
        <v/>
      </c>
      <c r="F207" s="39">
        <f>IF(OR(GENERAL[[#This Row],[CODIGO]]="", GENERAL[[#This Row],[CANTIDAD]]=""), "", VLOOKUP(GENERAL[[#This Row],[CODIGO]], PRODUCTOS[#All], 4, FALSE) * GENERAL[[#This Row],[CANTIDAD]])</f>
        <v>0</v>
      </c>
      <c r="T207" s="8"/>
    </row>
    <row r="208" spans="2:20" x14ac:dyDescent="0.2">
      <c r="B208" s="11" t="str">
        <f>IF(PRODUCTOS[[#This Row],[CODIGO]]="", "", PRODUCTOS[[#This Row],[CODIGO]])</f>
        <v>FER-CDUC-007</v>
      </c>
      <c r="C208" s="6" t="str">
        <f>IF(GENERAL[[#This Row],[CODIGO]]="", "", VLOOKUP(GENERAL[[#This Row],[CODIGO]], PRODUCTOS[#All], 2, FALSE))</f>
        <v>Cinta para ducto</v>
      </c>
      <c r="D20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208" s="28" t="str">
        <f>IFERROR(IF(GENERAL[[#This Row],[CANTIDAD]]=0, "AGOTADO", IF(GENERAL[[#This Row],[CANTIDAD]]&lt;VLOOKUP(GENERAL[[#This Row],[CODIGO]], PRODUCTOS[#All], 3, FALSE), "MENOR AL MINIMO", "")), "")</f>
        <v/>
      </c>
      <c r="F208" s="39">
        <f>IF(OR(GENERAL[[#This Row],[CODIGO]]="", GENERAL[[#This Row],[CANTIDAD]]=""), "", VLOOKUP(GENERAL[[#This Row],[CODIGO]], PRODUCTOS[#All], 4, FALSE) * GENERAL[[#This Row],[CANTIDAD]])</f>
        <v>501</v>
      </c>
      <c r="T208" s="8"/>
    </row>
    <row r="209" spans="2:20" x14ac:dyDescent="0.2">
      <c r="B209" s="11" t="str">
        <f>IF(PRODUCTOS[[#This Row],[CODIGO]]="", "", PRODUCTOS[[#This Row],[CODIGO]])</f>
        <v>FER-CEP416-006</v>
      </c>
      <c r="C209" s="6" t="str">
        <f>IF(GENERAL[[#This Row],[CODIGO]]="", "", VLOOKUP(GENERAL[[#This Row],[CODIGO]], PRODUCTOS[#All], 2, FALSE))</f>
        <v>Cepillo de alambre 4 x 16 hileras</v>
      </c>
      <c r="D20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09" s="28" t="str">
        <f>IFERROR(IF(GENERAL[[#This Row],[CANTIDAD]]=0, "AGOTADO", IF(GENERAL[[#This Row],[CANTIDAD]]&lt;VLOOKUP(GENERAL[[#This Row],[CODIGO]], PRODUCTOS[#All], 3, FALSE), "MENOR AL MINIMO", "")), "")</f>
        <v/>
      </c>
      <c r="F209" s="39">
        <f>IF(OR(GENERAL[[#This Row],[CODIGO]]="", GENERAL[[#This Row],[CANTIDAD]]=""), "", VLOOKUP(GENERAL[[#This Row],[CODIGO]], PRODUCTOS[#All], 4, FALSE) * GENERAL[[#This Row],[CANTIDAD]])</f>
        <v>156</v>
      </c>
      <c r="T209" s="8"/>
    </row>
    <row r="210" spans="2:20" x14ac:dyDescent="0.2">
      <c r="B210" s="11" t="str">
        <f>IF(PRODUCTOS[[#This Row],[CODIGO]]="", "", PRODUCTOS[[#This Row],[CODIGO]])</f>
        <v>FER-CEPAC4-013</v>
      </c>
      <c r="C210" s="6" t="str">
        <f>IF(GENERAL[[#This Row],[CODIGO]]="", "", VLOOKUP(GENERAL[[#This Row],[CODIGO]], PRODUCTOS[#All], 2, FALSE))</f>
        <v>Cepillo de acero 4"</v>
      </c>
      <c r="D21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210" s="28" t="str">
        <f>IFERROR(IF(GENERAL[[#This Row],[CANTIDAD]]=0, "AGOTADO", IF(GENERAL[[#This Row],[CANTIDAD]]&lt;VLOOKUP(GENERAL[[#This Row],[CODIGO]], PRODUCTOS[#All], 3, FALSE), "MENOR AL MINIMO", "")), "")</f>
        <v/>
      </c>
      <c r="F210" s="39">
        <f>IF(OR(GENERAL[[#This Row],[CODIGO]]="", GENERAL[[#This Row],[CANTIDAD]]=""), "", VLOOKUP(GENERAL[[#This Row],[CODIGO]], PRODUCTOS[#All], 4, FALSE) * GENERAL[[#This Row],[CANTIDAD]])</f>
        <v>135</v>
      </c>
      <c r="T210" s="8"/>
    </row>
    <row r="211" spans="2:20" x14ac:dyDescent="0.2">
      <c r="B211" s="11" t="str">
        <f>IF(PRODUCTOS[[#This Row],[CODIGO]]="", "", PRODUCTOS[[#This Row],[CODIGO]])</f>
        <v>FER-CEPAC5-014</v>
      </c>
      <c r="C211" s="6" t="str">
        <f>IF(GENERAL[[#This Row],[CODIGO]]="", "", VLOOKUP(GENERAL[[#This Row],[CODIGO]], PRODUCTOS[#All], 2, FALSE))</f>
        <v>Cepillo de acero 5"</v>
      </c>
      <c r="D21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11" s="28" t="str">
        <f>IFERROR(IF(GENERAL[[#This Row],[CANTIDAD]]=0, "AGOTADO", IF(GENERAL[[#This Row],[CANTIDAD]]&lt;VLOOKUP(GENERAL[[#This Row],[CODIGO]], PRODUCTOS[#All], 3, FALSE), "MENOR AL MINIMO", "")), "")</f>
        <v/>
      </c>
      <c r="F211" s="39">
        <f>IF(OR(GENERAL[[#This Row],[CODIGO]]="", GENERAL[[#This Row],[CANTIDAD]]=""), "", VLOOKUP(GENERAL[[#This Row],[CODIGO]], PRODUCTOS[#All], 4, FALSE) * GENERAL[[#This Row],[CANTIDAD]])</f>
        <v>210</v>
      </c>
      <c r="T211" s="8"/>
    </row>
    <row r="212" spans="2:20" x14ac:dyDescent="0.2">
      <c r="B212" s="11" t="str">
        <f>IF(PRODUCTOS[[#This Row],[CODIGO]]="", "", PRODUCTOS[[#This Row],[CODIGO]])</f>
        <v>FER-CFIBV-012</v>
      </c>
      <c r="C212" s="6" t="str">
        <f>IF(GENERAL[[#This Row],[CODIGO]]="", "", VLOOKUP(GENERAL[[#This Row],[CODIGO]], PRODUCTOS[#All], 2, FALSE))</f>
        <v>Cinta larga de fibra de vidrio 50m</v>
      </c>
      <c r="D21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12" s="28" t="str">
        <f>IFERROR(IF(GENERAL[[#This Row],[CANTIDAD]]=0, "AGOTADO", IF(GENERAL[[#This Row],[CANTIDAD]]&lt;VLOOKUP(GENERAL[[#This Row],[CODIGO]], PRODUCTOS[#All], 3, FALSE), "MENOR AL MINIMO", "")), "")</f>
        <v/>
      </c>
      <c r="F212" s="39">
        <f>IF(OR(GENERAL[[#This Row],[CODIGO]]="", GENERAL[[#This Row],[CANTIDAD]]=""), "", VLOOKUP(GENERAL[[#This Row],[CODIGO]], PRODUCTOS[#All], 4, FALSE) * GENERAL[[#This Row],[CANTIDAD]])</f>
        <v>0</v>
      </c>
      <c r="T212" s="8"/>
    </row>
    <row r="213" spans="2:20" x14ac:dyDescent="0.2">
      <c r="B213" s="11" t="str">
        <f>IF(PRODUCTOS[[#This Row],[CODIGO]]="", "", PRODUCTOS[[#This Row],[CODIGO]])</f>
        <v>FER-CFRAG-008</v>
      </c>
      <c r="C213" s="6" t="str">
        <f>IF(GENERAL[[#This Row],[CODIGO]]="", "", VLOOKUP(GENERAL[[#This Row],[CODIGO]], PRODUCTOS[#All], 2, FALSE))</f>
        <v>Cinta de fragil</v>
      </c>
      <c r="D21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13" s="28" t="str">
        <f>IFERROR(IF(GENERAL[[#This Row],[CANTIDAD]]=0, "AGOTADO", IF(GENERAL[[#This Row],[CANTIDAD]]&lt;VLOOKUP(GENERAL[[#This Row],[CODIGO]], PRODUCTOS[#All], 3, FALSE), "MENOR AL MINIMO", "")), "")</f>
        <v/>
      </c>
      <c r="F213" s="39">
        <f>IF(OR(GENERAL[[#This Row],[CODIGO]]="", GENERAL[[#This Row],[CANTIDAD]]=""), "", VLOOKUP(GENERAL[[#This Row],[CODIGO]], PRODUCTOS[#All], 4, FALSE) * GENERAL[[#This Row],[CANTIDAD]])</f>
        <v>72</v>
      </c>
      <c r="T213" s="8"/>
    </row>
    <row r="214" spans="2:20" x14ac:dyDescent="0.2">
      <c r="B214" s="11" t="str">
        <f>IF(PRODUCTOS[[#This Row],[CODIGO]]="", "", PRODUCTOS[[#This Row],[CODIGO]])</f>
        <v>FER-CLRE4-075</v>
      </c>
      <c r="C214" s="6" t="str">
        <f>IF(GENERAL[[#This Row],[CODIGO]]="", "", VLOOKUP(GENERAL[[#This Row],[CODIGO]], PRODUCTOS[#All], 2, FALSE))</f>
        <v>Clip resorte 4"</v>
      </c>
      <c r="D21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20</v>
      </c>
      <c r="E214" s="28" t="str">
        <f>IFERROR(IF(GENERAL[[#This Row],[CANTIDAD]]=0, "AGOTADO", IF(GENERAL[[#This Row],[CANTIDAD]]&lt;VLOOKUP(GENERAL[[#This Row],[CODIGO]], PRODUCTOS[#All], 3, FALSE), "MENOR AL MINIMO", "")), "")</f>
        <v/>
      </c>
      <c r="F214" s="39">
        <f>IF(OR(GENERAL[[#This Row],[CODIGO]]="", GENERAL[[#This Row],[CANTIDAD]]=""), "", VLOOKUP(GENERAL[[#This Row],[CODIGO]], PRODUCTOS[#All], 4, FALSE) * GENERAL[[#This Row],[CANTIDAD]])</f>
        <v>0</v>
      </c>
      <c r="T214" s="8"/>
    </row>
    <row r="215" spans="2:20" x14ac:dyDescent="0.2">
      <c r="B215" s="11" t="str">
        <f>IF(PRODUCTOS[[#This Row],[CODIGO]]="", "", PRODUCTOS[[#This Row],[CODIGO]])</f>
        <v>FER-CMAS-004</v>
      </c>
      <c r="C215" s="6" t="str">
        <f>IF(GENERAL[[#This Row],[CODIGO]]="", "", VLOOKUP(GENERAL[[#This Row],[CODIGO]], PRODUCTOS[#All], 2, FALSE))</f>
        <v>Cinta masilla (3M)</v>
      </c>
      <c r="D21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61</v>
      </c>
      <c r="E215" s="28" t="str">
        <f>IFERROR(IF(GENERAL[[#This Row],[CANTIDAD]]=0, "AGOTADO", IF(GENERAL[[#This Row],[CANTIDAD]]&lt;VLOOKUP(GENERAL[[#This Row],[CODIGO]], PRODUCTOS[#All], 3, FALSE), "MENOR AL MINIMO", "")), "")</f>
        <v/>
      </c>
      <c r="F215" s="39">
        <f>IF(OR(GENERAL[[#This Row],[CODIGO]]="", GENERAL[[#This Row],[CANTIDAD]]=""), "", VLOOKUP(GENERAL[[#This Row],[CODIGO]], PRODUCTOS[#All], 4, FALSE) * GENERAL[[#This Row],[CANTIDAD]])</f>
        <v>37820</v>
      </c>
      <c r="T215" s="8"/>
    </row>
    <row r="216" spans="2:20" x14ac:dyDescent="0.2">
      <c r="B216" s="11" t="str">
        <f>IF(PRODUCTOS[[#This Row],[CODIGO]]="", "", PRODUCTOS[[#This Row],[CODIGO]])</f>
        <v>FER-CNX18-716</v>
      </c>
      <c r="C216" s="6" t="str">
        <f>IF(GENERAL[[#This Row],[CODIGO]]="", "", VLOOKUP(GENERAL[[#This Row],[CODIGO]], PRODUCTOS[#All], 2, FALSE))</f>
        <v>Conexión p/tanque comp 1/8 npt * 7/16 nip</v>
      </c>
      <c r="D21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24</v>
      </c>
      <c r="E216" s="28" t="str">
        <f>IFERROR(IF(GENERAL[[#This Row],[CANTIDAD]]=0, "AGOTADO", IF(GENERAL[[#This Row],[CANTIDAD]]&lt;VLOOKUP(GENERAL[[#This Row],[CODIGO]], PRODUCTOS[#All], 3, FALSE), "MENOR AL MINIMO", "")), "")</f>
        <v/>
      </c>
      <c r="F216" s="39">
        <f>IF(OR(GENERAL[[#This Row],[CODIGO]]="", GENERAL[[#This Row],[CANTIDAD]]=""), "", VLOOKUP(GENERAL[[#This Row],[CODIGO]], PRODUCTOS[#All], 4, FALSE) * GENERAL[[#This Row],[CANTIDAD]])</f>
        <v>0</v>
      </c>
      <c r="T216" s="8"/>
    </row>
    <row r="217" spans="2:20" x14ac:dyDescent="0.2">
      <c r="B217" s="11" t="str">
        <f>IF(PRODUCTOS[[#This Row],[CODIGO]]="", "", PRODUCTOS[[#This Row],[CODIGO]])</f>
        <v>FER-CONAIR-055</v>
      </c>
      <c r="C217" s="6" t="str">
        <f>IF(GENERAL[[#This Row],[CODIGO]]="", "", VLOOKUP(GENERAL[[#This Row],[CODIGO]], PRODUCTOS[#All], 2, FALSE))</f>
        <v xml:space="preserve">Conexión de aire </v>
      </c>
      <c r="D21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17" s="28" t="str">
        <f>IFERROR(IF(GENERAL[[#This Row],[CANTIDAD]]=0, "AGOTADO", IF(GENERAL[[#This Row],[CANTIDAD]]&lt;VLOOKUP(GENERAL[[#This Row],[CODIGO]], PRODUCTOS[#All], 3, FALSE), "MENOR AL MINIMO", "")), "")</f>
        <v/>
      </c>
      <c r="F217" s="39">
        <f>IF(OR(GENERAL[[#This Row],[CODIGO]]="", GENERAL[[#This Row],[CANTIDAD]]=""), "", VLOOKUP(GENERAL[[#This Row],[CODIGO]], PRODUCTOS[#All], 4, FALSE) * GENERAL[[#This Row],[CANTIDAD]])</f>
        <v>0</v>
      </c>
      <c r="T217" s="8"/>
    </row>
    <row r="218" spans="2:20" x14ac:dyDescent="0.2">
      <c r="B218" s="11" t="str">
        <f>IF(PRODUCTOS[[#This Row],[CODIGO]]="", "", PRODUCTOS[[#This Row],[CODIGO]])</f>
        <v>FER-CONCDUP-016</v>
      </c>
      <c r="C218" s="6" t="str">
        <f>IF(GENERAL[[#This Row],[CODIGO]]="", "", VLOOKUP(GENERAL[[#This Row],[CODIGO]], PRODUCTOS[#All], 2, FALSE))</f>
        <v>Contacto C duplex</v>
      </c>
      <c r="D21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18" s="28" t="str">
        <f>IFERROR(IF(GENERAL[[#This Row],[CANTIDAD]]=0, "AGOTADO", IF(GENERAL[[#This Row],[CANTIDAD]]&lt;VLOOKUP(GENERAL[[#This Row],[CODIGO]], PRODUCTOS[#All], 3, FALSE), "MENOR AL MINIMO", "")), "")</f>
        <v/>
      </c>
      <c r="F218" s="39">
        <f>IF(OR(GENERAL[[#This Row],[CODIGO]]="", GENERAL[[#This Row],[CANTIDAD]]=""), "", VLOOKUP(GENERAL[[#This Row],[CODIGO]], PRODUCTOS[#All], 4, FALSE) * GENERAL[[#This Row],[CANTIDAD]])</f>
        <v>49</v>
      </c>
      <c r="T218" s="8"/>
    </row>
    <row r="219" spans="2:20" x14ac:dyDescent="0.2">
      <c r="B219" s="11" t="str">
        <f>IF(PRODUCTOS[[#This Row],[CODIGO]]="", "", PRODUCTOS[[#This Row],[CODIGO]])</f>
        <v>FER-CONLAT12-021</v>
      </c>
      <c r="C219" s="6" t="str">
        <f>IF(GENERAL[[#This Row],[CODIGO]]="", "", VLOOKUP(GENERAL[[#This Row],[CODIGO]], PRODUCTOS[#All], 2, FALSE))</f>
        <v>Conector de latón para manguera 1/2"</v>
      </c>
      <c r="D21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19" s="28" t="str">
        <f>IFERROR(IF(GENERAL[[#This Row],[CANTIDAD]]=0, "AGOTADO", IF(GENERAL[[#This Row],[CANTIDAD]]&lt;VLOOKUP(GENERAL[[#This Row],[CODIGO]], PRODUCTOS[#All], 3, FALSE), "MENOR AL MINIMO", "")), "")</f>
        <v/>
      </c>
      <c r="F219" s="39">
        <f>IF(OR(GENERAL[[#This Row],[CODIGO]]="", GENERAL[[#This Row],[CANTIDAD]]=""), "", VLOOKUP(GENERAL[[#This Row],[CODIGO]], PRODUCTOS[#All], 4, FALSE) * GENERAL[[#This Row],[CANTIDAD]])</f>
        <v>35</v>
      </c>
      <c r="T219" s="8"/>
    </row>
    <row r="220" spans="2:20" x14ac:dyDescent="0.2">
      <c r="B220" s="11" t="str">
        <f>IF(PRODUCTOS[[#This Row],[CODIGO]]="", "", PRODUCTOS[[#This Row],[CODIGO]])</f>
        <v>FER-CORAP-14</v>
      </c>
      <c r="C220" s="6" t="str">
        <f>IF(GENERAL[[#This Row],[CODIGO]]="", "", VLOOKUP(GENERAL[[#This Row],[CODIGO]], PRODUCTOS[#All], 2, FALSE))</f>
        <v>Conector rápido c/rosca 1/4</v>
      </c>
      <c r="D22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20" s="28" t="str">
        <f>IFERROR(IF(GENERAL[[#This Row],[CANTIDAD]]=0, "AGOTADO", IF(GENERAL[[#This Row],[CANTIDAD]]&lt;VLOOKUP(GENERAL[[#This Row],[CODIGO]], PRODUCTOS[#All], 3, FALSE), "MENOR AL MINIMO", "")), "")</f>
        <v/>
      </c>
      <c r="F220" s="39">
        <f>IF(OR(GENERAL[[#This Row],[CODIGO]]="", GENERAL[[#This Row],[CANTIDAD]]=""), "", VLOOKUP(GENERAL[[#This Row],[CODIGO]], PRODUCTOS[#All], 4, FALSE) * GENERAL[[#This Row],[CANTIDAD]])</f>
        <v>0</v>
      </c>
      <c r="T220" s="8"/>
    </row>
    <row r="221" spans="2:20" x14ac:dyDescent="0.2">
      <c r="B221" s="11" t="str">
        <f>IF(PRODUCTOS[[#This Row],[CODIGO]]="", "", PRODUCTOS[[#This Row],[CODIGO]])</f>
        <v>FER-CRISOM-060</v>
      </c>
      <c r="C221" s="6" t="str">
        <f>IF(GENERAL[[#This Row],[CODIGO]]="", "", VLOOKUP(GENERAL[[#This Row],[CODIGO]], PRODUCTOS[#All], 2, FALSE))</f>
        <v>Cristal sombra #2 (para soldar)</v>
      </c>
      <c r="D22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20</v>
      </c>
      <c r="E221" s="28" t="str">
        <f>IFERROR(IF(GENERAL[[#This Row],[CANTIDAD]]=0, "AGOTADO", IF(GENERAL[[#This Row],[CANTIDAD]]&lt;VLOOKUP(GENERAL[[#This Row],[CODIGO]], PRODUCTOS[#All], 3, FALSE), "MENOR AL MINIMO", "")), "")</f>
        <v/>
      </c>
      <c r="F221" s="39">
        <f>IF(OR(GENERAL[[#This Row],[CODIGO]]="", GENERAL[[#This Row],[CANTIDAD]]=""), "", VLOOKUP(GENERAL[[#This Row],[CODIGO]], PRODUCTOS[#All], 4, FALSE) * GENERAL[[#This Row],[CANTIDAD]])</f>
        <v>111.4</v>
      </c>
      <c r="T221" s="8"/>
    </row>
    <row r="222" spans="2:20" x14ac:dyDescent="0.2">
      <c r="B222" s="11" t="str">
        <f>IF(PRODUCTOS[[#This Row],[CODIGO]]="", "", PRODUCTOS[[#This Row],[CODIGO]])</f>
        <v>FER-CRUZ14-054</v>
      </c>
      <c r="C222" s="6" t="str">
        <f>IF(GENERAL[[#This Row],[CODIGO]]="", "", VLOOKUP(GENERAL[[#This Row],[CODIGO]], PRODUCTOS[#All], 2, FALSE))</f>
        <v>Cruz 1/4</v>
      </c>
      <c r="D22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22" s="28" t="str">
        <f>IFERROR(IF(GENERAL[[#This Row],[CANTIDAD]]=0, "AGOTADO", IF(GENERAL[[#This Row],[CANTIDAD]]&lt;VLOOKUP(GENERAL[[#This Row],[CODIGO]], PRODUCTOS[#All], 3, FALSE), "MENOR AL MINIMO", "")), "")</f>
        <v/>
      </c>
      <c r="F222" s="39">
        <f>IF(OR(GENERAL[[#This Row],[CODIGO]]="", GENERAL[[#This Row],[CANTIDAD]]=""), "", VLOOKUP(GENERAL[[#This Row],[CODIGO]], PRODUCTOS[#All], 4, FALSE) * GENERAL[[#This Row],[CANTIDAD]])</f>
        <v>0</v>
      </c>
      <c r="T222" s="8"/>
    </row>
    <row r="223" spans="2:20" x14ac:dyDescent="0.2">
      <c r="B223" s="11" t="str">
        <f>IF(PRODUCTOS[[#This Row],[CODIGO]]="", "", PRODUCTOS[[#This Row],[CODIGO]])</f>
        <v>FER-CS33-003</v>
      </c>
      <c r="C223" s="6" t="str">
        <f>IF(GENERAL[[#This Row],[CODIGO]]="", "", VLOOKUP(GENERAL[[#This Row],[CODIGO]], PRODUCTOS[#All], 2, FALSE))</f>
        <v>Cinta aislante Super 33</v>
      </c>
      <c r="D22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90</v>
      </c>
      <c r="E223" s="28" t="str">
        <f>IFERROR(IF(GENERAL[[#This Row],[CANTIDAD]]=0, "AGOTADO", IF(GENERAL[[#This Row],[CANTIDAD]]&lt;VLOOKUP(GENERAL[[#This Row],[CODIGO]], PRODUCTOS[#All], 3, FALSE), "MENOR AL MINIMO", "")), "")</f>
        <v/>
      </c>
      <c r="F223" s="39">
        <f>IF(OR(GENERAL[[#This Row],[CODIGO]]="", GENERAL[[#This Row],[CANTIDAD]]=""), "", VLOOKUP(GENERAL[[#This Row],[CODIGO]], PRODUCTOS[#All], 4, FALSE) * GENERAL[[#This Row],[CANTIDAD]])</f>
        <v>7986.5999999999995</v>
      </c>
      <c r="T223" s="8"/>
    </row>
    <row r="224" spans="2:20" x14ac:dyDescent="0.2">
      <c r="B224" s="11" t="str">
        <f>IF(PRODUCTOS[[#This Row],[CODIGO]]="", "", PRODUCTOS[[#This Row],[CODIGO]])</f>
        <v>FER-CUCHLI-7</v>
      </c>
      <c r="C224" s="6" t="str">
        <f>IF(GENERAL[[#This Row],[CODIGO]]="", "", VLOOKUP(GENERAL[[#This Row],[CODIGO]], PRODUCTOS[#All], 2, FALSE))</f>
        <v>Cuchillo para linoleo 7"</v>
      </c>
      <c r="D22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24" s="28" t="str">
        <f>IFERROR(IF(GENERAL[[#This Row],[CANTIDAD]]=0, "AGOTADO", IF(GENERAL[[#This Row],[CANTIDAD]]&lt;VLOOKUP(GENERAL[[#This Row],[CODIGO]], PRODUCTOS[#All], 3, FALSE), "MENOR AL MINIMO", "")), "")</f>
        <v/>
      </c>
      <c r="F224" s="39">
        <f>IF(OR(GENERAL[[#This Row],[CODIGO]]="", GENERAL[[#This Row],[CANTIDAD]]=""), "", VLOOKUP(GENERAL[[#This Row],[CODIGO]], PRODUCTOS[#All], 4, FALSE) * GENERAL[[#This Row],[CANTIDAD]])</f>
        <v>256</v>
      </c>
      <c r="T224" s="8"/>
    </row>
    <row r="225" spans="2:20" x14ac:dyDescent="0.2">
      <c r="B225" s="11" t="str">
        <f>IF(PRODUCTOS[[#This Row],[CODIGO]]="", "", PRODUCTOS[[#This Row],[CODIGO]])</f>
        <v>FER-CUCHLI-712</v>
      </c>
      <c r="C225" s="6" t="str">
        <f>IF(GENERAL[[#This Row],[CODIGO]]="", "", VLOOKUP(GENERAL[[#This Row],[CODIGO]], PRODUCTOS[#All], 2, FALSE))</f>
        <v>Cuchillo para linoleo 7 1/2"</v>
      </c>
      <c r="D22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25" s="28" t="str">
        <f>IFERROR(IF(GENERAL[[#This Row],[CANTIDAD]]=0, "AGOTADO", IF(GENERAL[[#This Row],[CANTIDAD]]&lt;VLOOKUP(GENERAL[[#This Row],[CODIGO]], PRODUCTOS[#All], 3, FALSE), "MENOR AL MINIMO", "")), "")</f>
        <v/>
      </c>
      <c r="F225" s="39">
        <f>IF(OR(GENERAL[[#This Row],[CODIGO]]="", GENERAL[[#This Row],[CANTIDAD]]=""), "", VLOOKUP(GENERAL[[#This Row],[CODIGO]], PRODUCTOS[#All], 4, FALSE) * GENERAL[[#This Row],[CANTIDAD]])</f>
        <v>278</v>
      </c>
      <c r="T225" s="8"/>
    </row>
    <row r="226" spans="2:20" x14ac:dyDescent="0.2">
      <c r="B226" s="11" t="str">
        <f>IF(PRODUCTOS[[#This Row],[CODIGO]]="", "", PRODUCTOS[[#This Row],[CODIGO]])</f>
        <v>FER-CUPAT-078</v>
      </c>
      <c r="C226" s="6" t="str">
        <f>IF(GENERAL[[#This Row],[CODIGO]]="", "", VLOOKUP(GENERAL[[#This Row],[CODIGO]], PRODUCTOS[#All], 2, FALSE))</f>
        <v>Cutter de pato</v>
      </c>
      <c r="D22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226" s="28" t="str">
        <f>IFERROR(IF(GENERAL[[#This Row],[CANTIDAD]]=0, "AGOTADO", IF(GENERAL[[#This Row],[CANTIDAD]]&lt;VLOOKUP(GENERAL[[#This Row],[CODIGO]], PRODUCTOS[#All], 3, FALSE), "MENOR AL MINIMO", "")), "")</f>
        <v/>
      </c>
      <c r="F226" s="39">
        <f>IF(OR(GENERAL[[#This Row],[CODIGO]]="", GENERAL[[#This Row],[CANTIDAD]]=""), "", VLOOKUP(GENERAL[[#This Row],[CODIGO]], PRODUCTOS[#All], 4, FALSE) * GENERAL[[#This Row],[CANTIDAD]])</f>
        <v>0</v>
      </c>
      <c r="T226" s="8"/>
    </row>
    <row r="227" spans="2:20" x14ac:dyDescent="0.2">
      <c r="B227" s="11" t="str">
        <f>IF(PRODUCTOS[[#This Row],[CODIGO]]="", "", PRODUCTOS[[#This Row],[CODIGO]])</f>
        <v>FER-DESGOL-6PZ</v>
      </c>
      <c r="C227" s="6" t="str">
        <f>IF(GENERAL[[#This Row],[CODIGO]]="", "", VLOOKUP(GENERAL[[#This Row],[CODIGO]], PRODUCTOS[#All], 2, FALSE))</f>
        <v xml:space="preserve">Juego de  6 desarmadores de golpe (amarillos) </v>
      </c>
      <c r="D22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227" s="28" t="str">
        <f>IFERROR(IF(GENERAL[[#This Row],[CANTIDAD]]=0, "AGOTADO", IF(GENERAL[[#This Row],[CANTIDAD]]&lt;VLOOKUP(GENERAL[[#This Row],[CODIGO]], PRODUCTOS[#All], 3, FALSE), "MENOR AL MINIMO", "")), "")</f>
        <v/>
      </c>
      <c r="F227" s="39">
        <f>IF(OR(GENERAL[[#This Row],[CODIGO]]="", GENERAL[[#This Row],[CANTIDAD]]=""), "", VLOOKUP(GENERAL[[#This Row],[CODIGO]], PRODUCTOS[#All], 4, FALSE) * GENERAL[[#This Row],[CANTIDAD]])</f>
        <v>1060</v>
      </c>
      <c r="T227" s="8"/>
    </row>
    <row r="228" spans="2:20" x14ac:dyDescent="0.2">
      <c r="B228" s="11" t="str">
        <f>IF(PRODUCTOS[[#This Row],[CODIGO]]="", "", PRODUCTOS[[#This Row],[CODIGO]])</f>
        <v>FER-DESGOLV-6PZS</v>
      </c>
      <c r="C228" s="6" t="str">
        <f>IF(GENERAL[[#This Row],[CODIGO]]="", "", VLOOKUP(GENERAL[[#This Row],[CODIGO]], PRODUCTOS[#All], 2, FALSE))</f>
        <v>Desarmador de golpe verde</v>
      </c>
      <c r="D22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228" s="28" t="str">
        <f>IFERROR(IF(GENERAL[[#This Row],[CANTIDAD]]=0, "AGOTADO", IF(GENERAL[[#This Row],[CANTIDAD]]&lt;VLOOKUP(GENERAL[[#This Row],[CODIGO]], PRODUCTOS[#All], 3, FALSE), "MENOR AL MINIMO", "")), "")</f>
        <v/>
      </c>
      <c r="F228" s="39">
        <f>IF(OR(GENERAL[[#This Row],[CODIGO]]="", GENERAL[[#This Row],[CANTIDAD]]=""), "", VLOOKUP(GENERAL[[#This Row],[CODIGO]], PRODUCTOS[#All], 4, FALSE) * GENERAL[[#This Row],[CANTIDAD]])</f>
        <v>0</v>
      </c>
      <c r="T228" s="8"/>
    </row>
    <row r="229" spans="2:20" x14ac:dyDescent="0.2">
      <c r="B229" s="11" t="str">
        <f>IF(PRODUCTOS[[#This Row],[CODIGO]]="", "", PRODUCTOS[[#This Row],[CODIGO]])</f>
        <v>FER-DISAC14-049</v>
      </c>
      <c r="C229" s="6" t="str">
        <f>IF(GENERAL[[#This Row],[CODIGO]]="", "", VLOOKUP(GENERAL[[#This Row],[CODIGO]], PRODUCTOS[#All], 2, FALSE))</f>
        <v>Disc. Para acero makita 14" * 1/8" *1"</v>
      </c>
      <c r="D22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17</v>
      </c>
      <c r="E229" s="28" t="str">
        <f>IFERROR(IF(GENERAL[[#This Row],[CANTIDAD]]=0, "AGOTADO", IF(GENERAL[[#This Row],[CANTIDAD]]&lt;VLOOKUP(GENERAL[[#This Row],[CODIGO]], PRODUCTOS[#All], 3, FALSE), "MENOR AL MINIMO", "")), "")</f>
        <v/>
      </c>
      <c r="F229" s="39">
        <f>IF(OR(GENERAL[[#This Row],[CODIGO]]="", GENERAL[[#This Row],[CANTIDAD]]=""), "", VLOOKUP(GENERAL[[#This Row],[CODIGO]], PRODUCTOS[#All], 4, FALSE) * GENERAL[[#This Row],[CANTIDAD]])</f>
        <v>0</v>
      </c>
      <c r="T229" s="8"/>
    </row>
    <row r="230" spans="2:20" x14ac:dyDescent="0.2">
      <c r="B230" s="11" t="str">
        <f>IF(PRODUCTOS[[#This Row],[CODIGO]]="", "", PRODUCTOS[[#This Row],[CODIGO]])</f>
        <v>FER-DISCDIA-050</v>
      </c>
      <c r="C230" s="6" t="str">
        <f>IF(GENERAL[[#This Row],[CODIGO]]="", "", VLOOKUP(GENERAL[[#This Row],[CODIGO]], PRODUCTOS[#All], 2, FALSE))</f>
        <v>Disco de corte diamante 4 1/2" hoteche</v>
      </c>
      <c r="D23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230" s="28" t="str">
        <f>IFERROR(IF(GENERAL[[#This Row],[CANTIDAD]]=0, "AGOTADO", IF(GENERAL[[#This Row],[CANTIDAD]]&lt;VLOOKUP(GENERAL[[#This Row],[CODIGO]], PRODUCTOS[#All], 3, FALSE), "MENOR AL MINIMO", "")), "")</f>
        <v/>
      </c>
      <c r="F230" s="39">
        <f>IF(OR(GENERAL[[#This Row],[CODIGO]]="", GENERAL[[#This Row],[CANTIDAD]]=""), "", VLOOKUP(GENERAL[[#This Row],[CODIGO]], PRODUCTOS[#All], 4, FALSE) * GENERAL[[#This Row],[CANTIDAD]])</f>
        <v>120</v>
      </c>
      <c r="T230" s="8"/>
    </row>
    <row r="231" spans="2:20" x14ac:dyDescent="0.2">
      <c r="B231" s="11" t="str">
        <f>IF(PRODUCTOS[[#This Row],[CODIGO]]="", "", PRODUCTOS[[#This Row],[CODIGO]])</f>
        <v>FER-DISCO4-001</v>
      </c>
      <c r="C231" s="6" t="str">
        <f>IF(GENERAL[[#This Row],[CODIGO]]="", "", VLOOKUP(GENERAL[[#This Row],[CODIGO]], PRODUCTOS[#All], 2, FALSE))</f>
        <v>Disc. De corte  4-1/2"</v>
      </c>
      <c r="D23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266</v>
      </c>
      <c r="E231" s="28" t="str">
        <f>IFERROR(IF(GENERAL[[#This Row],[CANTIDAD]]=0, "AGOTADO", IF(GENERAL[[#This Row],[CANTIDAD]]&lt;VLOOKUP(GENERAL[[#This Row],[CODIGO]], PRODUCTOS[#All], 3, FALSE), "MENOR AL MINIMO", "")), "")</f>
        <v/>
      </c>
      <c r="F231" s="39">
        <f>IF(OR(GENERAL[[#This Row],[CODIGO]]="", GENERAL[[#This Row],[CANTIDAD]]=""), "", VLOOKUP(GENERAL[[#This Row],[CODIGO]], PRODUCTOS[#All], 4, FALSE) * GENERAL[[#This Row],[CANTIDAD]])</f>
        <v>997.5</v>
      </c>
      <c r="H231" s="63" t="s">
        <v>1957</v>
      </c>
      <c r="T231" s="8"/>
    </row>
    <row r="232" spans="2:20" x14ac:dyDescent="0.2">
      <c r="B232" s="11" t="str">
        <f>IF(PRODUCTOS[[#This Row],[CODIGO]]="", "", PRODUCTOS[[#This Row],[CODIGO]])</f>
        <v>FER-DISDE-412</v>
      </c>
      <c r="C232" s="6" t="str">
        <f>IF(GENERAL[[#This Row],[CODIGO]]="", "", VLOOKUP(GENERAL[[#This Row],[CODIGO]], PRODUCTOS[#All], 2, FALSE))</f>
        <v>Disc. De desbaste Makita 4 1/2" *1/4"*7/8"</v>
      </c>
      <c r="D23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20</v>
      </c>
      <c r="E232" s="28" t="str">
        <f>IFERROR(IF(GENERAL[[#This Row],[CANTIDAD]]=0, "AGOTADO", IF(GENERAL[[#This Row],[CANTIDAD]]&lt;VLOOKUP(GENERAL[[#This Row],[CODIGO]], PRODUCTOS[#All], 3, FALSE), "MENOR AL MINIMO", "")), "")</f>
        <v/>
      </c>
      <c r="F232" s="39">
        <f>IF(OR(GENERAL[[#This Row],[CODIGO]]="", GENERAL[[#This Row],[CANTIDAD]]=""), "", VLOOKUP(GENERAL[[#This Row],[CODIGO]], PRODUCTOS[#All], 4, FALSE) * GENERAL[[#This Row],[CANTIDAD]])</f>
        <v>1380</v>
      </c>
      <c r="H232" s="62">
        <f>SUM(F6:F232)</f>
        <v>444949.35537120007</v>
      </c>
      <c r="T232" s="8"/>
    </row>
    <row r="233" spans="2:20" x14ac:dyDescent="0.2">
      <c r="B233" s="11" t="str">
        <f>IF(PRODUCTOS[[#This Row],[CODIGO]]="", "", PRODUCTOS[[#This Row],[CODIGO]])</f>
        <v>FER-DISDE7-048</v>
      </c>
      <c r="C233" s="6" t="str">
        <f>IF(GENERAL[[#This Row],[CODIGO]]="", "", VLOOKUP(GENERAL[[#This Row],[CODIGO]], PRODUCTOS[#All], 2, FALSE))</f>
        <v>Disc. De desvaste Makita 7" *1/4"*7/8"</v>
      </c>
      <c r="D23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33" s="28" t="str">
        <f>IFERROR(IF(GENERAL[[#This Row],[CANTIDAD]]=0, "AGOTADO", IF(GENERAL[[#This Row],[CANTIDAD]]&lt;VLOOKUP(GENERAL[[#This Row],[CODIGO]], PRODUCTOS[#All], 3, FALSE), "MENOR AL MINIMO", "")), "")</f>
        <v/>
      </c>
      <c r="F233" s="39">
        <f>IF(OR(GENERAL[[#This Row],[CODIGO]]="", GENERAL[[#This Row],[CANTIDAD]]=""), "", VLOOKUP(GENERAL[[#This Row],[CODIGO]], PRODUCTOS[#All], 4, FALSE) * GENERAL[[#This Row],[CANTIDAD]])</f>
        <v>600</v>
      </c>
      <c r="T233" s="8"/>
    </row>
    <row r="234" spans="2:20" x14ac:dyDescent="0.2">
      <c r="B234" s="11" t="str">
        <f>IF(PRODUCTOS[[#This Row],[CODIGO]]="", "", PRODUCTOS[[#This Row],[CODIGO]])</f>
        <v>FER-DISDIAM-012</v>
      </c>
      <c r="C234" s="6" t="str">
        <f>IF(GENERAL[[#This Row],[CODIGO]]="", "", VLOOKUP(GENERAL[[#This Row],[CODIGO]], PRODUCTOS[#All], 2, FALSE))</f>
        <v xml:space="preserve">Disco de diamante amarillo </v>
      </c>
      <c r="D23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11</v>
      </c>
      <c r="E234" s="28" t="str">
        <f>IFERROR(IF(GENERAL[[#This Row],[CANTIDAD]]=0, "AGOTADO", IF(GENERAL[[#This Row],[CANTIDAD]]&lt;VLOOKUP(GENERAL[[#This Row],[CODIGO]], PRODUCTOS[#All], 3, FALSE), "MENOR AL MINIMO", "")), "")</f>
        <v/>
      </c>
      <c r="F234" s="39">
        <f>IF(OR(GENERAL[[#This Row],[CODIGO]]="", GENERAL[[#This Row],[CANTIDAD]]=""), "", VLOOKUP(GENERAL[[#This Row],[CODIGO]], PRODUCTOS[#All], 4, FALSE) * GENERAL[[#This Row],[CANTIDAD]])</f>
        <v>1854.71</v>
      </c>
      <c r="T234" s="8"/>
    </row>
    <row r="235" spans="2:20" x14ac:dyDescent="0.2">
      <c r="B235" s="11" t="str">
        <f>IF(PRODUCTOS[[#This Row],[CODIGO]]="", "", PRODUCTOS[[#This Row],[CODIGO]])</f>
        <v>FER-DISDIAZ-011</v>
      </c>
      <c r="C235" s="6" t="str">
        <f>IF(GENERAL[[#This Row],[CODIGO]]="", "", VLOOKUP(GENERAL[[#This Row],[CODIGO]], PRODUCTOS[#All], 2, FALSE))</f>
        <v xml:space="preserve">Disco de diamante azul </v>
      </c>
      <c r="D23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11</v>
      </c>
      <c r="E235" s="28" t="str">
        <f>IFERROR(IF(GENERAL[[#This Row],[CANTIDAD]]=0, "AGOTADO", IF(GENERAL[[#This Row],[CANTIDAD]]&lt;VLOOKUP(GENERAL[[#This Row],[CODIGO]], PRODUCTOS[#All], 3, FALSE), "MENOR AL MINIMO", "")), "")</f>
        <v/>
      </c>
      <c r="F235" s="39">
        <f>IF(OR(GENERAL[[#This Row],[CODIGO]]="", GENERAL[[#This Row],[CANTIDAD]]=""), "", VLOOKUP(GENERAL[[#This Row],[CODIGO]], PRODUCTOS[#All], 4, FALSE) * GENERAL[[#This Row],[CANTIDAD]])</f>
        <v>1854.71</v>
      </c>
      <c r="T235" s="8"/>
    </row>
    <row r="236" spans="2:20" x14ac:dyDescent="0.2">
      <c r="B236" s="11" t="str">
        <f>IF(PRODUCTOS[[#This Row],[CODIGO]]="", "", PRODUCTOS[[#This Row],[CODIGO]])</f>
        <v>FER-E6013-18</v>
      </c>
      <c r="C236" s="6" t="str">
        <f>IF(GENERAL[[#This Row],[CODIGO]]="", "", VLOOKUP(GENERAL[[#This Row],[CODIGO]], PRODUCTOS[#All], 2, FALSE))</f>
        <v>Electrodo (MW-E6013-1/8)</v>
      </c>
      <c r="D23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332</v>
      </c>
      <c r="E236" s="28" t="str">
        <f>IFERROR(IF(GENERAL[[#This Row],[CANTIDAD]]=0, "AGOTADO", IF(GENERAL[[#This Row],[CANTIDAD]]&lt;VLOOKUP(GENERAL[[#This Row],[CODIGO]], PRODUCTOS[#All], 3, FALSE), "MENOR AL MINIMO", "")), "")</f>
        <v/>
      </c>
      <c r="F236" s="39">
        <f>IF(OR(GENERAL[[#This Row],[CODIGO]]="", GENERAL[[#This Row],[CANTIDAD]]=""), "", VLOOKUP(GENERAL[[#This Row],[CODIGO]], PRODUCTOS[#All], 4, FALSE) * GENERAL[[#This Row],[CANTIDAD]])</f>
        <v>723.7600000000001</v>
      </c>
      <c r="T236" s="8"/>
    </row>
    <row r="237" spans="2:20" x14ac:dyDescent="0.2">
      <c r="B237" s="11" t="str">
        <f>IF(PRODUCTOS[[#This Row],[CODIGO]]="", "", PRODUCTOS[[#This Row],[CODIGO]])</f>
        <v>FER-E6013-1814</v>
      </c>
      <c r="C237" s="6" t="str">
        <f>IF(GENERAL[[#This Row],[CODIGO]]="", "", VLOOKUP(GENERAL[[#This Row],[CODIGO]], PRODUCTOS[#All], 2, FALSE))</f>
        <v>Electrodo Reves, (E6013-1/8"*14")</v>
      </c>
      <c r="D23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164</v>
      </c>
      <c r="E237" s="28" t="str">
        <f>IFERROR(IF(GENERAL[[#This Row],[CANTIDAD]]=0, "AGOTADO", IF(GENERAL[[#This Row],[CANTIDAD]]&lt;VLOOKUP(GENERAL[[#This Row],[CODIGO]], PRODUCTOS[#All], 3, FALSE), "MENOR AL MINIMO", "")), "")</f>
        <v/>
      </c>
      <c r="F237" s="39">
        <f>IF(OR(GENERAL[[#This Row],[CODIGO]]="", GENERAL[[#This Row],[CANTIDAD]]=""), "", VLOOKUP(GENERAL[[#This Row],[CODIGO]], PRODUCTOS[#All], 4, FALSE) * GENERAL[[#This Row],[CANTIDAD]])</f>
        <v>539.56000000000006</v>
      </c>
      <c r="T237" s="8"/>
    </row>
    <row r="238" spans="2:20" x14ac:dyDescent="0.2">
      <c r="B238" s="11" t="str">
        <f>IF(PRODUCTOS[[#This Row],[CODIGO]]="", "", PRODUCTOS[[#This Row],[CODIGO]])</f>
        <v>FER-E6013-332</v>
      </c>
      <c r="C238" s="6" t="str">
        <f>IF(GENERAL[[#This Row],[CODIGO]]="", "", VLOOKUP(GENERAL[[#This Row],[CODIGO]], PRODUCTOS[#All], 2, FALSE))</f>
        <v>Electrodo (MW-E6013-3/32)</v>
      </c>
      <c r="D23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3063</v>
      </c>
      <c r="E238" s="28" t="str">
        <f>IFERROR(IF(GENERAL[[#This Row],[CANTIDAD]]=0, "AGOTADO", IF(GENERAL[[#This Row],[CANTIDAD]]&lt;VLOOKUP(GENERAL[[#This Row],[CODIGO]], PRODUCTOS[#All], 3, FALSE), "MENOR AL MINIMO", "")), "")</f>
        <v/>
      </c>
      <c r="F238" s="39">
        <f>IF(OR(GENERAL[[#This Row],[CODIGO]]="", GENERAL[[#This Row],[CANTIDAD]]=""), "", VLOOKUP(GENERAL[[#This Row],[CODIGO]], PRODUCTOS[#All], 4, FALSE) * GENERAL[[#This Row],[CANTIDAD]])</f>
        <v>5360.25</v>
      </c>
      <c r="T238" s="8"/>
    </row>
    <row r="239" spans="2:20" x14ac:dyDescent="0.2">
      <c r="B239" s="11" t="str">
        <f>IF(PRODUCTOS[[#This Row],[CODIGO]]="", "", PRODUCTOS[[#This Row],[CODIGO]])</f>
        <v>FER-E7018-18</v>
      </c>
      <c r="C239" s="6" t="str">
        <f>IF(GENERAL[[#This Row],[CODIGO]]="", "", VLOOKUP(GENERAL[[#This Row],[CODIGO]], PRODUCTOS[#All], 2, FALSE))</f>
        <v>Electrodo Reves, (E7018-1/8"*18")</v>
      </c>
      <c r="D23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284</v>
      </c>
      <c r="E239" s="28" t="str">
        <f>IFERROR(IF(GENERAL[[#This Row],[CANTIDAD]]=0, "AGOTADO", IF(GENERAL[[#This Row],[CANTIDAD]]&lt;VLOOKUP(GENERAL[[#This Row],[CODIGO]], PRODUCTOS[#All], 3, FALSE), "MENOR AL MINIMO", "")), "")</f>
        <v/>
      </c>
      <c r="F239" s="39">
        <f>IF(OR(GENERAL[[#This Row],[CODIGO]]="", GENERAL[[#This Row],[CANTIDAD]]=""), "", VLOOKUP(GENERAL[[#This Row],[CODIGO]], PRODUCTOS[#All], 4, FALSE) * GENERAL[[#This Row],[CANTIDAD]])</f>
        <v>1320.6000000000001</v>
      </c>
      <c r="T239" s="8"/>
    </row>
    <row r="240" spans="2:20" x14ac:dyDescent="0.2">
      <c r="B240" s="11" t="str">
        <f>IF(PRODUCTOS[[#This Row],[CODIGO]]="", "", PRODUCTOS[[#This Row],[CODIGO]])</f>
        <v>FER-E7018-532</v>
      </c>
      <c r="C240" s="6" t="str">
        <f>IF(GENERAL[[#This Row],[CODIGO]]="", "", VLOOKUP(GENERAL[[#This Row],[CODIGO]], PRODUCTOS[#All], 2, FALSE))</f>
        <v>Electrodo Reves, (LE7018-5/32"*18")</v>
      </c>
      <c r="D24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218</v>
      </c>
      <c r="E240" s="28" t="str">
        <f>IFERROR(IF(GENERAL[[#This Row],[CANTIDAD]]=0, "AGOTADO", IF(GENERAL[[#This Row],[CANTIDAD]]&lt;VLOOKUP(GENERAL[[#This Row],[CODIGO]], PRODUCTOS[#All], 3, FALSE), "MENOR AL MINIMO", "")), "")</f>
        <v/>
      </c>
      <c r="F240" s="39">
        <f>IF(OR(GENERAL[[#This Row],[CODIGO]]="", GENERAL[[#This Row],[CANTIDAD]]=""), "", VLOOKUP(GENERAL[[#This Row],[CODIGO]], PRODUCTOS[#All], 4, FALSE) * GENERAL[[#This Row],[CANTIDAD]])</f>
        <v>0</v>
      </c>
      <c r="T240" s="8"/>
    </row>
    <row r="241" spans="2:20" x14ac:dyDescent="0.2">
      <c r="B241" s="11" t="str">
        <f>IF(PRODUCTOS[[#This Row],[CODIGO]]="", "", PRODUCTOS[[#This Row],[CODIGO]])</f>
        <v>FER-EMBGA-036</v>
      </c>
      <c r="C241" s="6" t="str">
        <f>IF(GENERAL[[#This Row],[CODIGO]]="", "", VLOOKUP(GENERAL[[#This Row],[CODIGO]], PRODUCTOS[#All], 2, FALSE))</f>
        <v>Embudo grande</v>
      </c>
      <c r="D24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41" s="28" t="str">
        <f>IFERROR(IF(GENERAL[[#This Row],[CANTIDAD]]=0, "AGOTADO", IF(GENERAL[[#This Row],[CANTIDAD]]&lt;VLOOKUP(GENERAL[[#This Row],[CODIGO]], PRODUCTOS[#All], 3, FALSE), "MENOR AL MINIMO", "")), "")</f>
        <v/>
      </c>
      <c r="F241" s="39">
        <f>IF(OR(GENERAL[[#This Row],[CODIGO]]="", GENERAL[[#This Row],[CANTIDAD]]=""), "", VLOOKUP(GENERAL[[#This Row],[CODIGO]], PRODUCTOS[#All], 4, FALSE) * GENERAL[[#This Row],[CANTIDAD]])</f>
        <v>100</v>
      </c>
      <c r="T241" s="8"/>
    </row>
    <row r="242" spans="2:20" x14ac:dyDescent="0.2">
      <c r="B242" s="11" t="str">
        <f>IF(PRODUCTOS[[#This Row],[CODIGO]]="", "", PRODUCTOS[[#This Row],[CODIGO]])</f>
        <v>FER-ESLFUS-10A</v>
      </c>
      <c r="C242" s="6" t="str">
        <f>IF(GENERAL[[#This Row],[CODIGO]]="", "", VLOOKUP(GENERAL[[#This Row],[CODIGO]], PRODUCTOS[#All], 2, FALSE))</f>
        <v>Eslabón fusible 27/15 KV 10amp</v>
      </c>
      <c r="D24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242" s="28" t="str">
        <f>IFERROR(IF(GENERAL[[#This Row],[CANTIDAD]]=0, "AGOTADO", IF(GENERAL[[#This Row],[CANTIDAD]]&lt;VLOOKUP(GENERAL[[#This Row],[CODIGO]], PRODUCTOS[#All], 3, FALSE), "MENOR AL MINIMO", "")), "")</f>
        <v/>
      </c>
      <c r="F242" s="39">
        <f>IF(OR(GENERAL[[#This Row],[CODIGO]]="", GENERAL[[#This Row],[CANTIDAD]]=""), "", VLOOKUP(GENERAL[[#This Row],[CODIGO]], PRODUCTOS[#All], 4, FALSE) * GENERAL[[#This Row],[CANTIDAD]])</f>
        <v>195.79999999999998</v>
      </c>
      <c r="T242" s="8"/>
    </row>
    <row r="243" spans="2:20" x14ac:dyDescent="0.2">
      <c r="B243" s="11" t="str">
        <f>IF(PRODUCTOS[[#This Row],[CODIGO]]="", "", PRODUCTOS[[#This Row],[CODIGO]])</f>
        <v>FER-ESLFUS-15A</v>
      </c>
      <c r="C243" s="6" t="str">
        <f>IF(GENERAL[[#This Row],[CODIGO]]="", "", VLOOKUP(GENERAL[[#This Row],[CODIGO]], PRODUCTOS[#All], 2, FALSE))</f>
        <v>Eslabón fusible 27/15 KV 15amp</v>
      </c>
      <c r="D24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8</v>
      </c>
      <c r="E243" s="28" t="str">
        <f>IFERROR(IF(GENERAL[[#This Row],[CANTIDAD]]=0, "AGOTADO", IF(GENERAL[[#This Row],[CANTIDAD]]&lt;VLOOKUP(GENERAL[[#This Row],[CODIGO]], PRODUCTOS[#All], 3, FALSE), "MENOR AL MINIMO", "")), "")</f>
        <v/>
      </c>
      <c r="F243" s="39">
        <f>IF(OR(GENERAL[[#This Row],[CODIGO]]="", GENERAL[[#This Row],[CANTIDAD]]=""), "", VLOOKUP(GENERAL[[#This Row],[CODIGO]], PRODUCTOS[#All], 4, FALSE) * GENERAL[[#This Row],[CANTIDAD]])</f>
        <v>313.27999999999997</v>
      </c>
      <c r="T243" s="8"/>
    </row>
    <row r="244" spans="2:20" x14ac:dyDescent="0.2">
      <c r="B244" s="11" t="str">
        <f>IF(PRODUCTOS[[#This Row],[CODIGO]]="", "", PRODUCTOS[[#This Row],[CODIGO]])</f>
        <v>FER-ESLFUS-15A</v>
      </c>
      <c r="C244" s="6" t="str">
        <f>IF(GENERAL[[#This Row],[CODIGO]]="", "", VLOOKUP(GENERAL[[#This Row],[CODIGO]], PRODUCTOS[#All], 2, FALSE))</f>
        <v>Eslabón fusible 27/15 KV 15amp</v>
      </c>
      <c r="D24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8</v>
      </c>
      <c r="E244" s="28" t="str">
        <f>IFERROR(IF(GENERAL[[#This Row],[CANTIDAD]]=0, "AGOTADO", IF(GENERAL[[#This Row],[CANTIDAD]]&lt;VLOOKUP(GENERAL[[#This Row],[CODIGO]], PRODUCTOS[#All], 3, FALSE), "MENOR AL MINIMO", "")), "")</f>
        <v/>
      </c>
      <c r="F244" s="39">
        <f>IF(OR(GENERAL[[#This Row],[CODIGO]]="", GENERAL[[#This Row],[CANTIDAD]]=""), "", VLOOKUP(GENERAL[[#This Row],[CODIGO]], PRODUCTOS[#All], 4, FALSE) * GENERAL[[#This Row],[CANTIDAD]])</f>
        <v>313.27999999999997</v>
      </c>
      <c r="T244" s="8"/>
    </row>
    <row r="245" spans="2:20" x14ac:dyDescent="0.2">
      <c r="B245" s="11" t="str">
        <f>IF(PRODUCTOS[[#This Row],[CODIGO]]="", "", PRODUCTOS[[#This Row],[CODIGO]])</f>
        <v>FER-ESLFUS-20A</v>
      </c>
      <c r="C245" s="6" t="str">
        <f>IF(GENERAL[[#This Row],[CODIGO]]="", "", VLOOKUP(GENERAL[[#This Row],[CODIGO]], PRODUCTOS[#All], 2, FALSE))</f>
        <v>Eslabón fusible 27/15 KV 20amp</v>
      </c>
      <c r="D24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245" s="28" t="str">
        <f>IFERROR(IF(GENERAL[[#This Row],[CANTIDAD]]=0, "AGOTADO", IF(GENERAL[[#This Row],[CANTIDAD]]&lt;VLOOKUP(GENERAL[[#This Row],[CODIGO]], PRODUCTOS[#All], 3, FALSE), "MENOR AL MINIMO", "")), "")</f>
        <v/>
      </c>
      <c r="F245" s="39">
        <f>IF(OR(GENERAL[[#This Row],[CODIGO]]="", GENERAL[[#This Row],[CANTIDAD]]=""), "", VLOOKUP(GENERAL[[#This Row],[CODIGO]], PRODUCTOS[#All], 4, FALSE) * GENERAL[[#This Row],[CANTIDAD]])</f>
        <v>234.95999999999998</v>
      </c>
      <c r="T245" s="8"/>
    </row>
    <row r="246" spans="2:20" x14ac:dyDescent="0.2">
      <c r="B246" s="11" t="str">
        <f>IF(PRODUCTOS[[#This Row],[CODIGO]]="", "", PRODUCTOS[[#This Row],[CODIGO]])</f>
        <v>FER-ESLFUS-5A</v>
      </c>
      <c r="C246" s="6" t="str">
        <f>IF(GENERAL[[#This Row],[CODIGO]]="", "", VLOOKUP(GENERAL[[#This Row],[CODIGO]], PRODUCTOS[#All], 2, FALSE))</f>
        <v>Eslabón fusible 27/15 KV 5amp</v>
      </c>
      <c r="D24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46" s="28" t="str">
        <f>IFERROR(IF(GENERAL[[#This Row],[CANTIDAD]]=0, "AGOTADO", IF(GENERAL[[#This Row],[CANTIDAD]]&lt;VLOOKUP(GENERAL[[#This Row],[CODIGO]], PRODUCTOS[#All], 3, FALSE), "MENOR AL MINIMO", "")), "")</f>
        <v/>
      </c>
      <c r="F246" s="39">
        <f>IF(OR(GENERAL[[#This Row],[CODIGO]]="", GENERAL[[#This Row],[CANTIDAD]]=""), "", VLOOKUP(GENERAL[[#This Row],[CODIGO]], PRODUCTOS[#All], 4, FALSE) * GENERAL[[#This Row],[CANTIDAD]])</f>
        <v>39.159999999999997</v>
      </c>
      <c r="T246" s="8"/>
    </row>
    <row r="247" spans="2:20" x14ac:dyDescent="0.2">
      <c r="B247" s="11" t="str">
        <f>IF(PRODUCTOS[[#This Row],[CODIGO]]="", "", PRODUCTOS[[#This Row],[CODIGO]])</f>
        <v>FER-ESLFUS-7A</v>
      </c>
      <c r="C247" s="6" t="str">
        <f>IF(GENERAL[[#This Row],[CODIGO]]="", "", VLOOKUP(GENERAL[[#This Row],[CODIGO]], PRODUCTOS[#All], 2, FALSE))</f>
        <v>Eslabón fusible 27/15 KV 7amp</v>
      </c>
      <c r="D24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247" s="28" t="str">
        <f>IFERROR(IF(GENERAL[[#This Row],[CANTIDAD]]=0, "AGOTADO", IF(GENERAL[[#This Row],[CANTIDAD]]&lt;VLOOKUP(GENERAL[[#This Row],[CODIGO]], PRODUCTOS[#All], 3, FALSE), "MENOR AL MINIMO", "")), "")</f>
        <v/>
      </c>
      <c r="F247" s="39">
        <f>IF(OR(GENERAL[[#This Row],[CODIGO]]="", GENERAL[[#This Row],[CANTIDAD]]=""), "", VLOOKUP(GENERAL[[#This Row],[CODIGO]], PRODUCTOS[#All], 4, FALSE) * GENERAL[[#This Row],[CANTIDAD]])</f>
        <v>195.79999999999998</v>
      </c>
      <c r="T247" s="8"/>
    </row>
    <row r="248" spans="2:20" x14ac:dyDescent="0.2">
      <c r="B248" s="11" t="str">
        <f>IF(PRODUCTOS[[#This Row],[CODIGO]]="", "", PRODUCTOS[[#This Row],[CODIGO]])</f>
        <v>FER-ESLFUSI-3A</v>
      </c>
      <c r="C248" s="6" t="str">
        <f>IF(GENERAL[[#This Row],[CODIGO]]="", "", VLOOKUP(GENERAL[[#This Row],[CODIGO]], PRODUCTOS[#All], 2, FALSE))</f>
        <v>Eslabón fusible 27/15 KV 3amp</v>
      </c>
      <c r="D24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248" s="28" t="str">
        <f>IFERROR(IF(GENERAL[[#This Row],[CANTIDAD]]=0, "AGOTADO", IF(GENERAL[[#This Row],[CANTIDAD]]&lt;VLOOKUP(GENERAL[[#This Row],[CODIGO]], PRODUCTOS[#All], 3, FALSE), "MENOR AL MINIMO", "")), "")</f>
        <v/>
      </c>
      <c r="F248" s="39">
        <f>IF(OR(GENERAL[[#This Row],[CODIGO]]="", GENERAL[[#This Row],[CANTIDAD]]=""), "", VLOOKUP(GENERAL[[#This Row],[CODIGO]], PRODUCTOS[#All], 4, FALSE) * GENERAL[[#This Row],[CANTIDAD]])</f>
        <v>195.79999999999998</v>
      </c>
      <c r="T248" s="8"/>
    </row>
    <row r="249" spans="2:20" x14ac:dyDescent="0.2">
      <c r="B249" s="11" t="str">
        <f>IF(PRODUCTOS[[#This Row],[CODIGO]]="", "", PRODUCTOS[[#This Row],[CODIGO]])</f>
        <v>FER-ESMANG-058</v>
      </c>
      <c r="C249" s="6" t="str">
        <f>IF(GENERAL[[#This Row],[CODIGO]]="", "", VLOOKUP(GENERAL[[#This Row],[CODIGO]], PRODUCTOS[#All], 2, FALSE))</f>
        <v>Esmeriladora angular</v>
      </c>
      <c r="D24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49" s="28" t="str">
        <f>IFERROR(IF(GENERAL[[#This Row],[CANTIDAD]]=0, "AGOTADO", IF(GENERAL[[#This Row],[CANTIDAD]]&lt;VLOOKUP(GENERAL[[#This Row],[CODIGO]], PRODUCTOS[#All], 3, FALSE), "MENOR AL MINIMO", "")), "")</f>
        <v/>
      </c>
      <c r="F249" s="39">
        <f>IF(OR(GENERAL[[#This Row],[CODIGO]]="", GENERAL[[#This Row],[CANTIDAD]]=""), "", VLOOKUP(GENERAL[[#This Row],[CODIGO]], PRODUCTOS[#All], 4, FALSE) * GENERAL[[#This Row],[CANTIDAD]])</f>
        <v>1650</v>
      </c>
      <c r="T249" s="8"/>
    </row>
    <row r="250" spans="2:20" x14ac:dyDescent="0.2">
      <c r="B250" s="11" t="str">
        <f>IF(PRODUCTOS[[#This Row],[CODIGO]]="", "", PRODUCTOS[[#This Row],[CODIGO]])</f>
        <v>FER-ESMAZ-400ML</v>
      </c>
      <c r="C250" s="6" t="str">
        <f>IF(GENERAL[[#This Row],[CODIGO]]="", "", VLOOKUP(GENERAL[[#This Row],[CODIGO]], PRODUCTOS[#All], 2, FALSE))</f>
        <v>Esmalte Azul 400ml</v>
      </c>
      <c r="D25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50" s="28" t="str">
        <f>IFERROR(IF(GENERAL[[#This Row],[CANTIDAD]]=0, "AGOTADO", IF(GENERAL[[#This Row],[CANTIDAD]]&lt;VLOOKUP(GENERAL[[#This Row],[CODIGO]], PRODUCTOS[#All], 3, FALSE), "MENOR AL MINIMO", "")), "")</f>
        <v/>
      </c>
      <c r="F250" s="39">
        <f>IF(OR(GENERAL[[#This Row],[CODIGO]]="", GENERAL[[#This Row],[CANTIDAD]]=""), "", VLOOKUP(GENERAL[[#This Row],[CODIGO]], PRODUCTOS[#All], 4, FALSE) * GENERAL[[#This Row],[CANTIDAD]])</f>
        <v>154</v>
      </c>
      <c r="T250" s="8"/>
    </row>
    <row r="251" spans="2:20" x14ac:dyDescent="0.2">
      <c r="B251" s="11" t="str">
        <f>IF(PRODUCTOS[[#This Row],[CODIGO]]="", "", PRODUCTOS[[#This Row],[CODIGO]])</f>
        <v>FER-ESMGR-400ML</v>
      </c>
      <c r="C251" s="6" t="str">
        <f>IF(GENERAL[[#This Row],[CODIGO]]="", "", VLOOKUP(GENERAL[[#This Row],[CODIGO]], PRODUCTOS[#All], 2, FALSE))</f>
        <v>Esmalte gris (pintura spray) 400ml</v>
      </c>
      <c r="D25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51" s="28" t="str">
        <f>IFERROR(IF(GENERAL[[#This Row],[CANTIDAD]]=0, "AGOTADO", IF(GENERAL[[#This Row],[CANTIDAD]]&lt;VLOOKUP(GENERAL[[#This Row],[CODIGO]], PRODUCTOS[#All], 3, FALSE), "MENOR AL MINIMO", "")), "")</f>
        <v/>
      </c>
      <c r="F251" s="39">
        <f>IF(OR(GENERAL[[#This Row],[CODIGO]]="", GENERAL[[#This Row],[CANTIDAD]]=""), "", VLOOKUP(GENERAL[[#This Row],[CODIGO]], PRODUCTOS[#All], 4, FALSE) * GENERAL[[#This Row],[CANTIDAD]])</f>
        <v>154</v>
      </c>
      <c r="T251" s="8"/>
    </row>
    <row r="252" spans="2:20" x14ac:dyDescent="0.2">
      <c r="B252" s="11" t="str">
        <f>IF(PRODUCTOS[[#This Row],[CODIGO]]="", "", PRODUCTOS[[#This Row],[CODIGO]])</f>
        <v>FER-ESMVE-400ML</v>
      </c>
      <c r="C252" s="6" t="str">
        <f>IF(GENERAL[[#This Row],[CODIGO]]="", "", VLOOKUP(GENERAL[[#This Row],[CODIGO]], PRODUCTOS[#All], 2, FALSE))</f>
        <v>Esmalte Verde 400ml</v>
      </c>
      <c r="D25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52" s="28" t="str">
        <f>IFERROR(IF(GENERAL[[#This Row],[CANTIDAD]]=0, "AGOTADO", IF(GENERAL[[#This Row],[CANTIDAD]]&lt;VLOOKUP(GENERAL[[#This Row],[CODIGO]], PRODUCTOS[#All], 3, FALSE), "MENOR AL MINIMO", "")), "")</f>
        <v/>
      </c>
      <c r="F252" s="39">
        <f>IF(OR(GENERAL[[#This Row],[CODIGO]]="", GENERAL[[#This Row],[CANTIDAD]]=""), "", VLOOKUP(GENERAL[[#This Row],[CODIGO]], PRODUCTOS[#All], 4, FALSE) * GENERAL[[#This Row],[CANTIDAD]])</f>
        <v>77</v>
      </c>
      <c r="T252" s="8"/>
    </row>
    <row r="253" spans="2:20" x14ac:dyDescent="0.2">
      <c r="B253" s="11" t="str">
        <f>IF(PRODUCTOS[[#This Row],[CODIGO]]="", "", PRODUCTOS[[#This Row],[CODIGO]])</f>
        <v>FER-ESPMACH14-14</v>
      </c>
      <c r="C253" s="6" t="str">
        <f>IF(GENERAL[[#This Row],[CODIGO]]="", "", VLOOKUP(GENERAL[[#This Row],[CODIGO]], PRODUCTOS[#All], 2, FALSE))</f>
        <v>Espiga macho 1/4 * 1/4 espiga manguera</v>
      </c>
      <c r="D25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47</v>
      </c>
      <c r="E253" s="28" t="str">
        <f>IFERROR(IF(GENERAL[[#This Row],[CANTIDAD]]=0, "AGOTADO", IF(GENERAL[[#This Row],[CANTIDAD]]&lt;VLOOKUP(GENERAL[[#This Row],[CODIGO]], PRODUCTOS[#All], 3, FALSE), "MENOR AL MINIMO", "")), "")</f>
        <v/>
      </c>
      <c r="F253" s="39">
        <f>IF(OR(GENERAL[[#This Row],[CODIGO]]="", GENERAL[[#This Row],[CANTIDAD]]=""), "", VLOOKUP(GENERAL[[#This Row],[CODIGO]], PRODUCTOS[#All], 4, FALSE) * GENERAL[[#This Row],[CANTIDAD]])</f>
        <v>0</v>
      </c>
      <c r="T253" s="8"/>
    </row>
    <row r="254" spans="2:20" x14ac:dyDescent="0.2">
      <c r="B254" s="11" t="str">
        <f>IF(PRODUCTOS[[#This Row],[CODIGO]]="", "", PRODUCTOS[[#This Row],[CODIGO]])</f>
        <v>FER-ESTBRO-034</v>
      </c>
      <c r="C254" s="6" t="str">
        <f>IF(GENERAL[[#This Row],[CODIGO]]="", "", VLOOKUP(GENERAL[[#This Row],[CODIGO]], PRODUCTOS[#All], 2, FALSE))</f>
        <v xml:space="preserve">Estuche de brocas </v>
      </c>
      <c r="D25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54" s="28" t="str">
        <f>IFERROR(IF(GENERAL[[#This Row],[CANTIDAD]]=0, "AGOTADO", IF(GENERAL[[#This Row],[CANTIDAD]]&lt;VLOOKUP(GENERAL[[#This Row],[CODIGO]], PRODUCTOS[#All], 3, FALSE), "MENOR AL MINIMO", "")), "")</f>
        <v/>
      </c>
      <c r="F254" s="39">
        <f>IF(OR(GENERAL[[#This Row],[CODIGO]]="", GENERAL[[#This Row],[CANTIDAD]]=""), "", VLOOKUP(GENERAL[[#This Row],[CODIGO]], PRODUCTOS[#All], 4, FALSE) * GENERAL[[#This Row],[CANTIDAD]])</f>
        <v>150</v>
      </c>
      <c r="T254" s="8"/>
    </row>
    <row r="255" spans="2:20" x14ac:dyDescent="0.2">
      <c r="B255" s="11" t="str">
        <f>IF(PRODUCTOS[[#This Row],[CODIGO]]="", "", PRODUCTOS[[#This Row],[CODIGO]])</f>
        <v>FER-EXTEN10M-063</v>
      </c>
      <c r="C255" s="6" t="str">
        <f>IF(GENERAL[[#This Row],[CODIGO]]="", "", VLOOKUP(GENERAL[[#This Row],[CODIGO]], PRODUCTOS[#All], 2, FALSE))</f>
        <v>Extensión elect. Uso rudo 10m</v>
      </c>
      <c r="D25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55" s="28" t="str">
        <f>IFERROR(IF(GENERAL[[#This Row],[CANTIDAD]]=0, "AGOTADO", IF(GENERAL[[#This Row],[CANTIDAD]]&lt;VLOOKUP(GENERAL[[#This Row],[CODIGO]], PRODUCTOS[#All], 3, FALSE), "MENOR AL MINIMO", "")), "")</f>
        <v/>
      </c>
      <c r="F255" s="39">
        <f>IF(OR(GENERAL[[#This Row],[CODIGO]]="", GENERAL[[#This Row],[CANTIDAD]]=""), "", VLOOKUP(GENERAL[[#This Row],[CODIGO]], PRODUCTOS[#All], 4, FALSE) * GENERAL[[#This Row],[CANTIDAD]])</f>
        <v>195.01</v>
      </c>
      <c r="T255" s="8"/>
    </row>
    <row r="256" spans="2:20" x14ac:dyDescent="0.2">
      <c r="B256" s="11" t="str">
        <f>IF(PRODUCTOS[[#This Row],[CODIGO]]="", "", PRODUCTOS[[#This Row],[CODIGO]])</f>
        <v>FER-EXTEN15M-064</v>
      </c>
      <c r="C256" s="6" t="str">
        <f>IF(GENERAL[[#This Row],[CODIGO]]="", "", VLOOKUP(GENERAL[[#This Row],[CODIGO]], PRODUCTOS[#All], 2, FALSE))</f>
        <v>Extansión reforzada 15m.</v>
      </c>
      <c r="D25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56" s="28" t="str">
        <f>IFERROR(IF(GENERAL[[#This Row],[CANTIDAD]]=0, "AGOTADO", IF(GENERAL[[#This Row],[CANTIDAD]]&lt;VLOOKUP(GENERAL[[#This Row],[CODIGO]], PRODUCTOS[#All], 3, FALSE), "MENOR AL MINIMO", "")), "")</f>
        <v/>
      </c>
      <c r="F256" s="39">
        <f>IF(OR(GENERAL[[#This Row],[CODIGO]]="", GENERAL[[#This Row],[CANTIDAD]]=""), "", VLOOKUP(GENERAL[[#This Row],[CODIGO]], PRODUCTOS[#All], 4, FALSE) * GENERAL[[#This Row],[CANTIDAD]])</f>
        <v>465</v>
      </c>
      <c r="T256" s="8"/>
    </row>
    <row r="257" spans="2:20" x14ac:dyDescent="0.2">
      <c r="B257" s="11" t="str">
        <f>IF(PRODUCTOS[[#This Row],[CODIGO]]="", "", PRODUCTOS[[#This Row],[CODIGO]])</f>
        <v>FER-FLE58-044</v>
      </c>
      <c r="C257" s="6" t="str">
        <f>IF(GENERAL[[#This Row],[CODIGO]]="", "", VLOOKUP(GENERAL[[#This Row],[CODIGO]], PRODUCTOS[#All], 2, FALSE))</f>
        <v xml:space="preserve">Fleje 5/8 de acero </v>
      </c>
      <c r="D25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257" s="28" t="str">
        <f>IFERROR(IF(GENERAL[[#This Row],[CANTIDAD]]=0, "AGOTADO", IF(GENERAL[[#This Row],[CANTIDAD]]&lt;VLOOKUP(GENERAL[[#This Row],[CODIGO]], PRODUCTOS[#All], 3, FALSE), "MENOR AL MINIMO", "")), "")</f>
        <v/>
      </c>
      <c r="F257" s="39">
        <f>IF(OR(GENERAL[[#This Row],[CODIGO]]="", GENERAL[[#This Row],[CANTIDAD]]=""), "", VLOOKUP(GENERAL[[#This Row],[CODIGO]], PRODUCTOS[#All], 4, FALSE) * GENERAL[[#This Row],[CANTIDAD]])</f>
        <v>912</v>
      </c>
      <c r="T257" s="8"/>
    </row>
    <row r="258" spans="2:20" x14ac:dyDescent="0.2">
      <c r="B258" s="11" t="str">
        <f>IF(PRODUCTOS[[#This Row],[CODIGO]]="", "", PRODUCTOS[[#This Row],[CODIGO]])</f>
        <v>FER-FLEX3M-019</v>
      </c>
      <c r="C258" s="6" t="str">
        <f>IF(GENERAL[[#This Row],[CODIGO]]="", "", VLOOKUP(GENERAL[[#This Row],[CODIGO]], PRODUCTOS[#All], 2, FALSE))</f>
        <v>Flexómetro 3m</v>
      </c>
      <c r="D25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258" s="28" t="str">
        <f>IFERROR(IF(GENERAL[[#This Row],[CANTIDAD]]=0, "AGOTADO", IF(GENERAL[[#This Row],[CANTIDAD]]&lt;VLOOKUP(GENERAL[[#This Row],[CODIGO]], PRODUCTOS[#All], 3, FALSE), "MENOR AL MINIMO", "")), "")</f>
        <v/>
      </c>
      <c r="F258" s="39">
        <f>IF(OR(GENERAL[[#This Row],[CODIGO]]="", GENERAL[[#This Row],[CANTIDAD]]=""), "", VLOOKUP(GENERAL[[#This Row],[CODIGO]], PRODUCTOS[#All], 4, FALSE) * GENERAL[[#This Row],[CANTIDAD]])</f>
        <v>237</v>
      </c>
      <c r="T258" s="8"/>
    </row>
    <row r="259" spans="2:20" x14ac:dyDescent="0.2">
      <c r="B259" s="11" t="str">
        <f>IF(PRODUCTOS[[#This Row],[CODIGO]]="", "", PRODUCTOS[[#This Row],[CODIGO]])</f>
        <v>FER-FLEX5M-017</v>
      </c>
      <c r="C259" s="6" t="str">
        <f>IF(GENERAL[[#This Row],[CODIGO]]="", "", VLOOKUP(GENERAL[[#This Row],[CODIGO]], PRODUCTOS[#All], 2, FALSE))</f>
        <v>Flexómetro 5m</v>
      </c>
      <c r="D25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59" s="28" t="str">
        <f>IFERROR(IF(GENERAL[[#This Row],[CANTIDAD]]=0, "AGOTADO", IF(GENERAL[[#This Row],[CANTIDAD]]&lt;VLOOKUP(GENERAL[[#This Row],[CODIGO]], PRODUCTOS[#All], 3, FALSE), "MENOR AL MINIMO", "")), "")</f>
        <v/>
      </c>
      <c r="F259" s="39">
        <f>IF(OR(GENERAL[[#This Row],[CODIGO]]="", GENERAL[[#This Row],[CANTIDAD]]=""), "", VLOOKUP(GENERAL[[#This Row],[CODIGO]], PRODUCTOS[#All], 4, FALSE) * GENERAL[[#This Row],[CANTIDAD]])</f>
        <v>254</v>
      </c>
      <c r="T259" s="8"/>
    </row>
    <row r="260" spans="2:20" x14ac:dyDescent="0.2">
      <c r="B260" s="11" t="str">
        <f>IF(PRODUCTOS[[#This Row],[CODIGO]]="", "", PRODUCTOS[[#This Row],[CODIGO]])</f>
        <v>FER-FLEXAU3M-018</v>
      </c>
      <c r="C260" s="6" t="str">
        <f>IF(GENERAL[[#This Row],[CODIGO]]="", "", VLOOKUP(GENERAL[[#This Row],[CODIGO]], PRODUCTOS[#All], 2, FALSE))</f>
        <v xml:space="preserve">Flexómetro 3m freno automático </v>
      </c>
      <c r="D26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60" s="28" t="str">
        <f>IFERROR(IF(GENERAL[[#This Row],[CANTIDAD]]=0, "AGOTADO", IF(GENERAL[[#This Row],[CANTIDAD]]&lt;VLOOKUP(GENERAL[[#This Row],[CODIGO]], PRODUCTOS[#All], 3, FALSE), "MENOR AL MINIMO", "")), "")</f>
        <v/>
      </c>
      <c r="F260" s="39">
        <f>IF(OR(GENERAL[[#This Row],[CODIGO]]="", GENERAL[[#This Row],[CANTIDAD]]=""), "", VLOOKUP(GENERAL[[#This Row],[CODIGO]], PRODUCTOS[#All], 4, FALSE) * GENERAL[[#This Row],[CANTIDAD]])</f>
        <v>0</v>
      </c>
      <c r="T260" s="8"/>
    </row>
    <row r="261" spans="2:20" x14ac:dyDescent="0.2">
      <c r="B261" s="11" t="str">
        <f>IF(PRODUCTOS[[#This Row],[CODIGO]]="", "", PRODUCTOS[[#This Row],[CODIGO]])</f>
        <v>FER-FREGD-10PZS</v>
      </c>
      <c r="C261" s="6" t="str">
        <f>IF(GENERAL[[#This Row],[CODIGO]]="", "", VLOOKUP(GENERAL[[#This Row],[CODIGO]], PRODUCTOS[#All], 2, FALSE))</f>
        <v>Kit fresas grabado y desvaste 10pzs</v>
      </c>
      <c r="D26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61" s="28" t="str">
        <f>IFERROR(IF(GENERAL[[#This Row],[CANTIDAD]]=0, "AGOTADO", IF(GENERAL[[#This Row],[CANTIDAD]]&lt;VLOOKUP(GENERAL[[#This Row],[CODIGO]], PRODUCTOS[#All], 3, FALSE), "MENOR AL MINIMO", "")), "")</f>
        <v/>
      </c>
      <c r="F261" s="39">
        <f>IF(OR(GENERAL[[#This Row],[CODIGO]]="", GENERAL[[#This Row],[CANTIDAD]]=""), "", VLOOKUP(GENERAL[[#This Row],[CODIGO]], PRODUCTOS[#All], 4, FALSE) * GENERAL[[#This Row],[CANTIDAD]])</f>
        <v>0</v>
      </c>
      <c r="T261" s="8"/>
    </row>
    <row r="262" spans="2:20" x14ac:dyDescent="0.2">
      <c r="B262" s="11" t="str">
        <f>IF(PRODUCTOS[[#This Row],[CODIGO]]="", "", PRODUCTOS[[#This Row],[CODIGO]])</f>
        <v>FER-GISAZ-226GR</v>
      </c>
      <c r="C262" s="6" t="str">
        <f>IF(GENERAL[[#This Row],[CODIGO]]="", "", VLOOKUP(GENERAL[[#This Row],[CODIGO]], PRODUCTOS[#All], 2, FALSE))</f>
        <v>Gis de repuesto azul 226gr</v>
      </c>
      <c r="D26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62" s="28" t="str">
        <f>IFERROR(IF(GENERAL[[#This Row],[CANTIDAD]]=0, "AGOTADO", IF(GENERAL[[#This Row],[CANTIDAD]]&lt;VLOOKUP(GENERAL[[#This Row],[CODIGO]], PRODUCTOS[#All], 3, FALSE), "MENOR AL MINIMO", "")), "")</f>
        <v/>
      </c>
      <c r="F262" s="39">
        <f>IF(OR(GENERAL[[#This Row],[CODIGO]]="", GENERAL[[#This Row],[CANTIDAD]]=""), "", VLOOKUP(GENERAL[[#This Row],[CODIGO]], PRODUCTOS[#All], 4, FALSE) * GENERAL[[#This Row],[CANTIDAD]])</f>
        <v>38</v>
      </c>
      <c r="T262" s="8"/>
    </row>
    <row r="263" spans="2:20" x14ac:dyDescent="0.2">
      <c r="B263" s="11" t="str">
        <f>IF(PRODUCTOS[[#This Row],[CODIGO]]="", "", PRODUCTOS[[#This Row],[CODIGO]])</f>
        <v>FER-GISSO-002</v>
      </c>
      <c r="C263" s="6" t="str">
        <f>IF(GENERAL[[#This Row],[CODIGO]]="", "", VLOOKUP(GENERAL[[#This Row],[CODIGO]], PRODUCTOS[#All], 2, FALSE))</f>
        <v>Gis para placa de soldadura</v>
      </c>
      <c r="D26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107</v>
      </c>
      <c r="E263" s="28" t="str">
        <f>IFERROR(IF(GENERAL[[#This Row],[CANTIDAD]]=0, "AGOTADO", IF(GENERAL[[#This Row],[CANTIDAD]]&lt;VLOOKUP(GENERAL[[#This Row],[CODIGO]], PRODUCTOS[#All], 3, FALSE), "MENOR AL MINIMO", "")), "")</f>
        <v/>
      </c>
      <c r="F263" s="39">
        <f>IF(OR(GENERAL[[#This Row],[CODIGO]]="", GENERAL[[#This Row],[CANTIDAD]]=""), "", VLOOKUP(GENERAL[[#This Row],[CODIGO]], PRODUCTOS[#All], 4, FALSE) * GENERAL[[#This Row],[CANTIDAD]])</f>
        <v>386.27</v>
      </c>
      <c r="T263" s="8"/>
    </row>
    <row r="264" spans="2:20" x14ac:dyDescent="0.2">
      <c r="B264" s="11" t="str">
        <f>IF(PRODUCTOS[[#This Row],[CODIGO]]="", "", PRODUCTOS[[#This Row],[CODIGO]])</f>
        <v>FER-GUAREF-12</v>
      </c>
      <c r="C264" s="6" t="str">
        <f>IF(GENERAL[[#This Row],[CODIGO]]="", "", VLOOKUP(GENERAL[[#This Row],[CODIGO]], PRODUCTOS[#All], 2, FALSE))</f>
        <v>Guardacabo ref. 1/2"</v>
      </c>
      <c r="D26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264" s="28" t="str">
        <f>IFERROR(IF(GENERAL[[#This Row],[CANTIDAD]]=0, "AGOTADO", IF(GENERAL[[#This Row],[CANTIDAD]]&lt;VLOOKUP(GENERAL[[#This Row],[CODIGO]], PRODUCTOS[#All], 3, FALSE), "MENOR AL MINIMO", "")), "")</f>
        <v/>
      </c>
      <c r="F264" s="39">
        <f>IF(OR(GENERAL[[#This Row],[CODIGO]]="", GENERAL[[#This Row],[CANTIDAD]]=""), "", VLOOKUP(GENERAL[[#This Row],[CODIGO]], PRODUCTOS[#All], 4, FALSE) * GENERAL[[#This Row],[CANTIDAD]])</f>
        <v>104.5</v>
      </c>
      <c r="T264" s="8"/>
    </row>
    <row r="265" spans="2:20" x14ac:dyDescent="0.2">
      <c r="B265" s="11" t="str">
        <f>IF(PRODUCTOS[[#This Row],[CODIGO]]="", "", PRODUCTOS[[#This Row],[CODIGO]])</f>
        <v>FER-GUAREF-34</v>
      </c>
      <c r="C265" s="6" t="str">
        <f>IF(GENERAL[[#This Row],[CODIGO]]="", "", VLOOKUP(GENERAL[[#This Row],[CODIGO]], PRODUCTOS[#All], 2, FALSE))</f>
        <v>Guardacabo ref. 3/4"</v>
      </c>
      <c r="D26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265" s="28" t="str">
        <f>IFERROR(IF(GENERAL[[#This Row],[CANTIDAD]]=0, "AGOTADO", IF(GENERAL[[#This Row],[CANTIDAD]]&lt;VLOOKUP(GENERAL[[#This Row],[CODIGO]], PRODUCTOS[#All], 3, FALSE), "MENOR AL MINIMO", "")), "")</f>
        <v/>
      </c>
      <c r="F265" s="39">
        <f>IF(OR(GENERAL[[#This Row],[CODIGO]]="", GENERAL[[#This Row],[CANTIDAD]]=""), "", VLOOKUP(GENERAL[[#This Row],[CODIGO]], PRODUCTOS[#All], 4, FALSE) * GENERAL[[#This Row],[CANTIDAD]])</f>
        <v>177</v>
      </c>
      <c r="T265" s="8"/>
    </row>
    <row r="266" spans="2:20" x14ac:dyDescent="0.2">
      <c r="B266" s="11" t="str">
        <f>IF(PRODUCTOS[[#This Row],[CODIGO]]="", "", PRODUCTOS[[#This Row],[CODIGO]])</f>
        <v>FER-GUAREF-38</v>
      </c>
      <c r="C266" s="6" t="str">
        <f>IF(GENERAL[[#This Row],[CODIGO]]="", "", VLOOKUP(GENERAL[[#This Row],[CODIGO]], PRODUCTOS[#All], 2, FALSE))</f>
        <v>Guardacabo ref. 3/8"</v>
      </c>
      <c r="D26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266" s="28" t="str">
        <f>IFERROR(IF(GENERAL[[#This Row],[CANTIDAD]]=0, "AGOTADO", IF(GENERAL[[#This Row],[CANTIDAD]]&lt;VLOOKUP(GENERAL[[#This Row],[CODIGO]], PRODUCTOS[#All], 3, FALSE), "MENOR AL MINIMO", "")), "")</f>
        <v/>
      </c>
      <c r="F266" s="39">
        <f>IF(OR(GENERAL[[#This Row],[CODIGO]]="", GENERAL[[#This Row],[CANTIDAD]]=""), "", VLOOKUP(GENERAL[[#This Row],[CODIGO]], PRODUCTOS[#All], 4, FALSE) * GENERAL[[#This Row],[CANTIDAD]])</f>
        <v>41.2</v>
      </c>
      <c r="T266" s="8"/>
    </row>
    <row r="267" spans="2:20" x14ac:dyDescent="0.2">
      <c r="B267" s="11" t="str">
        <f>IF(PRODUCTOS[[#This Row],[CODIGO]]="", "", PRODUCTOS[[#This Row],[CODIGO]])</f>
        <v>FER-GUAREF-58</v>
      </c>
      <c r="C267" s="6" t="str">
        <f>IF(GENERAL[[#This Row],[CODIGO]]="", "", VLOOKUP(GENERAL[[#This Row],[CODIGO]], PRODUCTOS[#All], 2, FALSE))</f>
        <v xml:space="preserve">Guardacabo ref. 5/8" </v>
      </c>
      <c r="D26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267" s="28" t="str">
        <f>IFERROR(IF(GENERAL[[#This Row],[CANTIDAD]]=0, "AGOTADO", IF(GENERAL[[#This Row],[CANTIDAD]]&lt;VLOOKUP(GENERAL[[#This Row],[CODIGO]], PRODUCTOS[#All], 3, FALSE), "MENOR AL MINIMO", "")), "")</f>
        <v/>
      </c>
      <c r="F267" s="39">
        <f>IF(OR(GENERAL[[#This Row],[CODIGO]]="", GENERAL[[#This Row],[CANTIDAD]]=""), "", VLOOKUP(GENERAL[[#This Row],[CODIGO]], PRODUCTOS[#All], 4, FALSE) * GENERAL[[#This Row],[CANTIDAD]])</f>
        <v>271.8</v>
      </c>
      <c r="T267" s="8"/>
    </row>
    <row r="268" spans="2:20" x14ac:dyDescent="0.2">
      <c r="B268" s="11" t="str">
        <f>IF(PRODUCTOS[[#This Row],[CODIGO]]="", "", PRODUCTOS[[#This Row],[CODIGO]])</f>
        <v>FER-HACAZ-038</v>
      </c>
      <c r="C268" s="6" t="str">
        <f>IF(GENERAL[[#This Row],[CODIGO]]="", "", VLOOKUP(GENERAL[[#This Row],[CODIGO]], PRODUCTOS[#All], 2, FALSE))</f>
        <v xml:space="preserve">Hacha cazadora </v>
      </c>
      <c r="D26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68" s="28" t="str">
        <f>IFERROR(IF(GENERAL[[#This Row],[CANTIDAD]]=0, "AGOTADO", IF(GENERAL[[#This Row],[CANTIDAD]]&lt;VLOOKUP(GENERAL[[#This Row],[CODIGO]], PRODUCTOS[#All], 3, FALSE), "MENOR AL MINIMO", "")), "")</f>
        <v/>
      </c>
      <c r="F268" s="39">
        <f>IF(OR(GENERAL[[#This Row],[CODIGO]]="", GENERAL[[#This Row],[CANTIDAD]]=""), "", VLOOKUP(GENERAL[[#This Row],[CODIGO]], PRODUCTOS[#All], 4, FALSE) * GENERAL[[#This Row],[CANTIDAD]])</f>
        <v>185</v>
      </c>
      <c r="T268" s="8"/>
    </row>
    <row r="269" spans="2:20" x14ac:dyDescent="0.2">
      <c r="B269" s="11" t="str">
        <f>IF(PRODUCTOS[[#This Row],[CODIGO]]="", "", PRODUCTOS[[#This Row],[CODIGO]])</f>
        <v>FER-HELEV-366</v>
      </c>
      <c r="C269" s="6" t="str">
        <f>IF(GENERAL[[#This Row],[CODIGO]]="", "", VLOOKUP(GENERAL[[#This Row],[CODIGO]], PRODUCTOS[#All], 2, FALSE))</f>
        <v>Hebilla de leva 3.66m</v>
      </c>
      <c r="D26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69" s="28" t="str">
        <f>IFERROR(IF(GENERAL[[#This Row],[CANTIDAD]]=0, "AGOTADO", IF(GENERAL[[#This Row],[CANTIDAD]]&lt;VLOOKUP(GENERAL[[#This Row],[CODIGO]], PRODUCTOS[#All], 3, FALSE), "MENOR AL MINIMO", "")), "")</f>
        <v/>
      </c>
      <c r="F269" s="39">
        <f>IF(OR(GENERAL[[#This Row],[CODIGO]]="", GENERAL[[#This Row],[CANTIDAD]]=""), "", VLOOKUP(GENERAL[[#This Row],[CODIGO]], PRODUCTOS[#All], 4, FALSE) * GENERAL[[#This Row],[CANTIDAD]])</f>
        <v>345</v>
      </c>
      <c r="T269" s="8"/>
    </row>
    <row r="270" spans="2:20" x14ac:dyDescent="0.2">
      <c r="B270" s="11" t="str">
        <f>IF(PRODUCTOS[[#This Row],[CODIGO]]="", "", PRODUCTOS[[#This Row],[CODIGO]])</f>
        <v>FER-HELEV-823</v>
      </c>
      <c r="C270" s="6" t="str">
        <f>IF(GENERAL[[#This Row],[CODIGO]]="", "", VLOOKUP(GENERAL[[#This Row],[CODIGO]], PRODUCTOS[#All], 2, FALSE))</f>
        <v>Hebilla de leva 8.23m</v>
      </c>
      <c r="D27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70" s="28" t="str">
        <f>IFERROR(IF(GENERAL[[#This Row],[CANTIDAD]]=0, "AGOTADO", IF(GENERAL[[#This Row],[CANTIDAD]]&lt;VLOOKUP(GENERAL[[#This Row],[CODIGO]], PRODUCTOS[#All], 3, FALSE), "MENOR AL MINIMO", "")), "")</f>
        <v/>
      </c>
      <c r="F270" s="39">
        <f>IF(OR(GENERAL[[#This Row],[CODIGO]]="", GENERAL[[#This Row],[CANTIDAD]]=""), "", VLOOKUP(GENERAL[[#This Row],[CODIGO]], PRODUCTOS[#All], 4, FALSE) * GENERAL[[#This Row],[CANTIDAD]])</f>
        <v>0</v>
      </c>
      <c r="T270" s="8"/>
    </row>
    <row r="271" spans="2:20" x14ac:dyDescent="0.2">
      <c r="B271" s="11" t="str">
        <f>IF(PRODUCTOS[[#This Row],[CODIGO]]="", "", PRODUCTOS[[#This Row],[CODIGO]])</f>
        <v>FER-HIPDESB-2.4MM</v>
      </c>
      <c r="C271" s="6" t="str">
        <f>IF(GENERAL[[#This Row],[CODIGO]]="", "", VLOOKUP(GENERAL[[#This Row],[CODIGO]], PRODUCTOS[#All], 2, FALSE))</f>
        <v>Hilo redondo para desbrosadora 2.4mm</v>
      </c>
      <c r="D27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71" s="28" t="str">
        <f>IFERROR(IF(GENERAL[[#This Row],[CANTIDAD]]=0, "AGOTADO", IF(GENERAL[[#This Row],[CANTIDAD]]&lt;VLOOKUP(GENERAL[[#This Row],[CODIGO]], PRODUCTOS[#All], 3, FALSE), "MENOR AL MINIMO", "")), "")</f>
        <v/>
      </c>
      <c r="F271" s="39">
        <f>IF(OR(GENERAL[[#This Row],[CODIGO]]="", GENERAL[[#This Row],[CANTIDAD]]=""), "", VLOOKUP(GENERAL[[#This Row],[CODIGO]], PRODUCTOS[#All], 4, FALSE) * GENERAL[[#This Row],[CANTIDAD]])</f>
        <v>127</v>
      </c>
      <c r="T271" s="8"/>
    </row>
    <row r="272" spans="2:20" x14ac:dyDescent="0.2">
      <c r="B272" s="11" t="str">
        <f>IF(PRODUCTOS[[#This Row],[CODIGO]]="", "", PRODUCTOS[[#This Row],[CODIGO]])</f>
        <v>FER-HIPDESB-2.7MM</v>
      </c>
      <c r="C272" s="6" t="str">
        <f>IF(GENERAL[[#This Row],[CODIGO]]="", "", VLOOKUP(GENERAL[[#This Row],[CODIGO]], PRODUCTOS[#All], 2, FALSE))</f>
        <v>Hilo redondo para desobrosadora 2.7mm</v>
      </c>
      <c r="D27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72" s="28" t="str">
        <f>IFERROR(IF(GENERAL[[#This Row],[CANTIDAD]]=0, "AGOTADO", IF(GENERAL[[#This Row],[CANTIDAD]]&lt;VLOOKUP(GENERAL[[#This Row],[CODIGO]], PRODUCTOS[#All], 3, FALSE), "MENOR AL MINIMO", "")), "")</f>
        <v/>
      </c>
      <c r="F272" s="39">
        <f>IF(OR(GENERAL[[#This Row],[CODIGO]]="", GENERAL[[#This Row],[CANTIDAD]]=""), "", VLOOKUP(GENERAL[[#This Row],[CODIGO]], PRODUCTOS[#All], 4, FALSE) * GENERAL[[#This Row],[CANTIDAD]])</f>
        <v>62</v>
      </c>
      <c r="T272" s="8"/>
    </row>
    <row r="273" spans="2:20" x14ac:dyDescent="0.2">
      <c r="B273" s="11" t="str">
        <f>IF(PRODUCTOS[[#This Row],[CODIGO]]="", "", PRODUCTOS[[#This Row],[CODIGO]])</f>
        <v>FER-IMFL-085</v>
      </c>
      <c r="C273" s="6" t="str">
        <f>IF(GENERAL[[#This Row],[CODIGO]]="", "", VLOOKUP(GENERAL[[#This Row],[CODIGO]], PRODUCTOS[#All], 2, FALSE))</f>
        <v>Imán flexible con Led truper</v>
      </c>
      <c r="D27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73" s="28" t="str">
        <f>IFERROR(IF(GENERAL[[#This Row],[CANTIDAD]]=0, "AGOTADO", IF(GENERAL[[#This Row],[CANTIDAD]]&lt;VLOOKUP(GENERAL[[#This Row],[CODIGO]], PRODUCTOS[#All], 3, FALSE), "MENOR AL MINIMO", "")), "")</f>
        <v/>
      </c>
      <c r="F273" s="39">
        <f>IF(OR(GENERAL[[#This Row],[CODIGO]]="", GENERAL[[#This Row],[CANTIDAD]]=""), "", VLOOKUP(GENERAL[[#This Row],[CODIGO]], PRODUCTOS[#All], 4, FALSE) * GENERAL[[#This Row],[CANTIDAD]])</f>
        <v>0</v>
      </c>
      <c r="T273" s="8"/>
    </row>
    <row r="274" spans="2:20" x14ac:dyDescent="0.2">
      <c r="B274" s="11" t="str">
        <f>IF(PRODUCTOS[[#This Row],[CODIGO]]="", "", PRODUCTOS[[#This Row],[CODIGO]])</f>
        <v>FER-INTSYEMENS-045</v>
      </c>
      <c r="C274" s="6" t="str">
        <f>IF(GENERAL[[#This Row],[CODIGO]]="", "", VLOOKUP(GENERAL[[#This Row],[CODIGO]], PRODUCTOS[#All], 2, FALSE))</f>
        <v>Gab. De Interruptores (SYEMENS)</v>
      </c>
      <c r="D27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274" s="28" t="str">
        <f>IFERROR(IF(GENERAL[[#This Row],[CANTIDAD]]=0, "AGOTADO", IF(GENERAL[[#This Row],[CANTIDAD]]&lt;VLOOKUP(GENERAL[[#This Row],[CODIGO]], PRODUCTOS[#All], 3, FALSE), "MENOR AL MINIMO", "")), "")</f>
        <v/>
      </c>
      <c r="F274" s="39">
        <f>IF(OR(GENERAL[[#This Row],[CODIGO]]="", GENERAL[[#This Row],[CANTIDAD]]=""), "", VLOOKUP(GENERAL[[#This Row],[CODIGO]], PRODUCTOS[#All], 4, FALSE) * GENERAL[[#This Row],[CANTIDAD]])</f>
        <v>1360</v>
      </c>
      <c r="T274" s="8"/>
    </row>
    <row r="275" spans="2:20" x14ac:dyDescent="0.2">
      <c r="B275" s="11" t="str">
        <f>IF(PRODUCTOS[[#This Row],[CODIGO]]="", "", PRODUCTOS[[#This Row],[CODIGO]])</f>
        <v>FER-JDESELEC-035</v>
      </c>
      <c r="C275" s="6" t="str">
        <f>IF(GENERAL[[#This Row],[CODIGO]]="", "", VLOOKUP(GENERAL[[#This Row],[CODIGO]], PRODUCTOS[#All], 2, FALSE))</f>
        <v xml:space="preserve">Juego de desarmadores electrico </v>
      </c>
      <c r="D27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75" s="28" t="str">
        <f>IFERROR(IF(GENERAL[[#This Row],[CANTIDAD]]=0, "AGOTADO", IF(GENERAL[[#This Row],[CANTIDAD]]&lt;VLOOKUP(GENERAL[[#This Row],[CODIGO]], PRODUCTOS[#All], 3, FALSE), "MENOR AL MINIMO", "")), "")</f>
        <v/>
      </c>
      <c r="F275" s="39">
        <f>IF(OR(GENERAL[[#This Row],[CODIGO]]="", GENERAL[[#This Row],[CANTIDAD]]=""), "", VLOOKUP(GENERAL[[#This Row],[CODIGO]], PRODUCTOS[#All], 4, FALSE) * GENERAL[[#This Row],[CANTIDAD]])</f>
        <v>158</v>
      </c>
      <c r="T275" s="8"/>
    </row>
    <row r="276" spans="2:20" x14ac:dyDescent="0.2">
      <c r="B276" s="11" t="str">
        <f>IF(PRODUCTOS[[#This Row],[CODIGO]]="", "", PRODUCTOS[[#This Row],[CODIGO]])</f>
        <v>FER-JGOBRO-13PZ</v>
      </c>
      <c r="C276" s="6" t="str">
        <f>IF(GENERAL[[#This Row],[CODIGO]]="", "", VLOOKUP(GENERAL[[#This Row],[CODIGO]], PRODUCTOS[#All], 2, FALSE))</f>
        <v>Juego de brocas 13  piezas truper</v>
      </c>
      <c r="D27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76" s="28" t="str">
        <f>IFERROR(IF(GENERAL[[#This Row],[CANTIDAD]]=0, "AGOTADO", IF(GENERAL[[#This Row],[CANTIDAD]]&lt;VLOOKUP(GENERAL[[#This Row],[CODIGO]], PRODUCTOS[#All], 3, FALSE), "MENOR AL MINIMO", "")), "")</f>
        <v/>
      </c>
      <c r="F276" s="39">
        <f>IF(OR(GENERAL[[#This Row],[CODIGO]]="", GENERAL[[#This Row],[CANTIDAD]]=""), "", VLOOKUP(GENERAL[[#This Row],[CODIGO]], PRODUCTOS[#All], 4, FALSE) * GENERAL[[#This Row],[CANTIDAD]])</f>
        <v>595</v>
      </c>
      <c r="T276" s="8"/>
    </row>
    <row r="277" spans="2:20" x14ac:dyDescent="0.2">
      <c r="B277" s="11" t="str">
        <f>IF(PRODUCTOS[[#This Row],[CODIGO]]="", "", PRODUCTOS[[#This Row],[CODIGO]])</f>
        <v>FER-JGOBRO-15PZ</v>
      </c>
      <c r="C277" s="6" t="str">
        <f>IF(GENERAL[[#This Row],[CODIGO]]="", "", VLOOKUP(GENERAL[[#This Row],[CODIGO]], PRODUCTOS[#All], 2, FALSE))</f>
        <v>Juego de brocas y cinceles truper (15 piezas)</v>
      </c>
      <c r="D27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77" s="28" t="str">
        <f>IFERROR(IF(GENERAL[[#This Row],[CANTIDAD]]=0, "AGOTADO", IF(GENERAL[[#This Row],[CANTIDAD]]&lt;VLOOKUP(GENERAL[[#This Row],[CODIGO]], PRODUCTOS[#All], 3, FALSE), "MENOR AL MINIMO", "")), "")</f>
        <v/>
      </c>
      <c r="F277" s="39">
        <f>IF(OR(GENERAL[[#This Row],[CODIGO]]="", GENERAL[[#This Row],[CANTIDAD]]=""), "", VLOOKUP(GENERAL[[#This Row],[CODIGO]], PRODUCTOS[#All], 4, FALSE) * GENERAL[[#This Row],[CANTIDAD]])</f>
        <v>995</v>
      </c>
      <c r="T277" s="8"/>
    </row>
    <row r="278" spans="2:20" x14ac:dyDescent="0.2">
      <c r="B278" s="11" t="str">
        <f>IF(PRODUCTOS[[#This Row],[CODIGO]]="", "", PRODUCTOS[[#This Row],[CODIGO]])</f>
        <v>FER-JGOBRO-75PZ</v>
      </c>
      <c r="C278" s="6" t="str">
        <f>IF(GENERAL[[#This Row],[CODIGO]]="", "", VLOOKUP(GENERAL[[#This Row],[CODIGO]], PRODUCTOS[#All], 2, FALSE))</f>
        <v xml:space="preserve">Juego de 75 accesorios Makita (brocas) </v>
      </c>
      <c r="D27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78" s="28" t="str">
        <f>IFERROR(IF(GENERAL[[#This Row],[CANTIDAD]]=0, "AGOTADO", IF(GENERAL[[#This Row],[CANTIDAD]]&lt;VLOOKUP(GENERAL[[#This Row],[CODIGO]], PRODUCTOS[#All], 3, FALSE), "MENOR AL MINIMO", "")), "")</f>
        <v/>
      </c>
      <c r="F278" s="39">
        <f>IF(OR(GENERAL[[#This Row],[CODIGO]]="", GENERAL[[#This Row],[CANTIDAD]]=""), "", VLOOKUP(GENERAL[[#This Row],[CODIGO]], PRODUCTOS[#All], 4, FALSE) * GENERAL[[#This Row],[CANTIDAD]])</f>
        <v>891.05</v>
      </c>
      <c r="T278" s="8"/>
    </row>
    <row r="279" spans="2:20" x14ac:dyDescent="0.2">
      <c r="B279" s="11" t="str">
        <f>IF(PRODUCTOS[[#This Row],[CODIGO]]="", "", PRODUCTOS[[#This Row],[CODIGO]])</f>
        <v>FER-JGOBROES-10PZ</v>
      </c>
      <c r="C279" s="6" t="str">
        <f>IF(GENERAL[[#This Row],[CODIGO]]="", "", VLOOKUP(GENERAL[[#This Row],[CODIGO]], PRODUCTOS[#All], 2, FALSE))</f>
        <v>Juego de brocas 10 piezas truper c/estuche</v>
      </c>
      <c r="D27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79" s="28" t="str">
        <f>IFERROR(IF(GENERAL[[#This Row],[CANTIDAD]]=0, "AGOTADO", IF(GENERAL[[#This Row],[CANTIDAD]]&lt;VLOOKUP(GENERAL[[#This Row],[CODIGO]], PRODUCTOS[#All], 3, FALSE), "MENOR AL MINIMO", "")), "")</f>
        <v/>
      </c>
      <c r="F279" s="39">
        <f>IF(OR(GENERAL[[#This Row],[CODIGO]]="", GENERAL[[#This Row],[CANTIDAD]]=""), "", VLOOKUP(GENERAL[[#This Row],[CODIGO]], PRODUCTOS[#All], 4, FALSE) * GENERAL[[#This Row],[CANTIDAD]])</f>
        <v>299</v>
      </c>
      <c r="T279" s="8"/>
    </row>
    <row r="280" spans="2:20" x14ac:dyDescent="0.2">
      <c r="B280" s="11" t="str">
        <f>IF(PRODUCTOS[[#This Row],[CODIGO]]="", "", PRODUCTOS[[#This Row],[CODIGO]])</f>
        <v>FER-JGOBROES-13PZ</v>
      </c>
      <c r="C280" s="6" t="str">
        <f>IF(GENERAL[[#This Row],[CODIGO]]="", "", VLOOKUP(GENERAL[[#This Row],[CODIGO]], PRODUCTOS[#All], 2, FALSE))</f>
        <v xml:space="preserve">Juego de brocas 13 piezas truper c/estuche </v>
      </c>
      <c r="D28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80" s="28" t="str">
        <f>IFERROR(IF(GENERAL[[#This Row],[CANTIDAD]]=0, "AGOTADO", IF(GENERAL[[#This Row],[CANTIDAD]]&lt;VLOOKUP(GENERAL[[#This Row],[CODIGO]], PRODUCTOS[#All], 3, FALSE), "MENOR AL MINIMO", "")), "")</f>
        <v/>
      </c>
      <c r="F280" s="39">
        <f>IF(OR(GENERAL[[#This Row],[CODIGO]]="", GENERAL[[#This Row],[CANTIDAD]]=""), "", VLOOKUP(GENERAL[[#This Row],[CODIGO]], PRODUCTOS[#All], 4, FALSE) * GENERAL[[#This Row],[CANTIDAD]])</f>
        <v>439</v>
      </c>
      <c r="T280" s="8"/>
    </row>
    <row r="281" spans="2:20" x14ac:dyDescent="0.2">
      <c r="B281" s="11" t="str">
        <f>IF(PRODUCTOS[[#This Row],[CODIGO]]="", "", PRODUCTOS[[#This Row],[CODIGO]])</f>
        <v>FER-JUDESA-8PZ</v>
      </c>
      <c r="C281" s="6" t="str">
        <f>IF(GENERAL[[#This Row],[CODIGO]]="", "", VLOOKUP(GENERAL[[#This Row],[CODIGO]], PRODUCTOS[#All], 2, FALSE))</f>
        <v>Juego de desarmadores 8pzs (5 planos, 3 cruz)</v>
      </c>
      <c r="D28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81" s="28" t="str">
        <f>IFERROR(IF(GENERAL[[#This Row],[CANTIDAD]]=0, "AGOTADO", IF(GENERAL[[#This Row],[CANTIDAD]]&lt;VLOOKUP(GENERAL[[#This Row],[CODIGO]], PRODUCTOS[#All], 3, FALSE), "MENOR AL MINIMO", "")), "")</f>
        <v/>
      </c>
      <c r="F281" s="39">
        <f>IF(OR(GENERAL[[#This Row],[CODIGO]]="", GENERAL[[#This Row],[CANTIDAD]]=""), "", VLOOKUP(GENERAL[[#This Row],[CODIGO]], PRODUCTOS[#All], 4, FALSE) * GENERAL[[#This Row],[CANTIDAD]])</f>
        <v>187</v>
      </c>
      <c r="T281" s="8"/>
    </row>
    <row r="282" spans="2:20" x14ac:dyDescent="0.2">
      <c r="B282" s="11" t="str">
        <f>IF(PRODUCTOS[[#This Row],[CODIGO]]="", "", PRODUCTOS[[#This Row],[CODIGO]])</f>
        <v>FER-JUEGA-21</v>
      </c>
      <c r="C282" s="6" t="str">
        <f>IF(GENERAL[[#This Row],[CODIGO]]="", "", VLOOKUP(GENERAL[[#This Row],[CODIGO]], PRODUCTOS[#All], 2, FALSE))</f>
        <v>Juego de taladros impacto/atornillador IRONHOOF  21V</v>
      </c>
      <c r="D28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82" s="28" t="str">
        <f>IFERROR(IF(GENERAL[[#This Row],[CANTIDAD]]=0, "AGOTADO", IF(GENERAL[[#This Row],[CANTIDAD]]&lt;VLOOKUP(GENERAL[[#This Row],[CODIGO]], PRODUCTOS[#All], 3, FALSE), "MENOR AL MINIMO", "")), "")</f>
        <v/>
      </c>
      <c r="F282" s="39">
        <f>IF(OR(GENERAL[[#This Row],[CODIGO]]="", GENERAL[[#This Row],[CANTIDAD]]=""), "", VLOOKUP(GENERAL[[#This Row],[CODIGO]], PRODUCTOS[#All], 4, FALSE) * GENERAL[[#This Row],[CANTIDAD]])</f>
        <v>1500</v>
      </c>
      <c r="T282" s="8"/>
    </row>
    <row r="283" spans="2:20" x14ac:dyDescent="0.2">
      <c r="B283" s="11" t="str">
        <f>IF(PRODUCTOS[[#This Row],[CODIGO]]="", "", PRODUCTOS[[#This Row],[CODIGO]])</f>
        <v>FER-JUEGA-38</v>
      </c>
      <c r="C283" s="6" t="str">
        <f>IF(GENERAL[[#This Row],[CODIGO]]="", "", VLOOKUP(GENERAL[[#This Row],[CODIGO]], PRODUCTOS[#All], 2, FALSE))</f>
        <v>Juego de dados stanley 3/8- 1/4, 4mm - 19mm, 3/16 - 11/16</v>
      </c>
      <c r="D28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83" s="28" t="str">
        <f>IFERROR(IF(GENERAL[[#This Row],[CANTIDAD]]=0, "AGOTADO", IF(GENERAL[[#This Row],[CANTIDAD]]&lt;VLOOKUP(GENERAL[[#This Row],[CODIGO]], PRODUCTOS[#All], 3, FALSE), "MENOR AL MINIMO", "")), "")</f>
        <v/>
      </c>
      <c r="F283" s="39">
        <f>IF(OR(GENERAL[[#This Row],[CODIGO]]="", GENERAL[[#This Row],[CANTIDAD]]=""), "", VLOOKUP(GENERAL[[#This Row],[CODIGO]], PRODUCTOS[#All], 4, FALSE) * GENERAL[[#This Row],[CANTIDAD]])</f>
        <v>0</v>
      </c>
      <c r="T283" s="8"/>
    </row>
    <row r="284" spans="2:20" x14ac:dyDescent="0.2">
      <c r="B284" s="11" t="str">
        <f>IF(PRODUCTOS[[#This Row],[CODIGO]]="", "", PRODUCTOS[[#This Row],[CODIGO]])</f>
        <v>FER-JUEPUN-10PZ</v>
      </c>
      <c r="C284" s="6" t="str">
        <f>IF(GENERAL[[#This Row],[CODIGO]]="", "", VLOOKUP(GENERAL[[#This Row],[CODIGO]], PRODUCTOS[#All], 2, FALSE))</f>
        <v>Juego de puntas de 10pzs.</v>
      </c>
      <c r="D28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84" s="28" t="str">
        <f>IFERROR(IF(GENERAL[[#This Row],[CANTIDAD]]=0, "AGOTADO", IF(GENERAL[[#This Row],[CANTIDAD]]&lt;VLOOKUP(GENERAL[[#This Row],[CODIGO]], PRODUCTOS[#All], 3, FALSE), "MENOR AL MINIMO", "")), "")</f>
        <v/>
      </c>
      <c r="F284" s="39">
        <f>IF(OR(GENERAL[[#This Row],[CODIGO]]="", GENERAL[[#This Row],[CANTIDAD]]=""), "", VLOOKUP(GENERAL[[#This Row],[CODIGO]], PRODUCTOS[#All], 4, FALSE) * GENERAL[[#This Row],[CANTIDAD]])</f>
        <v>0</v>
      </c>
      <c r="T284" s="8"/>
    </row>
    <row r="285" spans="2:20" x14ac:dyDescent="0.2">
      <c r="B285" s="11" t="str">
        <f>IF(PRODUCTOS[[#This Row],[CODIGO]]="", "", PRODUCTOS[[#This Row],[CODIGO]])</f>
        <v>FER-JUEPUN-20PZ</v>
      </c>
      <c r="C285" s="6" t="str">
        <f>IF(GENERAL[[#This Row],[CODIGO]]="", "", VLOOKUP(GENERAL[[#This Row],[CODIGO]], PRODUCTOS[#All], 2, FALSE))</f>
        <v xml:space="preserve">Juego de puntas de 20pzs. </v>
      </c>
      <c r="D28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85" s="28" t="str">
        <f>IFERROR(IF(GENERAL[[#This Row],[CANTIDAD]]=0, "AGOTADO", IF(GENERAL[[#This Row],[CANTIDAD]]&lt;VLOOKUP(GENERAL[[#This Row],[CODIGO]], PRODUCTOS[#All], 3, FALSE), "MENOR AL MINIMO", "")), "")</f>
        <v/>
      </c>
      <c r="F285" s="39">
        <f>IF(OR(GENERAL[[#This Row],[CODIGO]]="", GENERAL[[#This Row],[CANTIDAD]]=""), "", VLOOKUP(GENERAL[[#This Row],[CODIGO]], PRODUCTOS[#All], 4, FALSE) * GENERAL[[#This Row],[CANTIDAD]])</f>
        <v>0</v>
      </c>
      <c r="T285" s="8"/>
    </row>
    <row r="286" spans="2:20" x14ac:dyDescent="0.2">
      <c r="B286" s="11" t="str">
        <f>IF(PRODUCTOS[[#This Row],[CODIGO]]="", "", PRODUCTOS[[#This Row],[CODIGO]])</f>
        <v>FER-KITDES-18PZS</v>
      </c>
      <c r="C286" s="6" t="str">
        <f>IF(GENERAL[[#This Row],[CODIGO]]="", "", VLOOKUP(GENERAL[[#This Row],[CODIGO]], PRODUCTOS[#All], 2, FALSE))</f>
        <v>Kit de desarmadores 18pzs (estuche negro)</v>
      </c>
      <c r="D28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86" s="28" t="str">
        <f>IFERROR(IF(GENERAL[[#This Row],[CANTIDAD]]=0, "AGOTADO", IF(GENERAL[[#This Row],[CANTIDAD]]&lt;VLOOKUP(GENERAL[[#This Row],[CODIGO]], PRODUCTOS[#All], 3, FALSE), "MENOR AL MINIMO", "")), "")</f>
        <v/>
      </c>
      <c r="F286" s="39">
        <f>IF(OR(GENERAL[[#This Row],[CODIGO]]="", GENERAL[[#This Row],[CANTIDAD]]=""), "", VLOOKUP(GENERAL[[#This Row],[CODIGO]], PRODUCTOS[#All], 4, FALSE) * GENERAL[[#This Row],[CANTIDAD]])</f>
        <v>0</v>
      </c>
      <c r="T286" s="8"/>
    </row>
    <row r="287" spans="2:20" x14ac:dyDescent="0.2">
      <c r="B287" s="11" t="str">
        <f>IF(PRODUCTOS[[#This Row],[CODIGO]]="", "", PRODUCTOS[[#This Row],[CODIGO]])</f>
        <v>FER-LIMDES-454ML</v>
      </c>
      <c r="C287" s="6" t="str">
        <f>IF(GENERAL[[#This Row],[CODIGO]]="", "", VLOOKUP(GENERAL[[#This Row],[CODIGO]], PRODUCTOS[#All], 2, FALSE))</f>
        <v>Limpiador y desengrasante alto poder 454ml</v>
      </c>
      <c r="D28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87" s="28" t="str">
        <f>IFERROR(IF(GENERAL[[#This Row],[CANTIDAD]]=0, "AGOTADO", IF(GENERAL[[#This Row],[CANTIDAD]]&lt;VLOOKUP(GENERAL[[#This Row],[CODIGO]], PRODUCTOS[#All], 3, FALSE), "MENOR AL MINIMO", "")), "")</f>
        <v/>
      </c>
      <c r="F287" s="39">
        <f>IF(OR(GENERAL[[#This Row],[CODIGO]]="", GENERAL[[#This Row],[CANTIDAD]]=""), "", VLOOKUP(GENERAL[[#This Row],[CODIGO]], PRODUCTOS[#All], 4, FALSE) * GENERAL[[#This Row],[CANTIDAD]])</f>
        <v>152</v>
      </c>
      <c r="T287" s="8"/>
    </row>
    <row r="288" spans="2:20" x14ac:dyDescent="0.2">
      <c r="B288" s="11" t="str">
        <f>IF(PRODUCTOS[[#This Row],[CODIGO]]="", "", PRODUCTOS[[#This Row],[CODIGO]])</f>
        <v>FER-LIMESC8-028</v>
      </c>
      <c r="C288" s="6" t="str">
        <f>IF(GENERAL[[#This Row],[CODIGO]]="", "", VLOOKUP(GENERAL[[#This Row],[CODIGO]], PRODUCTOS[#All], 2, FALSE))</f>
        <v>Lima escofina media caña 8" truper</v>
      </c>
      <c r="D28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88" s="28" t="str">
        <f>IFERROR(IF(GENERAL[[#This Row],[CANTIDAD]]=0, "AGOTADO", IF(GENERAL[[#This Row],[CANTIDAD]]&lt;VLOOKUP(GENERAL[[#This Row],[CODIGO]], PRODUCTOS[#All], 3, FALSE), "MENOR AL MINIMO", "")), "")</f>
        <v/>
      </c>
      <c r="F288" s="39">
        <f>IF(OR(GENERAL[[#This Row],[CODIGO]]="", GENERAL[[#This Row],[CANTIDAD]]=""), "", VLOOKUP(GENERAL[[#This Row],[CODIGO]], PRODUCTOS[#All], 4, FALSE) * GENERAL[[#This Row],[CANTIDAD]])</f>
        <v>122</v>
      </c>
      <c r="T288" s="8"/>
    </row>
    <row r="289" spans="2:20" x14ac:dyDescent="0.2">
      <c r="B289" s="11" t="str">
        <f>IF(PRODUCTOS[[#This Row],[CODIGO]]="", "", PRODUCTOS[[#This Row],[CODIGO]])</f>
        <v>FER-LIMMACH8-030</v>
      </c>
      <c r="C289" s="6" t="str">
        <f>IF(GENERAL[[#This Row],[CODIGO]]="", "", VLOOKUP(GENERAL[[#This Row],[CODIGO]], PRODUCTOS[#All], 2, FALSE))</f>
        <v>Lima triangular p/machete 8" truper</v>
      </c>
      <c r="D28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89" s="28" t="str">
        <f>IFERROR(IF(GENERAL[[#This Row],[CANTIDAD]]=0, "AGOTADO", IF(GENERAL[[#This Row],[CANTIDAD]]&lt;VLOOKUP(GENERAL[[#This Row],[CODIGO]], PRODUCTOS[#All], 3, FALSE), "MENOR AL MINIMO", "")), "")</f>
        <v/>
      </c>
      <c r="F289" s="39">
        <f>IF(OR(GENERAL[[#This Row],[CODIGO]]="", GENERAL[[#This Row],[CANTIDAD]]=""), "", VLOOKUP(GENERAL[[#This Row],[CODIGO]], PRODUCTOS[#All], 4, FALSE) * GENERAL[[#This Row],[CANTIDAD]])</f>
        <v>174</v>
      </c>
      <c r="T289" s="8"/>
    </row>
    <row r="290" spans="2:20" x14ac:dyDescent="0.2">
      <c r="B290" s="11" t="str">
        <f>IF(PRODUCTOS[[#This Row],[CODIGO]]="", "", PRODUCTOS[[#This Row],[CODIGO]])</f>
        <v>FER-LIMPLBA6-027</v>
      </c>
      <c r="C290" s="6" t="str">
        <f>IF(GENERAL[[#This Row],[CODIGO]]="", "", VLOOKUP(GENERAL[[#This Row],[CODIGO]], PRODUCTOS[#All], 2, FALSE))</f>
        <v>Lima plana bastarda 6"</v>
      </c>
      <c r="D29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90" s="28" t="str">
        <f>IFERROR(IF(GENERAL[[#This Row],[CANTIDAD]]=0, "AGOTADO", IF(GENERAL[[#This Row],[CANTIDAD]]&lt;VLOOKUP(GENERAL[[#This Row],[CODIGO]], PRODUCTOS[#All], 3, FALSE), "MENOR AL MINIMO", "")), "")</f>
        <v/>
      </c>
      <c r="F290" s="39">
        <f>IF(OR(GENERAL[[#This Row],[CODIGO]]="", GENERAL[[#This Row],[CANTIDAD]]=""), "", VLOOKUP(GENERAL[[#This Row],[CODIGO]], PRODUCTOS[#All], 4, FALSE) * GENERAL[[#This Row],[CANTIDAD]])</f>
        <v>190</v>
      </c>
      <c r="T290" s="8"/>
    </row>
    <row r="291" spans="2:20" x14ac:dyDescent="0.2">
      <c r="B291" s="11" t="str">
        <f>IF(PRODUCTOS[[#This Row],[CODIGO]]="", "", PRODUCTOS[[#This Row],[CODIGO]])</f>
        <v>FER-LIMPLMU8-029</v>
      </c>
      <c r="C291" s="6" t="str">
        <f>IF(GENERAL[[#This Row],[CODIGO]]="", "", VLOOKUP(GENERAL[[#This Row],[CODIGO]], PRODUCTOS[#All], 2, FALSE))</f>
        <v>Lima plana muza 8" truper</v>
      </c>
      <c r="D29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91" s="28" t="str">
        <f>IFERROR(IF(GENERAL[[#This Row],[CANTIDAD]]=0, "AGOTADO", IF(GENERAL[[#This Row],[CANTIDAD]]&lt;VLOOKUP(GENERAL[[#This Row],[CODIGO]], PRODUCTOS[#All], 3, FALSE), "MENOR AL MINIMO", "")), "")</f>
        <v/>
      </c>
      <c r="F291" s="39">
        <f>IF(OR(GENERAL[[#This Row],[CODIGO]]="", GENERAL[[#This Row],[CANTIDAD]]=""), "", VLOOKUP(GENERAL[[#This Row],[CODIGO]], PRODUCTOS[#All], 4, FALSE) * GENERAL[[#This Row],[CANTIDAD]])</f>
        <v>70</v>
      </c>
      <c r="T291" s="8"/>
    </row>
    <row r="292" spans="2:20" x14ac:dyDescent="0.2">
      <c r="B292" s="11" t="str">
        <f>IF(PRODUCTOS[[#This Row],[CODIGO]]="", "", PRODUCTOS[[#This Row],[CODIGO]])</f>
        <v>FER-LIMRE6-031</v>
      </c>
      <c r="C292" s="6" t="str">
        <f>IF(GENERAL[[#This Row],[CODIGO]]="", "", VLOOKUP(GENERAL[[#This Row],[CODIGO]], PRODUCTOS[#All], 2, FALSE))</f>
        <v>Lima redonda 6" truper</v>
      </c>
      <c r="D29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92" s="28" t="str">
        <f>IFERROR(IF(GENERAL[[#This Row],[CANTIDAD]]=0, "AGOTADO", IF(GENERAL[[#This Row],[CANTIDAD]]&lt;VLOOKUP(GENERAL[[#This Row],[CODIGO]], PRODUCTOS[#All], 3, FALSE), "MENOR AL MINIMO", "")), "")</f>
        <v/>
      </c>
      <c r="F292" s="39">
        <f>IF(OR(GENERAL[[#This Row],[CODIGO]]="", GENERAL[[#This Row],[CANTIDAD]]=""), "", VLOOKUP(GENERAL[[#This Row],[CODIGO]], PRODUCTOS[#All], 4, FALSE) * GENERAL[[#This Row],[CANTIDAD]])</f>
        <v>81</v>
      </c>
      <c r="T292" s="8"/>
    </row>
    <row r="293" spans="2:20" x14ac:dyDescent="0.2">
      <c r="B293" s="11" t="str">
        <f>IF(PRODUCTOS[[#This Row],[CODIGO]]="", "", PRODUCTOS[[#This Row],[CODIGO]])</f>
        <v>FER-LITRI4-025</v>
      </c>
      <c r="C293" s="6" t="str">
        <f>IF(GENERAL[[#This Row],[CODIGO]]="", "", VLOOKUP(GENERAL[[#This Row],[CODIGO]], PRODUCTOS[#All], 2, FALSE))</f>
        <v>Lima triangulo 4"</v>
      </c>
      <c r="D29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93" s="28" t="str">
        <f>IFERROR(IF(GENERAL[[#This Row],[CANTIDAD]]=0, "AGOTADO", IF(GENERAL[[#This Row],[CANTIDAD]]&lt;VLOOKUP(GENERAL[[#This Row],[CODIGO]], PRODUCTOS[#All], 3, FALSE), "MENOR AL MINIMO", "")), "")</f>
        <v/>
      </c>
      <c r="F293" s="39">
        <f>IF(OR(GENERAL[[#This Row],[CODIGO]]="", GENERAL[[#This Row],[CANTIDAD]]=""), "", VLOOKUP(GENERAL[[#This Row],[CODIGO]], PRODUCTOS[#All], 4, FALSE) * GENERAL[[#This Row],[CANTIDAD]])</f>
        <v>67</v>
      </c>
      <c r="T293" s="8"/>
    </row>
    <row r="294" spans="2:20" x14ac:dyDescent="0.2">
      <c r="B294" s="11" t="str">
        <f>IF(PRODUCTOS[[#This Row],[CODIGO]]="", "", PRODUCTOS[[#This Row],[CODIGO]])</f>
        <v>FER-LLAARTI1-118</v>
      </c>
      <c r="C294" s="6" t="str">
        <f>IF(GENERAL[[#This Row],[CODIGO]]="", "", VLOOKUP(GENERAL[[#This Row],[CODIGO]], PRODUCTOS[#All], 2, FALSE))</f>
        <v>Llave de artillería 1" - 1 1/8"</v>
      </c>
      <c r="D29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94" s="28" t="str">
        <f>IFERROR(IF(GENERAL[[#This Row],[CANTIDAD]]=0, "AGOTADO", IF(GENERAL[[#This Row],[CANTIDAD]]&lt;VLOOKUP(GENERAL[[#This Row],[CODIGO]], PRODUCTOS[#All], 3, FALSE), "MENOR AL MINIMO", "")), "")</f>
        <v/>
      </c>
      <c r="F294" s="39">
        <f>IF(OR(GENERAL[[#This Row],[CODIGO]]="", GENERAL[[#This Row],[CANTIDAD]]=""), "", VLOOKUP(GENERAL[[#This Row],[CODIGO]], PRODUCTOS[#All], 4, FALSE) * GENERAL[[#This Row],[CANTIDAD]])</f>
        <v>199.31</v>
      </c>
      <c r="T294" s="8"/>
    </row>
    <row r="295" spans="2:20" x14ac:dyDescent="0.2">
      <c r="B295" s="11" t="str">
        <f>IF(PRODUCTOS[[#This Row],[CODIGO]]="", "", PRODUCTOS[[#This Row],[CODIGO]])</f>
        <v>FER-LLAARTI114-1116</v>
      </c>
      <c r="C295" s="6" t="str">
        <f>IF(GENERAL[[#This Row],[CODIGO]]="", "", VLOOKUP(GENERAL[[#This Row],[CODIGO]], PRODUCTOS[#All], 2, FALSE))</f>
        <v>Llave de artillería 1 1/4" - 1 1/16"</v>
      </c>
      <c r="D29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95" s="28" t="str">
        <f>IFERROR(IF(GENERAL[[#This Row],[CANTIDAD]]=0, "AGOTADO", IF(GENERAL[[#This Row],[CANTIDAD]]&lt;VLOOKUP(GENERAL[[#This Row],[CODIGO]], PRODUCTOS[#All], 3, FALSE), "MENOR AL MINIMO", "")), "")</f>
        <v/>
      </c>
      <c r="F295" s="39">
        <f>IF(OR(GENERAL[[#This Row],[CODIGO]]="", GENERAL[[#This Row],[CANTIDAD]]=""), "", VLOOKUP(GENERAL[[#This Row],[CODIGO]], PRODUCTOS[#All], 4, FALSE) * GENERAL[[#This Row],[CANTIDAD]])</f>
        <v>199.31</v>
      </c>
      <c r="T295" s="8"/>
    </row>
    <row r="296" spans="2:20" x14ac:dyDescent="0.2">
      <c r="B296" s="11" t="str">
        <f>IF(PRODUCTOS[[#This Row],[CODIGO]]="", "", PRODUCTOS[[#This Row],[CODIGO]])</f>
        <v>FER-LLACOL-9PZ</v>
      </c>
      <c r="C296" s="6" t="str">
        <f>IF(GENERAL[[#This Row],[CODIGO]]="", "", VLOOKUP(GENERAL[[#This Row],[CODIGO]], PRODUCTOS[#All], 2, FALSE))</f>
        <v>Juego de llaves de colores 9pzs.</v>
      </c>
      <c r="D29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296" s="28" t="str">
        <f>IFERROR(IF(GENERAL[[#This Row],[CANTIDAD]]=0, "AGOTADO", IF(GENERAL[[#This Row],[CANTIDAD]]&lt;VLOOKUP(GENERAL[[#This Row],[CODIGO]], PRODUCTOS[#All], 3, FALSE), "MENOR AL MINIMO", "")), "")</f>
        <v/>
      </c>
      <c r="F296" s="39">
        <f>IF(OR(GENERAL[[#This Row],[CODIGO]]="", GENERAL[[#This Row],[CANTIDAD]]=""), "", VLOOKUP(GENERAL[[#This Row],[CODIGO]], PRODUCTOS[#All], 4, FALSE) * GENERAL[[#This Row],[CANTIDAD]])</f>
        <v>300</v>
      </c>
      <c r="T296" s="8"/>
    </row>
    <row r="297" spans="2:20" x14ac:dyDescent="0.2">
      <c r="B297" s="11" t="str">
        <f>IF(PRODUCTOS[[#This Row],[CODIGO]]="", "", PRODUCTOS[[#This Row],[CODIGO]])</f>
        <v>FER-LLAHEX-9PZ</v>
      </c>
      <c r="C297" s="6" t="str">
        <f>IF(GENERAL[[#This Row],[CODIGO]]="", "", VLOOKUP(GENERAL[[#This Row],[CODIGO]], PRODUCTOS[#All], 2, FALSE))</f>
        <v>Llave hexágonal (juego 9pzs)</v>
      </c>
      <c r="D29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297" s="28" t="str">
        <f>IFERROR(IF(GENERAL[[#This Row],[CANTIDAD]]=0, "AGOTADO", IF(GENERAL[[#This Row],[CANTIDAD]]&lt;VLOOKUP(GENERAL[[#This Row],[CODIGO]], PRODUCTOS[#All], 3, FALSE), "MENOR AL MINIMO", "")), "")</f>
        <v/>
      </c>
      <c r="F297" s="39">
        <f>IF(OR(GENERAL[[#This Row],[CODIGO]]="", GENERAL[[#This Row],[CANTIDAD]]=""), "", VLOOKUP(GENERAL[[#This Row],[CODIGO]], PRODUCTOS[#All], 4, FALSE) * GENERAL[[#This Row],[CANTIDAD]])</f>
        <v>360</v>
      </c>
      <c r="T297" s="8"/>
    </row>
    <row r="298" spans="2:20" x14ac:dyDescent="0.2">
      <c r="B298" s="11" t="str">
        <f>IF(PRODUCTOS[[#This Row],[CODIGO]]="", "", PRODUCTOS[[#This Row],[CODIGO]])</f>
        <v>FER-LLAMILI-081</v>
      </c>
      <c r="C298" s="6" t="str">
        <f>IF(GENERAL[[#This Row],[CODIGO]]="", "", VLOOKUP(GENERAL[[#This Row],[CODIGO]], PRODUCTOS[#All], 2, FALSE))</f>
        <v>Juego de llaves milimétricas s/marca 9 - 19 mm española/corona flexible con racher</v>
      </c>
      <c r="D29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298" s="28" t="str">
        <f>IFERROR(IF(GENERAL[[#This Row],[CANTIDAD]]=0, "AGOTADO", IF(GENERAL[[#This Row],[CANTIDAD]]&lt;VLOOKUP(GENERAL[[#This Row],[CODIGO]], PRODUCTOS[#All], 3, FALSE), "MENOR AL MINIMO", "")), "")</f>
        <v/>
      </c>
      <c r="F298" s="39">
        <f>IF(OR(GENERAL[[#This Row],[CODIGO]]="", GENERAL[[#This Row],[CANTIDAD]]=""), "", VLOOKUP(GENERAL[[#This Row],[CODIGO]], PRODUCTOS[#All], 4, FALSE) * GENERAL[[#This Row],[CANTIDAD]])</f>
        <v>1343.76</v>
      </c>
      <c r="T298" s="8"/>
    </row>
    <row r="299" spans="2:20" x14ac:dyDescent="0.2">
      <c r="B299" s="11" t="str">
        <f>IF(PRODUCTOS[[#This Row],[CODIGO]]="", "", PRODUCTOS[[#This Row],[CODIGO]])</f>
        <v>FER-LLATUB-15PZ</v>
      </c>
      <c r="C299" s="6" t="str">
        <f>IF(GENERAL[[#This Row],[CODIGO]]="", "", VLOOKUP(GENERAL[[#This Row],[CODIGO]], PRODUCTOS[#All], 2, FALSE))</f>
        <v>Juego de llaves de tubo (15 pzs.)</v>
      </c>
      <c r="D29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299" s="28" t="str">
        <f>IFERROR(IF(GENERAL[[#This Row],[CANTIDAD]]=0, "AGOTADO", IF(GENERAL[[#This Row],[CANTIDAD]]&lt;VLOOKUP(GENERAL[[#This Row],[CODIGO]], PRODUCTOS[#All], 3, FALSE), "MENOR AL MINIMO", "")), "")</f>
        <v/>
      </c>
      <c r="F299" s="39">
        <f>IF(OR(GENERAL[[#This Row],[CODIGO]]="", GENERAL[[#This Row],[CANTIDAD]]=""), "", VLOOKUP(GENERAL[[#This Row],[CODIGO]], PRODUCTOS[#All], 4, FALSE) * GENERAL[[#This Row],[CANTIDAD]])</f>
        <v>0</v>
      </c>
      <c r="T299" s="8"/>
    </row>
    <row r="300" spans="2:20" x14ac:dyDescent="0.2">
      <c r="B300" s="11" t="str">
        <f>IF(PRODUCTOS[[#This Row],[CODIGO]]="", "", PRODUCTOS[[#This Row],[CODIGO]])</f>
        <v>FER-MACH12-039</v>
      </c>
      <c r="C300" s="6" t="str">
        <f>IF(GENERAL[[#This Row],[CODIGO]]="", "", VLOOKUP(GENERAL[[#This Row],[CODIGO]], PRODUCTOS[#All], 2, FALSE))</f>
        <v>Machete de tiro rambo 12"</v>
      </c>
      <c r="D30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00" s="28" t="str">
        <f>IFERROR(IF(GENERAL[[#This Row],[CANTIDAD]]=0, "AGOTADO", IF(GENERAL[[#This Row],[CANTIDAD]]&lt;VLOOKUP(GENERAL[[#This Row],[CODIGO]], PRODUCTOS[#All], 3, FALSE), "MENOR AL MINIMO", "")), "")</f>
        <v/>
      </c>
      <c r="F300" s="39">
        <f>IF(OR(GENERAL[[#This Row],[CODIGO]]="", GENERAL[[#This Row],[CANTIDAD]]=""), "", VLOOKUP(GENERAL[[#This Row],[CODIGO]], PRODUCTOS[#All], 4, FALSE) * GENERAL[[#This Row],[CANTIDAD]])</f>
        <v>174</v>
      </c>
      <c r="H300" s="63" t="s">
        <v>1958</v>
      </c>
      <c r="T300" s="8"/>
    </row>
    <row r="301" spans="2:20" x14ac:dyDescent="0.2">
      <c r="B301" s="11" t="str">
        <f>IF(PRODUCTOS[[#This Row],[CODIGO]]="", "", PRODUCTOS[[#This Row],[CODIGO]])</f>
        <v>FER-MANG-250PSI</v>
      </c>
      <c r="C301" s="6" t="str">
        <f>IF(GENERAL[[#This Row],[CODIGO]]="", "", VLOOKUP(GENERAL[[#This Row],[CODIGO]], PRODUCTOS[#All], 2, FALSE))</f>
        <v xml:space="preserve"> Carrete de Manguera A. Com. 250PSI (1/4"*750M)</v>
      </c>
      <c r="D30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301" s="28" t="str">
        <f>IFERROR(IF(GENERAL[[#This Row],[CANTIDAD]]=0, "AGOTADO", IF(GENERAL[[#This Row],[CANTIDAD]]&lt;VLOOKUP(GENERAL[[#This Row],[CODIGO]], PRODUCTOS[#All], 3, FALSE), "MENOR AL MINIMO", "")), "")</f>
        <v/>
      </c>
      <c r="F301" s="39">
        <f>IF(OR(GENERAL[[#This Row],[CODIGO]]="", GENERAL[[#This Row],[CANTIDAD]]=""), "", VLOOKUP(GENERAL[[#This Row],[CODIGO]], PRODUCTOS[#All], 4, FALSE) * GENERAL[[#This Row],[CANTIDAD]])</f>
        <v>3000</v>
      </c>
      <c r="H301" s="62">
        <f>SUM(F233:F301)</f>
        <v>32683.88</v>
      </c>
      <c r="T301" s="8"/>
    </row>
    <row r="302" spans="2:20" x14ac:dyDescent="0.2">
      <c r="B302" s="11" t="str">
        <f>IF(PRODUCTOS[[#This Row],[CODIGO]]="", "", PRODUCTOS[[#This Row],[CODIGO]])</f>
        <v>FER-MANG-300PSI</v>
      </c>
      <c r="C302" s="6" t="str">
        <f>IF(GENERAL[[#This Row],[CODIGO]]="", "", VLOOKUP(GENERAL[[#This Row],[CODIGO]], PRODUCTOS[#All], 2, FALSE))</f>
        <v>Manguera A. Com. 300PSI (1/4"*100M)</v>
      </c>
      <c r="D30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302" s="28" t="str">
        <f>IFERROR(IF(GENERAL[[#This Row],[CANTIDAD]]=0, "AGOTADO", IF(GENERAL[[#This Row],[CANTIDAD]]&lt;VLOOKUP(GENERAL[[#This Row],[CODIGO]], PRODUCTOS[#All], 3, FALSE), "MENOR AL MINIMO", "")), "")</f>
        <v/>
      </c>
      <c r="F302" s="39">
        <f>IF(OR(GENERAL[[#This Row],[CODIGO]]="", GENERAL[[#This Row],[CANTIDAD]]=""), "", VLOOKUP(GENERAL[[#This Row],[CODIGO]], PRODUCTOS[#All], 4, FALSE) * GENERAL[[#This Row],[CANTIDAD]])</f>
        <v>49000</v>
      </c>
      <c r="T302" s="8"/>
    </row>
    <row r="303" spans="2:20" x14ac:dyDescent="0.2">
      <c r="B303" s="11" t="str">
        <f>IF(PRODUCTOS[[#This Row],[CODIGO]]="", "", PRODUCTOS[[#This Row],[CODIGO]])</f>
        <v>FER-MAR12LB-043</v>
      </c>
      <c r="C303" s="6" t="str">
        <f>IF(GENERAL[[#This Row],[CODIGO]]="", "", VLOOKUP(GENERAL[[#This Row],[CODIGO]], PRODUCTOS[#All], 2, FALSE))</f>
        <v>Marro 12lb</v>
      </c>
      <c r="D30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03" s="28" t="str">
        <f>IFERROR(IF(GENERAL[[#This Row],[CANTIDAD]]=0, "AGOTADO", IF(GENERAL[[#This Row],[CANTIDAD]]&lt;VLOOKUP(GENERAL[[#This Row],[CODIGO]], PRODUCTOS[#All], 3, FALSE), "MENOR AL MINIMO", "")), "")</f>
        <v/>
      </c>
      <c r="F303" s="39">
        <f>IF(OR(GENERAL[[#This Row],[CODIGO]]="", GENERAL[[#This Row],[CANTIDAD]]=""), "", VLOOKUP(GENERAL[[#This Row],[CODIGO]], PRODUCTOS[#All], 4, FALSE) * GENERAL[[#This Row],[CANTIDAD]])</f>
        <v>805</v>
      </c>
      <c r="T303" s="8"/>
    </row>
    <row r="304" spans="2:20" x14ac:dyDescent="0.2">
      <c r="B304" s="11" t="str">
        <f>IF(PRODUCTOS[[#This Row],[CODIGO]]="", "", PRODUCTOS[[#This Row],[CODIGO]])</f>
        <v>FER-MAR20OZ-041</v>
      </c>
      <c r="C304" s="6" t="str">
        <f>IF(GENERAL[[#This Row],[CODIGO]]="", "", VLOOKUP(GENERAL[[#This Row],[CODIGO]], PRODUCTOS[#All], 2, FALSE))</f>
        <v>Martillo 20oz</v>
      </c>
      <c r="D30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304" s="28" t="str">
        <f>IFERROR(IF(GENERAL[[#This Row],[CANTIDAD]]=0, "AGOTADO", IF(GENERAL[[#This Row],[CANTIDAD]]&lt;VLOOKUP(GENERAL[[#This Row],[CODIGO]], PRODUCTOS[#All], 3, FALSE), "MENOR AL MINIMO", "")), "")</f>
        <v/>
      </c>
      <c r="F304" s="39">
        <f>IF(OR(GENERAL[[#This Row],[CODIGO]]="", GENERAL[[#This Row],[CANTIDAD]]=""), "", VLOOKUP(GENERAL[[#This Row],[CODIGO]], PRODUCTOS[#All], 4, FALSE) * GENERAL[[#This Row],[CANTIDAD]])</f>
        <v>470</v>
      </c>
      <c r="T304" s="8"/>
    </row>
    <row r="305" spans="2:20" x14ac:dyDescent="0.2">
      <c r="B305" s="11" t="str">
        <f>IF(PRODUCTOS[[#This Row],[CODIGO]]="", "", PRODUCTOS[[#This Row],[CODIGO]])</f>
        <v>FER-MAR6LB-042</v>
      </c>
      <c r="C305" s="6" t="str">
        <f>IF(GENERAL[[#This Row],[CODIGO]]="", "", VLOOKUP(GENERAL[[#This Row],[CODIGO]], PRODUCTOS[#All], 2, FALSE))</f>
        <v>Marro 6lb</v>
      </c>
      <c r="D30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05" s="28" t="str">
        <f>IFERROR(IF(GENERAL[[#This Row],[CANTIDAD]]=0, "AGOTADO", IF(GENERAL[[#This Row],[CANTIDAD]]&lt;VLOOKUP(GENERAL[[#This Row],[CODIGO]], PRODUCTOS[#All], 3, FALSE), "MENOR AL MINIMO", "")), "")</f>
        <v/>
      </c>
      <c r="F305" s="39">
        <f>IF(OR(GENERAL[[#This Row],[CODIGO]]="", GENERAL[[#This Row],[CANTIDAD]]=""), "", VLOOKUP(GENERAL[[#This Row],[CODIGO]], PRODUCTOS[#All], 4, FALSE) * GENERAL[[#This Row],[CANTIDAD]])</f>
        <v>978</v>
      </c>
      <c r="T305" s="8"/>
    </row>
    <row r="306" spans="2:20" x14ac:dyDescent="0.2">
      <c r="B306" s="11" t="str">
        <f>IF(PRODUCTOS[[#This Row],[CODIGO]]="", "", PRODUCTOS[[#This Row],[CODIGO]])</f>
        <v>FER-MARANTV-27MM</v>
      </c>
      <c r="C306" s="6" t="str">
        <f>IF(GENERAL[[#This Row],[CODIGO]]="", "", VLOOKUP(GENERAL[[#This Row],[CODIGO]], PRODUCTOS[#All], 2, FALSE))</f>
        <v>Martillo antivibración  27mm</v>
      </c>
      <c r="D30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06" s="28" t="str">
        <f>IFERROR(IF(GENERAL[[#This Row],[CANTIDAD]]=0, "AGOTADO", IF(GENERAL[[#This Row],[CANTIDAD]]&lt;VLOOKUP(GENERAL[[#This Row],[CODIGO]], PRODUCTOS[#All], 3, FALSE), "MENOR AL MINIMO", "")), "")</f>
        <v/>
      </c>
      <c r="F306" s="39">
        <f>IF(OR(GENERAL[[#This Row],[CODIGO]]="", GENERAL[[#This Row],[CANTIDAD]]=""), "", VLOOKUP(GENERAL[[#This Row],[CODIGO]], PRODUCTOS[#All], 4, FALSE) * GENERAL[[#This Row],[CANTIDAD]])</f>
        <v>645</v>
      </c>
      <c r="T306" s="8"/>
    </row>
    <row r="307" spans="2:20" x14ac:dyDescent="0.2">
      <c r="B307" s="11" t="str">
        <f>IF(PRODUCTOS[[#This Row],[CODIGO]]="", "", PRODUCTOS[[#This Row],[CODIGO]])</f>
        <v>FER-MCEPAL7-3PZ</v>
      </c>
      <c r="C307" s="6" t="str">
        <f>IF(GENERAL[[#This Row],[CODIGO]]="", "", VLOOKUP(GENERAL[[#This Row],[CODIGO]], PRODUCTOS[#All], 2, FALSE))</f>
        <v>Juego de minicepillos de alambre 7" 3pzs.</v>
      </c>
      <c r="D30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307" s="28" t="str">
        <f>IFERROR(IF(GENERAL[[#This Row],[CANTIDAD]]=0, "AGOTADO", IF(GENERAL[[#This Row],[CANTIDAD]]&lt;VLOOKUP(GENERAL[[#This Row],[CODIGO]], PRODUCTOS[#All], 3, FALSE), "MENOR AL MINIMO", "")), "")</f>
        <v/>
      </c>
      <c r="F307" s="39">
        <f>IF(OR(GENERAL[[#This Row],[CODIGO]]="", GENERAL[[#This Row],[CANTIDAD]]=""), "", VLOOKUP(GENERAL[[#This Row],[CODIGO]], PRODUCTOS[#All], 4, FALSE) * GENERAL[[#This Row],[CANTIDAD]])</f>
        <v>144</v>
      </c>
      <c r="T307" s="8"/>
    </row>
    <row r="308" spans="2:20" x14ac:dyDescent="0.2">
      <c r="B308" s="11" t="str">
        <f>IF(PRODUCTOS[[#This Row],[CODIGO]]="", "", PRODUCTOS[[#This Row],[CODIGO]])</f>
        <v>FER-MICROAL-0.8MM</v>
      </c>
      <c r="C308" s="6" t="str">
        <f>IF(GENERAL[[#This Row],[CODIGO]]="", "", VLOOKUP(GENERAL[[#This Row],[CODIGO]], PRODUCTOS[#All], 2, FALSE))</f>
        <v>Microalambre (SYNERGY) ((E71T-G5) Polaridad CC- 0,8mm*5KG</v>
      </c>
      <c r="D30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08" s="28" t="str">
        <f>IFERROR(IF(GENERAL[[#This Row],[CANTIDAD]]=0, "AGOTADO", IF(GENERAL[[#This Row],[CANTIDAD]]&lt;VLOOKUP(GENERAL[[#This Row],[CODIGO]], PRODUCTOS[#All], 3, FALSE), "MENOR AL MINIMO", "")), "")</f>
        <v/>
      </c>
      <c r="F308" s="39">
        <f>IF(OR(GENERAL[[#This Row],[CODIGO]]="", GENERAL[[#This Row],[CANTIDAD]]=""), "", VLOOKUP(GENERAL[[#This Row],[CODIGO]], PRODUCTOS[#All], 4, FALSE) * GENERAL[[#This Row],[CANTIDAD]])</f>
        <v>650</v>
      </c>
      <c r="T308" s="8"/>
    </row>
    <row r="309" spans="2:20" x14ac:dyDescent="0.2">
      <c r="B309" s="11" t="str">
        <f>IF(PRODUCTOS[[#This Row],[CODIGO]]="", "", PRODUCTOS[[#This Row],[CODIGO]])</f>
        <v>FER-NIVHI3-051</v>
      </c>
      <c r="C309" s="6" t="str">
        <f>IF(GENERAL[[#This Row],[CODIGO]]="", "", VLOOKUP(GENERAL[[#This Row],[CODIGO]], PRODUCTOS[#All], 2, FALSE))</f>
        <v xml:space="preserve">Nivel de hilo 3" </v>
      </c>
      <c r="D30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309" s="28" t="str">
        <f>IFERROR(IF(GENERAL[[#This Row],[CANTIDAD]]=0, "AGOTADO", IF(GENERAL[[#This Row],[CANTIDAD]]&lt;VLOOKUP(GENERAL[[#This Row],[CODIGO]], PRODUCTOS[#All], 3, FALSE), "MENOR AL MINIMO", "")), "")</f>
        <v/>
      </c>
      <c r="F309" s="39">
        <f>IF(OR(GENERAL[[#This Row],[CODIGO]]="", GENERAL[[#This Row],[CANTIDAD]]=""), "", VLOOKUP(GENERAL[[#This Row],[CODIGO]], PRODUCTOS[#All], 4, FALSE) * GENERAL[[#This Row],[CANTIDAD]])</f>
        <v>204</v>
      </c>
      <c r="T309" s="8"/>
    </row>
    <row r="310" spans="2:20" x14ac:dyDescent="0.2">
      <c r="B310" s="11" t="str">
        <f>IF(PRODUCTOS[[#This Row],[CODIGO]]="", "", PRODUCTOS[[#This Row],[CODIGO]])</f>
        <v>FER-NIVTO9-052</v>
      </c>
      <c r="C310" s="6" t="str">
        <f>IF(GENERAL[[#This Row],[CODIGO]]="", "", VLOOKUP(GENERAL[[#This Row],[CODIGO]], PRODUCTOS[#All], 2, FALSE))</f>
        <v>Nivel torpedo 9"</v>
      </c>
      <c r="D31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310" s="28" t="str">
        <f>IFERROR(IF(GENERAL[[#This Row],[CANTIDAD]]=0, "AGOTADO", IF(GENERAL[[#This Row],[CANTIDAD]]&lt;VLOOKUP(GENERAL[[#This Row],[CODIGO]], PRODUCTOS[#All], 3, FALSE), "MENOR AL MINIMO", "")), "")</f>
        <v/>
      </c>
      <c r="F310" s="39">
        <f>IF(OR(GENERAL[[#This Row],[CODIGO]]="", GENERAL[[#This Row],[CANTIDAD]]=""), "", VLOOKUP(GENERAL[[#This Row],[CODIGO]], PRODUCTOS[#All], 4, FALSE) * GENERAL[[#This Row],[CANTIDAD]])</f>
        <v>186</v>
      </c>
      <c r="T310" s="8"/>
    </row>
    <row r="311" spans="2:20" x14ac:dyDescent="0.2">
      <c r="B311" s="11" t="str">
        <f>IF(PRODUCTOS[[#This Row],[CODIGO]]="", "", PRODUCTOS[[#This Row],[CODIGO]])</f>
        <v>FER-ORGAN-17C</v>
      </c>
      <c r="C311" s="6" t="str">
        <f>IF(GENERAL[[#This Row],[CODIGO]]="", "", VLOOKUP(GENERAL[[#This Row],[CODIGO]], PRODUCTOS[#All], 2, FALSE))</f>
        <v xml:space="preserve">Organizador reforzado 17 compartimentos </v>
      </c>
      <c r="D31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11" s="28" t="str">
        <f>IFERROR(IF(GENERAL[[#This Row],[CANTIDAD]]=0, "AGOTADO", IF(GENERAL[[#This Row],[CANTIDAD]]&lt;VLOOKUP(GENERAL[[#This Row],[CODIGO]], PRODUCTOS[#All], 3, FALSE), "MENOR AL MINIMO", "")), "")</f>
        <v/>
      </c>
      <c r="F311" s="39">
        <f>IF(OR(GENERAL[[#This Row],[CODIGO]]="", GENERAL[[#This Row],[CANTIDAD]]=""), "", VLOOKUP(GENERAL[[#This Row],[CODIGO]], PRODUCTOS[#All], 4, FALSE) * GENERAL[[#This Row],[CANTIDAD]])</f>
        <v>205</v>
      </c>
      <c r="T311" s="8"/>
    </row>
    <row r="312" spans="2:20" x14ac:dyDescent="0.2">
      <c r="B312" s="11" t="str">
        <f>IF(PRODUCTOS[[#This Row],[CODIGO]]="", "", PRODUCTOS[[#This Row],[CODIGO]])</f>
        <v>FER-PERREF-38</v>
      </c>
      <c r="C312" s="6" t="str">
        <f>IF(GENERAL[[#This Row],[CODIGO]]="", "", VLOOKUP(GENERAL[[#This Row],[CODIGO]], PRODUCTOS[#All], 2, FALSE))</f>
        <v>Perro reforzado 3/8"</v>
      </c>
      <c r="D31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40</v>
      </c>
      <c r="E312" s="28" t="str">
        <f>IFERROR(IF(GENERAL[[#This Row],[CANTIDAD]]=0, "AGOTADO", IF(GENERAL[[#This Row],[CANTIDAD]]&lt;VLOOKUP(GENERAL[[#This Row],[CODIGO]], PRODUCTOS[#All], 3, FALSE), "MENOR AL MINIMO", "")), "")</f>
        <v/>
      </c>
      <c r="F312" s="39">
        <f>IF(OR(GENERAL[[#This Row],[CODIGO]]="", GENERAL[[#This Row],[CANTIDAD]]=""), "", VLOOKUP(GENERAL[[#This Row],[CODIGO]], PRODUCTOS[#All], 4, FALSE) * GENERAL[[#This Row],[CANTIDAD]])</f>
        <v>792.8</v>
      </c>
      <c r="T312" s="8"/>
    </row>
    <row r="313" spans="2:20" x14ac:dyDescent="0.2">
      <c r="B313" s="11" t="str">
        <f>IF(PRODUCTOS[[#This Row],[CODIGO]]="", "", PRODUCTOS[[#This Row],[CODIGO]])</f>
        <v>FER-PINC-084</v>
      </c>
      <c r="C313" s="6" t="str">
        <f>IF(GENERAL[[#This Row],[CODIGO]]="", "", VLOOKUP(GENERAL[[#This Row],[CODIGO]], PRODUCTOS[#All], 2, FALSE))</f>
        <v>Pinza de presión tipo C 11"</v>
      </c>
      <c r="D31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13" s="28" t="str">
        <f>IFERROR(IF(GENERAL[[#This Row],[CANTIDAD]]=0, "AGOTADO", IF(GENERAL[[#This Row],[CANTIDAD]]&lt;VLOOKUP(GENERAL[[#This Row],[CODIGO]], PRODUCTOS[#All], 3, FALSE), "MENOR AL MINIMO", "")), "")</f>
        <v/>
      </c>
      <c r="F313" s="39">
        <f>IF(OR(GENERAL[[#This Row],[CODIGO]]="", GENERAL[[#This Row],[CANTIDAD]]=""), "", VLOOKUP(GENERAL[[#This Row],[CODIGO]], PRODUCTOS[#All], 4, FALSE) * GENERAL[[#This Row],[CANTIDAD]])</f>
        <v>0</v>
      </c>
      <c r="T313" s="8"/>
    </row>
    <row r="314" spans="2:20" x14ac:dyDescent="0.2">
      <c r="B314" s="11" t="str">
        <f>IF(PRODUCTOS[[#This Row],[CODIGO]]="", "", PRODUCTOS[[#This Row],[CODIGO]])</f>
        <v>FER-PINC6-082</v>
      </c>
      <c r="C314" s="6" t="str">
        <f>IF(GENERAL[[#This Row],[CODIGO]]="", "", VLOOKUP(GENERAL[[#This Row],[CODIGO]], PRODUCTOS[#All], 2, FALSE))</f>
        <v>Pinza de presión tipo C 6"</v>
      </c>
      <c r="D31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14" s="28" t="str">
        <f>IFERROR(IF(GENERAL[[#This Row],[CANTIDAD]]=0, "AGOTADO", IF(GENERAL[[#This Row],[CANTIDAD]]&lt;VLOOKUP(GENERAL[[#This Row],[CODIGO]], PRODUCTOS[#All], 3, FALSE), "MENOR AL MINIMO", "")), "")</f>
        <v/>
      </c>
      <c r="F314" s="39">
        <f>IF(OR(GENERAL[[#This Row],[CODIGO]]="", GENERAL[[#This Row],[CANTIDAD]]=""), "", VLOOKUP(GENERAL[[#This Row],[CODIGO]], PRODUCTOS[#All], 4, FALSE) * GENERAL[[#This Row],[CANTIDAD]])</f>
        <v>0</v>
      </c>
      <c r="T314" s="8"/>
    </row>
    <row r="315" spans="2:20" x14ac:dyDescent="0.2">
      <c r="B315" s="11" t="str">
        <f>IF(PRODUCTOS[[#This Row],[CODIGO]]="", "", PRODUCTOS[[#This Row],[CODIGO]])</f>
        <v>FER-PINC9-083</v>
      </c>
      <c r="C315" s="6" t="str">
        <f>IF(GENERAL[[#This Row],[CODIGO]]="", "", VLOOKUP(GENERAL[[#This Row],[CODIGO]], PRODUCTOS[#All], 2, FALSE))</f>
        <v>Pinza de presión tipo C 9"</v>
      </c>
      <c r="D31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15" s="28" t="str">
        <f>IFERROR(IF(GENERAL[[#This Row],[CANTIDAD]]=0, "AGOTADO", IF(GENERAL[[#This Row],[CANTIDAD]]&lt;VLOOKUP(GENERAL[[#This Row],[CODIGO]], PRODUCTOS[#All], 3, FALSE), "MENOR AL MINIMO", "")), "")</f>
        <v/>
      </c>
      <c r="F315" s="39">
        <f>IF(OR(GENERAL[[#This Row],[CODIGO]]="", GENERAL[[#This Row],[CANTIDAD]]=""), "", VLOOKUP(GENERAL[[#This Row],[CODIGO]], PRODUCTOS[#All], 4, FALSE) * GENERAL[[#This Row],[CANTIDAD]])</f>
        <v>0</v>
      </c>
      <c r="T315" s="8"/>
    </row>
    <row r="316" spans="2:20" x14ac:dyDescent="0.2">
      <c r="B316" s="11" t="str">
        <f>IF(PRODUCTOS[[#This Row],[CODIGO]]="", "", PRODUCTOS[[#This Row],[CODIGO]])</f>
        <v>FER-PINPRE-026</v>
      </c>
      <c r="C316" s="6" t="str">
        <f>IF(GENERAL[[#This Row],[CODIGO]]="", "", VLOOKUP(GENERAL[[#This Row],[CODIGO]], PRODUCTOS[#All], 2, FALSE))</f>
        <v xml:space="preserve">Pinza de presión </v>
      </c>
      <c r="D31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16" s="28" t="str">
        <f>IFERROR(IF(GENERAL[[#This Row],[CANTIDAD]]=0, "AGOTADO", IF(GENERAL[[#This Row],[CANTIDAD]]&lt;VLOOKUP(GENERAL[[#This Row],[CODIGO]], PRODUCTOS[#All], 3, FALSE), "MENOR AL MINIMO", "")), "")</f>
        <v/>
      </c>
      <c r="F316" s="39">
        <f>IF(OR(GENERAL[[#This Row],[CODIGO]]="", GENERAL[[#This Row],[CANTIDAD]]=""), "", VLOOKUP(GENERAL[[#This Row],[CODIGO]], PRODUCTOS[#All], 4, FALSE) * GENERAL[[#This Row],[CANTIDAD]])</f>
        <v>300</v>
      </c>
      <c r="T316" s="8"/>
    </row>
    <row r="317" spans="2:20" x14ac:dyDescent="0.2">
      <c r="B317" s="11" t="str">
        <f>IF(PRODUCTOS[[#This Row],[CODIGO]]="", "", PRODUCTOS[[#This Row],[CODIGO]])</f>
        <v>FER-PINPRECH-033</v>
      </c>
      <c r="C317" s="6" t="str">
        <f>IF(GENERAL[[#This Row],[CODIGO]]="", "", VLOOKUP(GENERAL[[#This Row],[CODIGO]], PRODUCTOS[#All], 2, FALSE))</f>
        <v>Pinza de presión chica</v>
      </c>
      <c r="D31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317" s="28" t="str">
        <f>IFERROR(IF(GENERAL[[#This Row],[CANTIDAD]]=0, "AGOTADO", IF(GENERAL[[#This Row],[CANTIDAD]]&lt;VLOOKUP(GENERAL[[#This Row],[CODIGO]], PRODUCTOS[#All], 3, FALSE), "MENOR AL MINIMO", "")), "")</f>
        <v/>
      </c>
      <c r="F317" s="39">
        <f>IF(OR(GENERAL[[#This Row],[CODIGO]]="", GENERAL[[#This Row],[CANTIDAD]]=""), "", VLOOKUP(GENERAL[[#This Row],[CODIGO]], PRODUCTOS[#All], 4, FALSE) * GENERAL[[#This Row],[CANTIDAD]])</f>
        <v>294</v>
      </c>
      <c r="T317" s="8"/>
    </row>
    <row r="318" spans="2:20" x14ac:dyDescent="0.2">
      <c r="B318" s="11" t="str">
        <f>IF(PRODUCTOS[[#This Row],[CODIGO]]="", "", PRODUCTOS[[#This Row],[CODIGO]])</f>
        <v>FER-PINTRI-010</v>
      </c>
      <c r="C318" s="6" t="str">
        <f>IF(GENERAL[[#This Row],[CODIGO]]="", "", VLOOKUP(GENERAL[[#This Row],[CODIGO]], PRODUCTOS[#All], 2, FALSE))</f>
        <v xml:space="preserve">Pinza de trinquete </v>
      </c>
      <c r="D31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18" s="28" t="str">
        <f>IFERROR(IF(GENERAL[[#This Row],[CANTIDAD]]=0, "AGOTADO", IF(GENERAL[[#This Row],[CANTIDAD]]&lt;VLOOKUP(GENERAL[[#This Row],[CODIGO]], PRODUCTOS[#All], 3, FALSE), "MENOR AL MINIMO", "")), "")</f>
        <v/>
      </c>
      <c r="F318" s="39">
        <f>IF(OR(GENERAL[[#This Row],[CODIGO]]="", GENERAL[[#This Row],[CANTIDAD]]=""), "", VLOOKUP(GENERAL[[#This Row],[CODIGO]], PRODUCTOS[#All], 4, FALSE) * GENERAL[[#This Row],[CANTIDAD]])</f>
        <v>275</v>
      </c>
      <c r="T318" s="8"/>
    </row>
    <row r="319" spans="2:20" x14ac:dyDescent="0.2">
      <c r="B319" s="11" t="str">
        <f>IF(PRODUCTOS[[#This Row],[CODIGO]]="", "", PRODUCTOS[[#This Row],[CODIGO]])</f>
        <v>FER-PISOP-086</v>
      </c>
      <c r="C319" s="6" t="str">
        <f>IF(GENERAL[[#This Row],[CODIGO]]="", "", VLOOKUP(GENERAL[[#This Row],[CODIGO]], PRODUCTOS[#All], 2, FALSE))</f>
        <v>Pistola para sopletear 1/4 ntp aluminio turper</v>
      </c>
      <c r="D31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19" s="28" t="str">
        <f>IFERROR(IF(GENERAL[[#This Row],[CANTIDAD]]=0, "AGOTADO", IF(GENERAL[[#This Row],[CANTIDAD]]&lt;VLOOKUP(GENERAL[[#This Row],[CODIGO]], PRODUCTOS[#All], 3, FALSE), "MENOR AL MINIMO", "")), "")</f>
        <v/>
      </c>
      <c r="F319" s="39">
        <f>IF(OR(GENERAL[[#This Row],[CODIGO]]="", GENERAL[[#This Row],[CANTIDAD]]=""), "", VLOOKUP(GENERAL[[#This Row],[CODIGO]], PRODUCTOS[#All], 4, FALSE) * GENERAL[[#This Row],[CANTIDAD]])</f>
        <v>0</v>
      </c>
      <c r="T319" s="8"/>
    </row>
    <row r="320" spans="2:20" x14ac:dyDescent="0.2">
      <c r="B320" s="11" t="str">
        <f>IF(PRODUCTOS[[#This Row],[CODIGO]]="", "", PRODUCTOS[[#This Row],[CODIGO]])</f>
        <v>FER-PLSAC-061</v>
      </c>
      <c r="C320" s="6" t="str">
        <f>IF(GENERAL[[#This Row],[CODIGO]]="", "", VLOOKUP(GENERAL[[#This Row],[CODIGO]], PRODUCTOS[#All], 2, FALSE))</f>
        <v>Plastiacero</v>
      </c>
      <c r="D32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320" s="28" t="str">
        <f>IFERROR(IF(GENERAL[[#This Row],[CANTIDAD]]=0, "AGOTADO", IF(GENERAL[[#This Row],[CANTIDAD]]&lt;VLOOKUP(GENERAL[[#This Row],[CODIGO]], PRODUCTOS[#All], 3, FALSE), "MENOR AL MINIMO", "")), "")</f>
        <v/>
      </c>
      <c r="F320" s="39">
        <f>IF(OR(GENERAL[[#This Row],[CODIGO]]="", GENERAL[[#This Row],[CANTIDAD]]=""), "", VLOOKUP(GENERAL[[#This Row],[CODIGO]], PRODUCTOS[#All], 4, FALSE) * GENERAL[[#This Row],[CANTIDAD]])</f>
        <v>283.79999999999995</v>
      </c>
      <c r="T320" s="8"/>
    </row>
    <row r="321" spans="2:20" x14ac:dyDescent="0.2">
      <c r="B321" s="11" t="str">
        <f>IF(PRODUCTOS[[#This Row],[CODIGO]]="", "", PRODUCTOS[[#This Row],[CODIGO]])</f>
        <v>FER-PREF-12</v>
      </c>
      <c r="C321" s="6" t="str">
        <f>IF(GENERAL[[#This Row],[CODIGO]]="", "", VLOOKUP(GENERAL[[#This Row],[CODIGO]], PRODUCTOS[#All], 2, FALSE))</f>
        <v>Perro reforzado 1/2"</v>
      </c>
      <c r="D32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26</v>
      </c>
      <c r="E321" s="28" t="str">
        <f>IFERROR(IF(GENERAL[[#This Row],[CANTIDAD]]=0, "AGOTADO", IF(GENERAL[[#This Row],[CANTIDAD]]&lt;VLOOKUP(GENERAL[[#This Row],[CODIGO]], PRODUCTOS[#All], 3, FALSE), "MENOR AL MINIMO", "")), "")</f>
        <v/>
      </c>
      <c r="F321" s="39">
        <f>IF(OR(GENERAL[[#This Row],[CODIGO]]="", GENERAL[[#This Row],[CANTIDAD]]=""), "", VLOOKUP(GENERAL[[#This Row],[CODIGO]], PRODUCTOS[#All], 4, FALSE) * GENERAL[[#This Row],[CANTIDAD]])</f>
        <v>743.6</v>
      </c>
      <c r="T321" s="8"/>
    </row>
    <row r="322" spans="2:20" x14ac:dyDescent="0.2">
      <c r="B322" s="11" t="str">
        <f>IF(PRODUCTOS[[#This Row],[CODIGO]]="", "", PRODUCTOS[[#This Row],[CODIGO]])</f>
        <v>FER-PREF-34</v>
      </c>
      <c r="C322" s="6" t="str">
        <f>IF(GENERAL[[#This Row],[CODIGO]]="", "", VLOOKUP(GENERAL[[#This Row],[CODIGO]], PRODUCTOS[#All], 2, FALSE))</f>
        <v>Perro reforzado 3/4"</v>
      </c>
      <c r="D32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28</v>
      </c>
      <c r="E322" s="28" t="str">
        <f>IFERROR(IF(GENERAL[[#This Row],[CANTIDAD]]=0, "AGOTADO", IF(GENERAL[[#This Row],[CANTIDAD]]&lt;VLOOKUP(GENERAL[[#This Row],[CODIGO]], PRODUCTOS[#All], 3, FALSE), "MENOR AL MINIMO", "")), "")</f>
        <v/>
      </c>
      <c r="F322" s="39">
        <f>IF(OR(GENERAL[[#This Row],[CODIGO]]="", GENERAL[[#This Row],[CANTIDAD]]=""), "", VLOOKUP(GENERAL[[#This Row],[CODIGO]], PRODUCTOS[#All], 4, FALSE) * GENERAL[[#This Row],[CANTIDAD]])</f>
        <v>1424.08</v>
      </c>
      <c r="T322" s="8"/>
    </row>
    <row r="323" spans="2:20" x14ac:dyDescent="0.2">
      <c r="B323" s="11" t="str">
        <f>IF(PRODUCTOS[[#This Row],[CODIGO]]="", "", PRODUCTOS[[#This Row],[CODIGO]])</f>
        <v>FER-PREF-58</v>
      </c>
      <c r="C323" s="6" t="str">
        <f>IF(GENERAL[[#This Row],[CODIGO]]="", "", VLOOKUP(GENERAL[[#This Row],[CODIGO]], PRODUCTOS[#All], 2, FALSE))</f>
        <v>Perro reforzado 5/8"</v>
      </c>
      <c r="D32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22</v>
      </c>
      <c r="E323" s="28" t="str">
        <f>IFERROR(IF(GENERAL[[#This Row],[CANTIDAD]]=0, "AGOTADO", IF(GENERAL[[#This Row],[CANTIDAD]]&lt;VLOOKUP(GENERAL[[#This Row],[CODIGO]], PRODUCTOS[#All], 3, FALSE), "MENOR AL MINIMO", "")), "")</f>
        <v/>
      </c>
      <c r="F323" s="39">
        <f>IF(OR(GENERAL[[#This Row],[CODIGO]]="", GENERAL[[#This Row],[CANTIDAD]]=""), "", VLOOKUP(GENERAL[[#This Row],[CODIGO]], PRODUCTOS[#All], 4, FALSE) * GENERAL[[#This Row],[CANTIDAD]])</f>
        <v>631.18000000000006</v>
      </c>
      <c r="T323" s="8"/>
    </row>
    <row r="324" spans="2:20" x14ac:dyDescent="0.2">
      <c r="B324" s="11" t="str">
        <f>IF(PRODUCTOS[[#This Row],[CODIGO]]="", "", PRODUCTOS[[#This Row],[CODIGO]])</f>
        <v>FER-PROPL-015</v>
      </c>
      <c r="C324" s="6" t="str">
        <f>IF(GENERAL[[#This Row],[CODIGO]]="", "", VLOOKUP(GENERAL[[#This Row],[CODIGO]], PRODUCTOS[#All], 2, FALSE))</f>
        <v xml:space="preserve">Protectores de plástico </v>
      </c>
      <c r="D32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324" s="28" t="str">
        <f>IFERROR(IF(GENERAL[[#This Row],[CANTIDAD]]=0, "AGOTADO", IF(GENERAL[[#This Row],[CANTIDAD]]&lt;VLOOKUP(GENERAL[[#This Row],[CODIGO]], PRODUCTOS[#All], 3, FALSE), "MENOR AL MINIMO", "")), "")</f>
        <v/>
      </c>
      <c r="F324" s="39">
        <f>IF(OR(GENERAL[[#This Row],[CODIGO]]="", GENERAL[[#This Row],[CANTIDAD]]=""), "", VLOOKUP(GENERAL[[#This Row],[CODIGO]], PRODUCTOS[#All], 4, FALSE) * GENERAL[[#This Row],[CANTIDAD]])</f>
        <v>0</v>
      </c>
      <c r="T324" s="8"/>
    </row>
    <row r="325" spans="2:20" x14ac:dyDescent="0.2">
      <c r="B325" s="11" t="str">
        <f>IF(PRODUCTOS[[#This Row],[CODIGO]]="", "", PRODUCTOS[[#This Row],[CODIGO]])</f>
        <v>FER-PSF12-072</v>
      </c>
      <c r="C325" s="6" t="str">
        <f>IF(GENERAL[[#This Row],[CODIGO]]="", "", VLOOKUP(GENERAL[[#This Row],[CODIGO]], PRODUCTOS[#All], 2, FALSE))</f>
        <v>Prensas sargento tipo F 12"</v>
      </c>
      <c r="D32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325" s="28" t="str">
        <f>IFERROR(IF(GENERAL[[#This Row],[CANTIDAD]]=0, "AGOTADO", IF(GENERAL[[#This Row],[CANTIDAD]]&lt;VLOOKUP(GENERAL[[#This Row],[CODIGO]], PRODUCTOS[#All], 3, FALSE), "MENOR AL MINIMO", "")), "")</f>
        <v/>
      </c>
      <c r="F325" s="39">
        <f>IF(OR(GENERAL[[#This Row],[CODIGO]]="", GENERAL[[#This Row],[CANTIDAD]]=""), "", VLOOKUP(GENERAL[[#This Row],[CODIGO]], PRODUCTOS[#All], 4, FALSE) * GENERAL[[#This Row],[CANTIDAD]])</f>
        <v>0</v>
      </c>
      <c r="T325" s="8"/>
    </row>
    <row r="326" spans="2:20" x14ac:dyDescent="0.2">
      <c r="B326" s="11" t="str">
        <f>IF(PRODUCTOS[[#This Row],[CODIGO]]="", "", PRODUCTOS[[#This Row],[CODIGO]])</f>
        <v>FER-PST34-073</v>
      </c>
      <c r="C326" s="6" t="str">
        <f>IF(GENERAL[[#This Row],[CODIGO]]="", "", VLOOKUP(GENERAL[[#This Row],[CODIGO]], PRODUCTOS[#All], 2, FALSE))</f>
        <v>Prensas sargento para tubo 3/4</v>
      </c>
      <c r="D32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326" s="28" t="str">
        <f>IFERROR(IF(GENERAL[[#This Row],[CANTIDAD]]=0, "AGOTADO", IF(GENERAL[[#This Row],[CANTIDAD]]&lt;VLOOKUP(GENERAL[[#This Row],[CODIGO]], PRODUCTOS[#All], 3, FALSE), "MENOR AL MINIMO", "")), "")</f>
        <v/>
      </c>
      <c r="F326" s="39">
        <f>IF(OR(GENERAL[[#This Row],[CODIGO]]="", GENERAL[[#This Row],[CANTIDAD]]=""), "", VLOOKUP(GENERAL[[#This Row],[CODIGO]], PRODUCTOS[#All], 4, FALSE) * GENERAL[[#This Row],[CANTIDAD]])</f>
        <v>0</v>
      </c>
      <c r="T326" s="8"/>
    </row>
    <row r="327" spans="2:20" x14ac:dyDescent="0.2">
      <c r="B327" s="11" t="str">
        <f>IF(PRODUCTOS[[#This Row],[CODIGO]]="", "", PRODUCTOS[[#This Row],[CODIGO]])</f>
        <v>FER-REBUSH14-18</v>
      </c>
      <c r="C327" s="6" t="str">
        <f>IF(GENERAL[[#This Row],[CODIGO]]="", "", VLOOKUP(GENERAL[[#This Row],[CODIGO]], PRODUCTOS[#All], 2, FALSE))</f>
        <v>Reducción bushing 1/4 - 1/8</v>
      </c>
      <c r="D32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14</v>
      </c>
      <c r="E327" s="28" t="str">
        <f>IFERROR(IF(GENERAL[[#This Row],[CANTIDAD]]=0, "AGOTADO", IF(GENERAL[[#This Row],[CANTIDAD]]&lt;VLOOKUP(GENERAL[[#This Row],[CODIGO]], PRODUCTOS[#All], 3, FALSE), "MENOR AL MINIMO", "")), "")</f>
        <v/>
      </c>
      <c r="F327" s="39">
        <f>IF(OR(GENERAL[[#This Row],[CODIGO]]="", GENERAL[[#This Row],[CANTIDAD]]=""), "", VLOOKUP(GENERAL[[#This Row],[CODIGO]], PRODUCTOS[#All], 4, FALSE) * GENERAL[[#This Row],[CANTIDAD]])</f>
        <v>0</v>
      </c>
      <c r="T327" s="8"/>
    </row>
    <row r="328" spans="2:20" x14ac:dyDescent="0.2">
      <c r="B328" s="11" t="str">
        <f>IF(PRODUCTOS[[#This Row],[CODIGO]]="", "", PRODUCTOS[[#This Row],[CODIGO]])</f>
        <v>FER-REGCAL-053</v>
      </c>
      <c r="C328" s="6" t="str">
        <f>IF(GENERAL[[#This Row],[CODIGO]]="", "", VLOOKUP(GENERAL[[#This Row],[CODIGO]], PRODUCTOS[#All], 2, FALSE))</f>
        <v xml:space="preserve">Regleta Calibradora </v>
      </c>
      <c r="D32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328" s="28" t="str">
        <f>IFERROR(IF(GENERAL[[#This Row],[CANTIDAD]]=0, "AGOTADO", IF(GENERAL[[#This Row],[CANTIDAD]]&lt;VLOOKUP(GENERAL[[#This Row],[CODIGO]], PRODUCTOS[#All], 3, FALSE), "MENOR AL MINIMO", "")), "")</f>
        <v/>
      </c>
      <c r="F328" s="39">
        <f>IF(OR(GENERAL[[#This Row],[CODIGO]]="", GENERAL[[#This Row],[CANTIDAD]]=""), "", VLOOKUP(GENERAL[[#This Row],[CODIGO]], PRODUCTOS[#All], 4, FALSE) * GENERAL[[#This Row],[CANTIDAD]])</f>
        <v>165</v>
      </c>
      <c r="T328" s="8"/>
    </row>
    <row r="329" spans="2:20" x14ac:dyDescent="0.2">
      <c r="B329" s="11" t="str">
        <f>IF(PRODUCTOS[[#This Row],[CODIGO]]="", "", PRODUCTOS[[#This Row],[CODIGO]])</f>
        <v>FER-REMPOL-660ML</v>
      </c>
      <c r="C329" s="6" t="str">
        <f>IF(GENERAL[[#This Row],[CODIGO]]="", "", VLOOKUP(GENERAL[[#This Row],[CODIGO]], PRODUCTOS[#All], 2, FALSE))</f>
        <v>Removedor de polvo alto poder 660 ml</v>
      </c>
      <c r="D32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329" s="28" t="str">
        <f>IFERROR(IF(GENERAL[[#This Row],[CANTIDAD]]=0, "AGOTADO", IF(GENERAL[[#This Row],[CANTIDAD]]&lt;VLOOKUP(GENERAL[[#This Row],[CODIGO]], PRODUCTOS[#All], 3, FALSE), "MENOR AL MINIMO", "")), "")</f>
        <v/>
      </c>
      <c r="F329" s="39">
        <f>IF(OR(GENERAL[[#This Row],[CODIGO]]="", GENERAL[[#This Row],[CANTIDAD]]=""), "", VLOOKUP(GENERAL[[#This Row],[CODIGO]], PRODUCTOS[#All], 4, FALSE) * GENERAL[[#This Row],[CANTIDAD]])</f>
        <v>358</v>
      </c>
      <c r="T329" s="8"/>
    </row>
    <row r="330" spans="2:20" x14ac:dyDescent="0.2">
      <c r="B330" s="11" t="str">
        <f>IF(PRODUCTOS[[#This Row],[CODIGO]]="", "", PRODUCTOS[[#This Row],[CODIGO]])</f>
        <v>FER-RESCEND-005</v>
      </c>
      <c r="C330" s="6" t="str">
        <f>IF(GENERAL[[#This Row],[CODIGO]]="", "", VLOOKUP(GENERAL[[#This Row],[CODIGO]], PRODUCTOS[#All], 2, FALSE))</f>
        <v>Resina c/endurecedor</v>
      </c>
      <c r="D33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30" s="28" t="str">
        <f>IFERROR(IF(GENERAL[[#This Row],[CANTIDAD]]=0, "AGOTADO", IF(GENERAL[[#This Row],[CANTIDAD]]&lt;VLOOKUP(GENERAL[[#This Row],[CODIGO]], PRODUCTOS[#All], 3, FALSE), "MENOR AL MINIMO", "")), "")</f>
        <v/>
      </c>
      <c r="F330" s="39">
        <f>IF(OR(GENERAL[[#This Row],[CODIGO]]="", GENERAL[[#This Row],[CANTIDAD]]=""), "", VLOOKUP(GENERAL[[#This Row],[CODIGO]], PRODUCTOS[#All], 4, FALSE) * GENERAL[[#This Row],[CANTIDAD]])</f>
        <v>700</v>
      </c>
      <c r="T330" s="8"/>
    </row>
    <row r="331" spans="2:20" x14ac:dyDescent="0.2">
      <c r="B331" s="11" t="str">
        <f>IF(PRODUCTOS[[#This Row],[CODIGO]]="", "", PRODUCTOS[[#This Row],[CODIGO]])</f>
        <v>FER-ROESPA-716</v>
      </c>
      <c r="C331" s="6" t="str">
        <f>IF(GENERAL[[#This Row],[CODIGO]]="", "", VLOOKUP(GENERAL[[#This Row],[CODIGO]], PRODUCTOS[#All], 2, FALSE))</f>
        <v>Rondana estructural negra 7/16</v>
      </c>
      <c r="D33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196</v>
      </c>
      <c r="E331" s="28" t="str">
        <f>IFERROR(IF(GENERAL[[#This Row],[CANTIDAD]]=0, "AGOTADO", IF(GENERAL[[#This Row],[CANTIDAD]]&lt;VLOOKUP(GENERAL[[#This Row],[CODIGO]], PRODUCTOS[#All], 3, FALSE), "MENOR AL MINIMO", "")), "")</f>
        <v/>
      </c>
      <c r="F331" s="39">
        <f>IF(OR(GENERAL[[#This Row],[CODIGO]]="", GENERAL[[#This Row],[CANTIDAD]]=""), "", VLOOKUP(GENERAL[[#This Row],[CODIGO]], PRODUCTOS[#All], 4, FALSE) * GENERAL[[#This Row],[CANTIDAD]])</f>
        <v>72.52</v>
      </c>
      <c r="T331" s="8"/>
    </row>
    <row r="332" spans="2:20" x14ac:dyDescent="0.2">
      <c r="B332" s="11" t="str">
        <f>IF(PRODUCTOS[[#This Row],[CODIGO]]="", "", PRODUCTOS[[#This Row],[CODIGO]])</f>
        <v>FER-RONPLINX-516</v>
      </c>
      <c r="C332" s="6" t="str">
        <f>IF(GENERAL[[#This Row],[CODIGO]]="", "", VLOOKUP(GENERAL[[#This Row],[CODIGO]], PRODUCTOS[#All], 2, FALSE))</f>
        <v>Rondana plana acero inox. 5/16</v>
      </c>
      <c r="D33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100</v>
      </c>
      <c r="E332" s="28" t="str">
        <f>IFERROR(IF(GENERAL[[#This Row],[CANTIDAD]]=0, "AGOTADO", IF(GENERAL[[#This Row],[CANTIDAD]]&lt;VLOOKUP(GENERAL[[#This Row],[CODIGO]], PRODUCTOS[#All], 3, FALSE), "MENOR AL MINIMO", "")), "")</f>
        <v/>
      </c>
      <c r="F332" s="39">
        <f>IF(OR(GENERAL[[#This Row],[CODIGO]]="", GENERAL[[#This Row],[CANTIDAD]]=""), "", VLOOKUP(GENERAL[[#This Row],[CODIGO]], PRODUCTOS[#All], 4, FALSE) * GENERAL[[#This Row],[CANTIDAD]])</f>
        <v>64</v>
      </c>
      <c r="T332" s="8"/>
    </row>
    <row r="333" spans="2:20" x14ac:dyDescent="0.2">
      <c r="B333" s="11" t="str">
        <f>IF(PRODUCTOS[[#This Row],[CODIGO]]="", "", PRODUCTOS[[#This Row],[CODIGO]])</f>
        <v>FER-RONPLINX-716</v>
      </c>
      <c r="C333" s="6" t="str">
        <f>IF(GENERAL[[#This Row],[CODIGO]]="", "", VLOOKUP(GENERAL[[#This Row],[CODIGO]], PRODUCTOS[#All], 2, FALSE))</f>
        <v>Rondana plana acero inox. 7/16"</v>
      </c>
      <c r="D33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99</v>
      </c>
      <c r="E333" s="28" t="str">
        <f>IFERROR(IF(GENERAL[[#This Row],[CANTIDAD]]=0, "AGOTADO", IF(GENERAL[[#This Row],[CANTIDAD]]&lt;VLOOKUP(GENERAL[[#This Row],[CODIGO]], PRODUCTOS[#All], 3, FALSE), "MENOR AL MINIMO", "")), "")</f>
        <v/>
      </c>
      <c r="F333" s="39">
        <f>IF(OR(GENERAL[[#This Row],[CODIGO]]="", GENERAL[[#This Row],[CANTIDAD]]=""), "", VLOOKUP(GENERAL[[#This Row],[CODIGO]], PRODUCTOS[#All], 4, FALSE) * GENERAL[[#This Row],[CANTIDAD]])</f>
        <v>122.76</v>
      </c>
      <c r="T333" s="8"/>
    </row>
    <row r="334" spans="2:20" x14ac:dyDescent="0.2">
      <c r="B334" s="11" t="str">
        <f>IF(PRODUCTOS[[#This Row],[CODIGO]]="", "", PRODUCTOS[[#This Row],[CODIGO]])</f>
        <v>FER-RONPPL-38</v>
      </c>
      <c r="C334" s="6" t="str">
        <f>IF(GENERAL[[#This Row],[CODIGO]]="", "", VLOOKUP(GENERAL[[#This Row],[CODIGO]], PRODUCTOS[#All], 2, FALSE))</f>
        <v>Rondana plana 3/8"</v>
      </c>
      <c r="D33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72</v>
      </c>
      <c r="E334" s="28" t="str">
        <f>IFERROR(IF(GENERAL[[#This Row],[CANTIDAD]]=0, "AGOTADO", IF(GENERAL[[#This Row],[CANTIDAD]]&lt;VLOOKUP(GENERAL[[#This Row],[CODIGO]], PRODUCTOS[#All], 3, FALSE), "MENOR AL MINIMO", "")), "")</f>
        <v/>
      </c>
      <c r="F334" s="39">
        <f>IF(OR(GENERAL[[#This Row],[CODIGO]]="", GENERAL[[#This Row],[CANTIDAD]]=""), "", VLOOKUP(GENERAL[[#This Row],[CODIGO]], PRODUCTOS[#All], 4, FALSE) * GENERAL[[#This Row],[CANTIDAD]])</f>
        <v>0</v>
      </c>
      <c r="T334" s="8"/>
    </row>
    <row r="335" spans="2:20" x14ac:dyDescent="0.2">
      <c r="B335" s="11" t="str">
        <f>IF(PRODUCTOS[[#This Row],[CODIGO]]="", "", PRODUCTOS[[#This Row],[CODIGO]])</f>
        <v>FER-RONPRINX-516</v>
      </c>
      <c r="C335" s="6" t="str">
        <f>IF(GENERAL[[#This Row],[CODIGO]]="", "", VLOOKUP(GENERAL[[#This Row],[CODIGO]], PRODUCTOS[#All], 2, FALSE))</f>
        <v>Rondana de presión acero inox. 5/16</v>
      </c>
      <c r="D33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51</v>
      </c>
      <c r="E335" s="28" t="str">
        <f>IFERROR(IF(GENERAL[[#This Row],[CANTIDAD]]=0, "AGOTADO", IF(GENERAL[[#This Row],[CANTIDAD]]&lt;VLOOKUP(GENERAL[[#This Row],[CODIGO]], PRODUCTOS[#All], 3, FALSE), "MENOR AL MINIMO", "")), "")</f>
        <v/>
      </c>
      <c r="F335" s="39">
        <f>IF(OR(GENERAL[[#This Row],[CODIGO]]="", GENERAL[[#This Row],[CANTIDAD]]=""), "", VLOOKUP(GENERAL[[#This Row],[CODIGO]], PRODUCTOS[#All], 4, FALSE) * GENERAL[[#This Row],[CANTIDAD]])</f>
        <v>29.58</v>
      </c>
      <c r="T335" s="8"/>
    </row>
    <row r="336" spans="2:20" x14ac:dyDescent="0.2">
      <c r="B336" s="11" t="str">
        <f>IF(PRODUCTOS[[#This Row],[CODIGO]]="", "", PRODUCTOS[[#This Row],[CODIGO]])</f>
        <v>FER-RONPRINX-716</v>
      </c>
      <c r="C336" s="6" t="str">
        <f>IF(GENERAL[[#This Row],[CODIGO]]="", "", VLOOKUP(GENERAL[[#This Row],[CODIGO]], PRODUCTOS[#All], 2, FALSE))</f>
        <v>Rondana de presión  acero inox. 7/16</v>
      </c>
      <c r="D33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50</v>
      </c>
      <c r="E336" s="28" t="str">
        <f>IFERROR(IF(GENERAL[[#This Row],[CANTIDAD]]=0, "AGOTADO", IF(GENERAL[[#This Row],[CANTIDAD]]&lt;VLOOKUP(GENERAL[[#This Row],[CODIGO]], PRODUCTOS[#All], 3, FALSE), "MENOR AL MINIMO", "")), "")</f>
        <v/>
      </c>
      <c r="F336" s="39">
        <f>IF(OR(GENERAL[[#This Row],[CODIGO]]="", GENERAL[[#This Row],[CANTIDAD]]=""), "", VLOOKUP(GENERAL[[#This Row],[CODIGO]], PRODUCTOS[#All], 4, FALSE) * GENERAL[[#This Row],[CANTIDAD]])</f>
        <v>65</v>
      </c>
      <c r="T336" s="8"/>
    </row>
    <row r="337" spans="2:20" x14ac:dyDescent="0.2">
      <c r="B337" s="11" t="str">
        <f>IF(PRODUCTOS[[#This Row],[CODIGO]]="", "", PRODUCTOS[[#This Row],[CODIGO]])</f>
        <v>FER-ROPPA-716</v>
      </c>
      <c r="C337" s="6" t="str">
        <f>IF(GENERAL[[#This Row],[CODIGO]]="", "", VLOOKUP(GENERAL[[#This Row],[CODIGO]], PRODUCTOS[#All], 2, FALSE))</f>
        <v>Rondana presión pavonada 7/16"</v>
      </c>
      <c r="D33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95</v>
      </c>
      <c r="E337" s="28" t="str">
        <f>IFERROR(IF(GENERAL[[#This Row],[CANTIDAD]]=0, "AGOTADO", IF(GENERAL[[#This Row],[CANTIDAD]]&lt;VLOOKUP(GENERAL[[#This Row],[CODIGO]], PRODUCTOS[#All], 3, FALSE), "MENOR AL MINIMO", "")), "")</f>
        <v/>
      </c>
      <c r="F337" s="39">
        <f>IF(OR(GENERAL[[#This Row],[CODIGO]]="", GENERAL[[#This Row],[CANTIDAD]]=""), "", VLOOKUP(GENERAL[[#This Row],[CODIGO]], PRODUCTOS[#All], 4, FALSE) * GENERAL[[#This Row],[CANTIDAD]])</f>
        <v>28.5</v>
      </c>
      <c r="H337" s="63" t="s">
        <v>1959</v>
      </c>
      <c r="T337" s="8"/>
    </row>
    <row r="338" spans="2:20" x14ac:dyDescent="0.2">
      <c r="B338" s="11" t="str">
        <f>IF(PRODUCTOS[[#This Row],[CODIGO]]="", "", PRODUCTOS[[#This Row],[CODIGO]])</f>
        <v>FER-ROPRNGA-516</v>
      </c>
      <c r="C338" s="6" t="str">
        <f>IF(GENERAL[[#This Row],[CODIGO]]="", "", VLOOKUP(GENERAL[[#This Row],[CODIGO]], PRODUCTOS[#All], 2, FALSE))</f>
        <v>Rondana presión galvanizada 5/16"</v>
      </c>
      <c r="D33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81</v>
      </c>
      <c r="E338" s="28" t="str">
        <f>IFERROR(IF(GENERAL[[#This Row],[CANTIDAD]]=0, "AGOTADO", IF(GENERAL[[#This Row],[CANTIDAD]]&lt;VLOOKUP(GENERAL[[#This Row],[CODIGO]], PRODUCTOS[#All], 3, FALSE), "MENOR AL MINIMO", "")), "")</f>
        <v/>
      </c>
      <c r="F338" s="39">
        <f>IF(OR(GENERAL[[#This Row],[CODIGO]]="", GENERAL[[#This Row],[CANTIDAD]]=""), "", VLOOKUP(GENERAL[[#This Row],[CODIGO]], PRODUCTOS[#All], 4, FALSE) * GENERAL[[#This Row],[CANTIDAD]])</f>
        <v>25.11</v>
      </c>
      <c r="H338" s="62">
        <f>SUM(F302:F338)</f>
        <v>59661.930000000008</v>
      </c>
      <c r="T338" s="8"/>
    </row>
    <row r="339" spans="2:20" x14ac:dyDescent="0.2">
      <c r="B339" s="11" t="str">
        <f>IF(PRODUCTOS[[#This Row],[CODIGO]]="", "", PRODUCTOS[[#This Row],[CODIGO]])</f>
        <v>FER-RUED412-067</v>
      </c>
      <c r="C339" s="6" t="str">
        <f>IF(GENERAL[[#This Row],[CODIGO]]="", "", VLOOKUP(GENERAL[[#This Row],[CODIGO]], PRODUCTOS[#All], 2, FALSE))</f>
        <v xml:space="preserve">Ruedas de 4 1/2" </v>
      </c>
      <c r="D33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339" s="28" t="str">
        <f>IFERROR(IF(GENERAL[[#This Row],[CANTIDAD]]=0, "AGOTADO", IF(GENERAL[[#This Row],[CANTIDAD]]&lt;VLOOKUP(GENERAL[[#This Row],[CODIGO]], PRODUCTOS[#All], 3, FALSE), "MENOR AL MINIMO", "")), "")</f>
        <v/>
      </c>
      <c r="F339" s="39">
        <f>IF(OR(GENERAL[[#This Row],[CODIGO]]="", GENERAL[[#This Row],[CANTIDAD]]=""), "", VLOOKUP(GENERAL[[#This Row],[CODIGO]], PRODUCTOS[#All], 4, FALSE) * GENERAL[[#This Row],[CANTIDAD]])</f>
        <v>0</v>
      </c>
      <c r="T339" s="8"/>
    </row>
    <row r="340" spans="2:20" x14ac:dyDescent="0.2">
      <c r="B340" s="11" t="str">
        <f>IF(PRODUCTOS[[#This Row],[CODIGO]]="", "", PRODUCTOS[[#This Row],[CODIGO]])</f>
        <v>FER-RUED6-065</v>
      </c>
      <c r="C340" s="6" t="str">
        <f>IF(GENERAL[[#This Row],[CODIGO]]="", "", VLOOKUP(GENERAL[[#This Row],[CODIGO]], PRODUCTOS[#All], 2, FALSE))</f>
        <v>Ruedas de 6"</v>
      </c>
      <c r="D34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340" s="28" t="str">
        <f>IFERROR(IF(GENERAL[[#This Row],[CANTIDAD]]=0, "AGOTADO", IF(GENERAL[[#This Row],[CANTIDAD]]&lt;VLOOKUP(GENERAL[[#This Row],[CODIGO]], PRODUCTOS[#All], 3, FALSE), "MENOR AL MINIMO", "")), "")</f>
        <v/>
      </c>
      <c r="F340" s="39">
        <f>IF(OR(GENERAL[[#This Row],[CODIGO]]="", GENERAL[[#This Row],[CANTIDAD]]=""), "", VLOOKUP(GENERAL[[#This Row],[CODIGO]], PRODUCTOS[#All], 4, FALSE) * GENERAL[[#This Row],[CANTIDAD]])</f>
        <v>0</v>
      </c>
      <c r="T340" s="8"/>
    </row>
    <row r="341" spans="2:20" x14ac:dyDescent="0.2">
      <c r="B341" s="11" t="str">
        <f>IF(PRODUCTOS[[#This Row],[CODIGO]]="", "", PRODUCTOS[[#This Row],[CODIGO]])</f>
        <v>FER-RUED7-066</v>
      </c>
      <c r="C341" s="6" t="str">
        <f>IF(GENERAL[[#This Row],[CODIGO]]="", "", VLOOKUP(GENERAL[[#This Row],[CODIGO]], PRODUCTOS[#All], 2, FALSE))</f>
        <v>Ruedas de 7"</v>
      </c>
      <c r="D34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341" s="28" t="str">
        <f>IFERROR(IF(GENERAL[[#This Row],[CANTIDAD]]=0, "AGOTADO", IF(GENERAL[[#This Row],[CANTIDAD]]&lt;VLOOKUP(GENERAL[[#This Row],[CODIGO]], PRODUCTOS[#All], 3, FALSE), "MENOR AL MINIMO", "")), "")</f>
        <v/>
      </c>
      <c r="F341" s="39">
        <f>IF(OR(GENERAL[[#This Row],[CODIGO]]="", GENERAL[[#This Row],[CANTIDAD]]=""), "", VLOOKUP(GENERAL[[#This Row],[CODIGO]], PRODUCTOS[#All], 4, FALSE) * GENERAL[[#This Row],[CANTIDAD]])</f>
        <v>0</v>
      </c>
      <c r="T341" s="8"/>
    </row>
    <row r="342" spans="2:20" x14ac:dyDescent="0.2">
      <c r="B342" s="11" t="str">
        <f>IF(PRODUCTOS[[#This Row],[CODIGO]]="", "", PRODUCTOS[[#This Row],[CODIGO]])</f>
        <v>FER-SIELE-081</v>
      </c>
      <c r="C342" s="6" t="str">
        <f>IF(GENERAL[[#This Row],[CODIGO]]="", "", VLOOKUP(GENERAL[[#This Row],[CODIGO]], PRODUCTOS[#All], 2, FALSE))</f>
        <v>Sierra electrica reciproca 5 seguetas (caladora)</v>
      </c>
      <c r="D34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42" s="28" t="str">
        <f>IFERROR(IF(GENERAL[[#This Row],[CANTIDAD]]=0, "AGOTADO", IF(GENERAL[[#This Row],[CANTIDAD]]&lt;VLOOKUP(GENERAL[[#This Row],[CODIGO]], PRODUCTOS[#All], 3, FALSE), "MENOR AL MINIMO", "")), "")</f>
        <v/>
      </c>
      <c r="F342" s="39">
        <f>IF(OR(GENERAL[[#This Row],[CODIGO]]="", GENERAL[[#This Row],[CANTIDAD]]=""), "", VLOOKUP(GENERAL[[#This Row],[CODIGO]], PRODUCTOS[#All], 4, FALSE) * GENERAL[[#This Row],[CANTIDAD]])</f>
        <v>0</v>
      </c>
      <c r="T342" s="8"/>
    </row>
    <row r="343" spans="2:20" x14ac:dyDescent="0.2">
      <c r="B343" s="11" t="str">
        <f>IF(PRODUCTOS[[#This Row],[CODIGO]]="", "", PRODUCTOS[[#This Row],[CODIGO]])</f>
        <v>FER-SOEXOT-046</v>
      </c>
      <c r="C343" s="6" t="str">
        <f>IF(GENERAL[[#This Row],[CODIGO]]="", "", VLOOKUP(GENERAL[[#This Row],[CODIGO]], PRODUCTOS[#All], 2, FALSE))</f>
        <v>soldadura exotermica</v>
      </c>
      <c r="D34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343" s="28" t="str">
        <f>IFERROR(IF(GENERAL[[#This Row],[CANTIDAD]]=0, "AGOTADO", IF(GENERAL[[#This Row],[CANTIDAD]]&lt;VLOOKUP(GENERAL[[#This Row],[CODIGO]], PRODUCTOS[#All], 3, FALSE), "MENOR AL MINIMO", "")), "")</f>
        <v/>
      </c>
      <c r="F343" s="39">
        <f>IF(OR(GENERAL[[#This Row],[CODIGO]]="", GENERAL[[#This Row],[CANTIDAD]]=""), "", VLOOKUP(GENERAL[[#This Row],[CODIGO]], PRODUCTOS[#All], 4, FALSE) * GENERAL[[#This Row],[CANTIDAD]])</f>
        <v>756</v>
      </c>
      <c r="T343" s="8"/>
    </row>
    <row r="344" spans="2:20" x14ac:dyDescent="0.2">
      <c r="B344" s="11" t="str">
        <f>IF(PRODUCTOS[[#This Row],[CODIGO]]="", "", PRODUCTOS[[#This Row],[CODIGO]])</f>
        <v>FER-SUJMA-009</v>
      </c>
      <c r="C344" s="6" t="str">
        <f>IF(GENERAL[[#This Row],[CODIGO]]="", "", VLOOKUP(GENERAL[[#This Row],[CODIGO]], PRODUCTOS[#All], 2, FALSE))</f>
        <v>Sujetardor con matraca 8.23m</v>
      </c>
      <c r="D34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22</v>
      </c>
      <c r="E344" s="28" t="str">
        <f>IFERROR(IF(GENERAL[[#This Row],[CANTIDAD]]=0, "AGOTADO", IF(GENERAL[[#This Row],[CANTIDAD]]&lt;VLOOKUP(GENERAL[[#This Row],[CODIGO]], PRODUCTOS[#All], 3, FALSE), "MENOR AL MINIMO", "")), "")</f>
        <v/>
      </c>
      <c r="F344" s="39">
        <f>IF(OR(GENERAL[[#This Row],[CODIGO]]="", GENERAL[[#This Row],[CANTIDAD]]=""), "", VLOOKUP(GENERAL[[#This Row],[CODIGO]], PRODUCTOS[#All], 4, FALSE) * GENERAL[[#This Row],[CANTIDAD]])</f>
        <v>10429.1</v>
      </c>
      <c r="T344" s="8"/>
    </row>
    <row r="345" spans="2:20" x14ac:dyDescent="0.2">
      <c r="B345" s="11" t="str">
        <f>IF(PRODUCTOS[[#This Row],[CODIGO]]="", "", PRODUCTOS[[#This Row],[CODIGO]])</f>
        <v>FER-SUJMA-CH</v>
      </c>
      <c r="C345" s="6" t="str">
        <f>IF(GENERAL[[#This Row],[CODIGO]]="", "", VLOOKUP(GENERAL[[#This Row],[CODIGO]], PRODUCTOS[#All], 2, FALSE))</f>
        <v>Sujetador con matraca chico</v>
      </c>
      <c r="D34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40</v>
      </c>
      <c r="E345" s="28" t="str">
        <f>IFERROR(IF(GENERAL[[#This Row],[CANTIDAD]]=0, "AGOTADO", IF(GENERAL[[#This Row],[CANTIDAD]]&lt;VLOOKUP(GENERAL[[#This Row],[CODIGO]], PRODUCTOS[#All], 3, FALSE), "MENOR AL MINIMO", "")), "")</f>
        <v/>
      </c>
      <c r="F345" s="39">
        <f>IF(OR(GENERAL[[#This Row],[CODIGO]]="", GENERAL[[#This Row],[CANTIDAD]]=""), "", VLOOKUP(GENERAL[[#This Row],[CODIGO]], PRODUCTOS[#All], 4, FALSE) * GENERAL[[#This Row],[CANTIDAD]])</f>
        <v>0</v>
      </c>
      <c r="T345" s="8"/>
    </row>
    <row r="346" spans="2:20" x14ac:dyDescent="0.2">
      <c r="B346" s="11" t="str">
        <f>IF(PRODUCTOS[[#This Row],[CODIGO]]="", "", PRODUCTOS[[#This Row],[CODIGO]])</f>
        <v>FER-TAEXP-12</v>
      </c>
      <c r="C346" s="6" t="str">
        <f>IF(GENERAL[[#This Row],[CODIGO]]="", "", VLOOKUP(GENERAL[[#This Row],[CODIGO]], PRODUCTOS[#All], 2, FALSE))</f>
        <v>Taquete expansor 1/2" (z 1/2)</v>
      </c>
      <c r="D34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20</v>
      </c>
      <c r="E346" s="28" t="str">
        <f>IFERROR(IF(GENERAL[[#This Row],[CANTIDAD]]=0, "AGOTADO", IF(GENERAL[[#This Row],[CANTIDAD]]&lt;VLOOKUP(GENERAL[[#This Row],[CODIGO]], PRODUCTOS[#All], 3, FALSE), "MENOR AL MINIMO", "")), "")</f>
        <v/>
      </c>
      <c r="F346" s="39">
        <f>IF(OR(GENERAL[[#This Row],[CODIGO]]="", GENERAL[[#This Row],[CANTIDAD]]=""), "", VLOOKUP(GENERAL[[#This Row],[CODIGO]], PRODUCTOS[#All], 4, FALSE) * GENERAL[[#This Row],[CANTIDAD]])</f>
        <v>671.80000000000007</v>
      </c>
      <c r="T346" s="8"/>
    </row>
    <row r="347" spans="2:20" x14ac:dyDescent="0.2">
      <c r="B347" s="11" t="str">
        <f>IF(PRODUCTOS[[#This Row],[CODIGO]]="", "", PRODUCTOS[[#This Row],[CODIGO]])</f>
        <v>FER-TAEXP-14</v>
      </c>
      <c r="C347" s="6" t="str">
        <f>IF(GENERAL[[#This Row],[CODIGO]]="", "", VLOOKUP(GENERAL[[#This Row],[CODIGO]], PRODUCTOS[#All], 2, FALSE))</f>
        <v>Taquete expansor 1/4" (z 1/4)</v>
      </c>
      <c r="D34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20</v>
      </c>
      <c r="E347" s="28" t="str">
        <f>IFERROR(IF(GENERAL[[#This Row],[CANTIDAD]]=0, "AGOTADO", IF(GENERAL[[#This Row],[CANTIDAD]]&lt;VLOOKUP(GENERAL[[#This Row],[CODIGO]], PRODUCTOS[#All], 3, FALSE), "MENOR AL MINIMO", "")), "")</f>
        <v/>
      </c>
      <c r="F347" s="39">
        <f>IF(OR(GENERAL[[#This Row],[CODIGO]]="", GENERAL[[#This Row],[CANTIDAD]]=""), "", VLOOKUP(GENERAL[[#This Row],[CODIGO]], PRODUCTOS[#All], 4, FALSE) * GENERAL[[#This Row],[CANTIDAD]])</f>
        <v>160</v>
      </c>
      <c r="T347" s="8"/>
    </row>
    <row r="348" spans="2:20" x14ac:dyDescent="0.2">
      <c r="B348" s="11" t="str">
        <f>IF(PRODUCTOS[[#This Row],[CODIGO]]="", "", PRODUCTOS[[#This Row],[CODIGO]])</f>
        <v>FER-TAEXP-38</v>
      </c>
      <c r="C348" s="6" t="str">
        <f>IF(GENERAL[[#This Row],[CODIGO]]="", "", VLOOKUP(GENERAL[[#This Row],[CODIGO]], PRODUCTOS[#All], 2, FALSE))</f>
        <v>Taquete expansor 3/8 (z 3/8)</v>
      </c>
      <c r="D34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20</v>
      </c>
      <c r="E348" s="28" t="str">
        <f>IFERROR(IF(GENERAL[[#This Row],[CANTIDAD]]=0, "AGOTADO", IF(GENERAL[[#This Row],[CANTIDAD]]&lt;VLOOKUP(GENERAL[[#This Row],[CODIGO]], PRODUCTOS[#All], 3, FALSE), "MENOR AL MINIMO", "")), "")</f>
        <v/>
      </c>
      <c r="F348" s="39">
        <f>IF(OR(GENERAL[[#This Row],[CODIGO]]="", GENERAL[[#This Row],[CANTIDAD]]=""), "", VLOOKUP(GENERAL[[#This Row],[CODIGO]], PRODUCTOS[#All], 4, FALSE) * GENERAL[[#This Row],[CANTIDAD]])</f>
        <v>306.39999999999998</v>
      </c>
      <c r="T348" s="8"/>
    </row>
    <row r="349" spans="2:20" x14ac:dyDescent="0.2">
      <c r="B349" s="11" t="str">
        <f>IF(PRODUCTOS[[#This Row],[CODIGO]]="", "", PRODUCTOS[[#This Row],[CODIGO]])</f>
        <v>FER-TAEXPTR-12</v>
      </c>
      <c r="C349" s="6" t="str">
        <f>IF(GENERAL[[#This Row],[CODIGO]]="", "", VLOOKUP(GENERAL[[#This Row],[CODIGO]], PRODUCTOS[#All], 2, FALSE))</f>
        <v>Taquete expansivo tropicalizado 3/8" x 3" (1/2)</v>
      </c>
      <c r="D34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50</v>
      </c>
      <c r="E349" s="28" t="str">
        <f>IFERROR(IF(GENERAL[[#This Row],[CANTIDAD]]=0, "AGOTADO", IF(GENERAL[[#This Row],[CANTIDAD]]&lt;VLOOKUP(GENERAL[[#This Row],[CODIGO]], PRODUCTOS[#All], 3, FALSE), "MENOR AL MINIMO", "")), "")</f>
        <v/>
      </c>
      <c r="F349" s="39">
        <f>IF(OR(GENERAL[[#This Row],[CODIGO]]="", GENERAL[[#This Row],[CANTIDAD]]=""), "", VLOOKUP(GENERAL[[#This Row],[CODIGO]], PRODUCTOS[#All], 4, FALSE) * GENERAL[[#This Row],[CANTIDAD]])</f>
        <v>472.49999999999994</v>
      </c>
      <c r="T349" s="8"/>
    </row>
    <row r="350" spans="2:20" x14ac:dyDescent="0.2">
      <c r="B350" s="11" t="str">
        <f>IF(PRODUCTOS[[#This Row],[CODIGO]]="", "", PRODUCTOS[[#This Row],[CODIGO]])</f>
        <v>FER-TAEXPTR-38</v>
      </c>
      <c r="C350" s="6" t="str">
        <f>IF(GENERAL[[#This Row],[CODIGO]]="", "", VLOOKUP(GENERAL[[#This Row],[CODIGO]], PRODUCTOS[#All], 2, FALSE))</f>
        <v>Taquete expansivo tropicalizado 1/4" x 2 1/2" (3/8)</v>
      </c>
      <c r="D35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50</v>
      </c>
      <c r="E350" s="28" t="str">
        <f>IFERROR(IF(GENERAL[[#This Row],[CANTIDAD]]=0, "AGOTADO", IF(GENERAL[[#This Row],[CANTIDAD]]&lt;VLOOKUP(GENERAL[[#This Row],[CODIGO]], PRODUCTOS[#All], 3, FALSE), "MENOR AL MINIMO", "")), "")</f>
        <v/>
      </c>
      <c r="F350" s="39">
        <f>IF(OR(GENERAL[[#This Row],[CODIGO]]="", GENERAL[[#This Row],[CANTIDAD]]=""), "", VLOOKUP(GENERAL[[#This Row],[CODIGO]], PRODUCTOS[#All], 4, FALSE) * GENERAL[[#This Row],[CANTIDAD]])</f>
        <v>239.5</v>
      </c>
      <c r="T350" s="8"/>
    </row>
    <row r="351" spans="2:20" x14ac:dyDescent="0.2">
      <c r="B351" s="11" t="str">
        <f>IF(PRODUCTOS[[#This Row],[CODIGO]]="", "", PRODUCTOS[[#This Row],[CODIGO]])</f>
        <v>FER-TAEXPTR-58</v>
      </c>
      <c r="C351" s="6" t="str">
        <f>IF(GENERAL[[#This Row],[CODIGO]]="", "", VLOOKUP(GENERAL[[#This Row],[CODIGO]], PRODUCTOS[#All], 2, FALSE))</f>
        <v>Taquete expansivo tropicalizado 1/2" x 3" (5/8)</v>
      </c>
      <c r="D35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20</v>
      </c>
      <c r="E351" s="28" t="str">
        <f>IFERROR(IF(GENERAL[[#This Row],[CANTIDAD]]=0, "AGOTADO", IF(GENERAL[[#This Row],[CANTIDAD]]&lt;VLOOKUP(GENERAL[[#This Row],[CODIGO]], PRODUCTOS[#All], 3, FALSE), "MENOR AL MINIMO", "")), "")</f>
        <v/>
      </c>
      <c r="F351" s="39">
        <f>IF(OR(GENERAL[[#This Row],[CODIGO]]="", GENERAL[[#This Row],[CANTIDAD]]=""), "", VLOOKUP(GENERAL[[#This Row],[CODIGO]], PRODUCTOS[#All], 4, FALSE) * GENERAL[[#This Row],[CANTIDAD]])</f>
        <v>429.20000000000005</v>
      </c>
      <c r="T351" s="8"/>
    </row>
    <row r="352" spans="2:20" x14ac:dyDescent="0.2">
      <c r="B352" s="11" t="str">
        <f>IF(PRODUCTOS[[#This Row],[CODIGO]]="", "", PRODUCTOS[[#This Row],[CODIGO]])</f>
        <v>FER-TERPLOM-032</v>
      </c>
      <c r="C352" s="6" t="str">
        <f>IF(GENERAL[[#This Row],[CODIGO]]="", "", VLOOKUP(GENERAL[[#This Row],[CODIGO]], PRODUCTOS[#All], 2, FALSE))</f>
        <v>Terminales de plomo para bateria pretul</v>
      </c>
      <c r="D35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352" s="28" t="str">
        <f>IFERROR(IF(GENERAL[[#This Row],[CANTIDAD]]=0, "AGOTADO", IF(GENERAL[[#This Row],[CANTIDAD]]&lt;VLOOKUP(GENERAL[[#This Row],[CODIGO]], PRODUCTOS[#All], 3, FALSE), "MENOR AL MINIMO", "")), "")</f>
        <v/>
      </c>
      <c r="F352" s="39">
        <f>IF(OR(GENERAL[[#This Row],[CODIGO]]="", GENERAL[[#This Row],[CANTIDAD]]=""), "", VLOOKUP(GENERAL[[#This Row],[CODIGO]], PRODUCTOS[#All], 4, FALSE) * GENERAL[[#This Row],[CANTIDAD]])</f>
        <v>0</v>
      </c>
      <c r="T352" s="8"/>
    </row>
    <row r="353" spans="2:20" x14ac:dyDescent="0.2">
      <c r="B353" s="11" t="str">
        <f>IF(PRODUCTOS[[#This Row],[CODIGO]]="", "", PRODUCTOS[[#This Row],[CODIGO]])</f>
        <v>FER-TIRHIL30-070</v>
      </c>
      <c r="C353" s="6" t="str">
        <f>IF(GENERAL[[#This Row],[CODIGO]]="", "", VLOOKUP(GENERAL[[#This Row],[CODIGO]], PRODUCTOS[#All], 2, FALSE))</f>
        <v>Tiralineas c/nivel de hilo 30 m Truper</v>
      </c>
      <c r="D35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53" s="28" t="str">
        <f>IFERROR(IF(GENERAL[[#This Row],[CANTIDAD]]=0, "AGOTADO", IF(GENERAL[[#This Row],[CANTIDAD]]&lt;VLOOKUP(GENERAL[[#This Row],[CODIGO]], PRODUCTOS[#All], 3, FALSE), "MENOR AL MINIMO", "")), "")</f>
        <v/>
      </c>
      <c r="F353" s="39">
        <f>IF(OR(GENERAL[[#This Row],[CODIGO]]="", GENERAL[[#This Row],[CANTIDAD]]=""), "", VLOOKUP(GENERAL[[#This Row],[CODIGO]], PRODUCTOS[#All], 4, FALSE) * GENERAL[[#This Row],[CANTIDAD]])</f>
        <v>0</v>
      </c>
      <c r="T353" s="8"/>
    </row>
    <row r="354" spans="2:20" x14ac:dyDescent="0.2">
      <c r="B354" s="11" t="str">
        <f>IF(PRODUCTOS[[#This Row],[CODIGO]]="", "", PRODUCTOS[[#This Row],[CODIGO]])</f>
        <v>FER-TOMAG-022</v>
      </c>
      <c r="C354" s="6" t="str">
        <f>IF(GENERAL[[#This Row],[CODIGO]]="", "", VLOOKUP(GENERAL[[#This Row],[CODIGO]], PRODUCTOS[#All], 2, FALSE))</f>
        <v>Tope magnetico</v>
      </c>
      <c r="D35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54" s="28" t="str">
        <f>IFERROR(IF(GENERAL[[#This Row],[CANTIDAD]]=0, "AGOTADO", IF(GENERAL[[#This Row],[CANTIDAD]]&lt;VLOOKUP(GENERAL[[#This Row],[CODIGO]], PRODUCTOS[#All], 3, FALSE), "MENOR AL MINIMO", "")), "")</f>
        <v/>
      </c>
      <c r="F354" s="39">
        <f>IF(OR(GENERAL[[#This Row],[CODIGO]]="", GENERAL[[#This Row],[CANTIDAD]]=""), "", VLOOKUP(GENERAL[[#This Row],[CODIGO]], PRODUCTOS[#All], 4, FALSE) * GENERAL[[#This Row],[CANTIDAD]])</f>
        <v>31.16</v>
      </c>
      <c r="T354" s="8"/>
    </row>
    <row r="355" spans="2:20" x14ac:dyDescent="0.2">
      <c r="B355" s="11" t="str">
        <f>IF(PRODUCTOS[[#This Row],[CODIGO]]="", "", PRODUCTOS[[#This Row],[CODIGO]])</f>
        <v>FER-TORGA-12</v>
      </c>
      <c r="C355" s="6" t="str">
        <f>IF(GENERAL[[#This Row],[CODIGO]]="", "", VLOOKUP(GENERAL[[#This Row],[CODIGO]], PRODUCTOS[#All], 2, FALSE))</f>
        <v xml:space="preserve">Tornillo galvanizado 1/2" x 2 1/2" </v>
      </c>
      <c r="D35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15</v>
      </c>
      <c r="E355" s="28" t="str">
        <f>IFERROR(IF(GENERAL[[#This Row],[CANTIDAD]]=0, "AGOTADO", IF(GENERAL[[#This Row],[CANTIDAD]]&lt;VLOOKUP(GENERAL[[#This Row],[CODIGO]], PRODUCTOS[#All], 3, FALSE), "MENOR AL MINIMO", "")), "")</f>
        <v/>
      </c>
      <c r="F355" s="39">
        <f>IF(OR(GENERAL[[#This Row],[CODIGO]]="", GENERAL[[#This Row],[CANTIDAD]]=""), "", VLOOKUP(GENERAL[[#This Row],[CODIGO]], PRODUCTOS[#All], 4, FALSE) * GENERAL[[#This Row],[CANTIDAD]])</f>
        <v>84.9</v>
      </c>
      <c r="T355" s="8"/>
    </row>
    <row r="356" spans="2:20" x14ac:dyDescent="0.2">
      <c r="B356" s="11" t="str">
        <f>IF(PRODUCTOS[[#This Row],[CODIGO]]="", "", PRODUCTOS[[#This Row],[CODIGO]])</f>
        <v>FER-TORGA-14</v>
      </c>
      <c r="C356" s="6" t="str">
        <f>IF(GENERAL[[#This Row],[CODIGO]]="", "", VLOOKUP(GENERAL[[#This Row],[CODIGO]], PRODUCTOS[#All], 2, FALSE))</f>
        <v>Tornillo galvanizado 1/4" x 2"</v>
      </c>
      <c r="D35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20</v>
      </c>
      <c r="E356" s="28" t="str">
        <f>IFERROR(IF(GENERAL[[#This Row],[CANTIDAD]]=0, "AGOTADO", IF(GENERAL[[#This Row],[CANTIDAD]]&lt;VLOOKUP(GENERAL[[#This Row],[CODIGO]], PRODUCTOS[#All], 3, FALSE), "MENOR AL MINIMO", "")), "")</f>
        <v/>
      </c>
      <c r="F356" s="39">
        <f>IF(OR(GENERAL[[#This Row],[CODIGO]]="", GENERAL[[#This Row],[CANTIDAD]]=""), "", VLOOKUP(GENERAL[[#This Row],[CODIGO]], PRODUCTOS[#All], 4, FALSE) * GENERAL[[#This Row],[CANTIDAD]])</f>
        <v>22.799999999999997</v>
      </c>
      <c r="T356" s="8"/>
    </row>
    <row r="357" spans="2:20" x14ac:dyDescent="0.2">
      <c r="B357" s="11" t="str">
        <f>IF(PRODUCTOS[[#This Row],[CODIGO]]="", "", PRODUCTOS[[#This Row],[CODIGO]])</f>
        <v>FER-TORGA-34</v>
      </c>
      <c r="C357" s="6" t="str">
        <f>IF(GENERAL[[#This Row],[CODIGO]]="", "", VLOOKUP(GENERAL[[#This Row],[CODIGO]], PRODUCTOS[#All], 2, FALSE))</f>
        <v>Tornillo hexagonal galvanizado 3/4" x 3 1/2"</v>
      </c>
      <c r="D35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114</v>
      </c>
      <c r="E357" s="28" t="str">
        <f>IFERROR(IF(GENERAL[[#This Row],[CANTIDAD]]=0, "AGOTADO", IF(GENERAL[[#This Row],[CANTIDAD]]&lt;VLOOKUP(GENERAL[[#This Row],[CODIGO]], PRODUCTOS[#All], 3, FALSE), "MENOR AL MINIMO", "")), "")</f>
        <v/>
      </c>
      <c r="F357" s="39">
        <f>IF(OR(GENERAL[[#This Row],[CODIGO]]="", GENERAL[[#This Row],[CANTIDAD]]=""), "", VLOOKUP(GENERAL[[#This Row],[CODIGO]], PRODUCTOS[#All], 4, FALSE) * GENERAL[[#This Row],[CANTIDAD]])</f>
        <v>2098.7400000000002</v>
      </c>
      <c r="T357" s="8"/>
    </row>
    <row r="358" spans="2:20" x14ac:dyDescent="0.2">
      <c r="B358" s="11" t="str">
        <f>IF(PRODUCTOS[[#This Row],[CODIGO]]="", "", PRODUCTOS[[#This Row],[CODIGO]])</f>
        <v>FER-TORGA-38</v>
      </c>
      <c r="C358" s="6" t="str">
        <f>IF(GENERAL[[#This Row],[CODIGO]]="", "", VLOOKUP(GENERAL[[#This Row],[CODIGO]], PRODUCTOS[#All], 2, FALSE))</f>
        <v>Tornillo hexagonal galvanizado 3/8" - 10</v>
      </c>
      <c r="D35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100</v>
      </c>
      <c r="E358" s="28" t="str">
        <f>IFERROR(IF(GENERAL[[#This Row],[CANTIDAD]]=0, "AGOTADO", IF(GENERAL[[#This Row],[CANTIDAD]]&lt;VLOOKUP(GENERAL[[#This Row],[CODIGO]], PRODUCTOS[#All], 3, FALSE), "MENOR AL MINIMO", "")), "")</f>
        <v/>
      </c>
      <c r="F358" s="39">
        <f>IF(OR(GENERAL[[#This Row],[CODIGO]]="", GENERAL[[#This Row],[CANTIDAD]]=""), "", VLOOKUP(GENERAL[[#This Row],[CODIGO]], PRODUCTOS[#All], 4, FALSE) * GENERAL[[#This Row],[CANTIDAD]])</f>
        <v>0</v>
      </c>
      <c r="T358" s="8"/>
    </row>
    <row r="359" spans="2:20" x14ac:dyDescent="0.2">
      <c r="B359" s="11" t="str">
        <f>IF(PRODUCTOS[[#This Row],[CODIGO]]="", "", PRODUCTOS[[#This Row],[CODIGO]])</f>
        <v>FER-TORGA-38</v>
      </c>
      <c r="C359" s="6" t="str">
        <f>IF(GENERAL[[#This Row],[CODIGO]]="", "", VLOOKUP(GENERAL[[#This Row],[CODIGO]], PRODUCTOS[#All], 2, FALSE))</f>
        <v>Tornillo hexagonal galvanizado 3/8" - 10</v>
      </c>
      <c r="D35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100</v>
      </c>
      <c r="E359" s="28" t="str">
        <f>IFERROR(IF(GENERAL[[#This Row],[CANTIDAD]]=0, "AGOTADO", IF(GENERAL[[#This Row],[CANTIDAD]]&lt;VLOOKUP(GENERAL[[#This Row],[CODIGO]], PRODUCTOS[#All], 3, FALSE), "MENOR AL MINIMO", "")), "")</f>
        <v/>
      </c>
      <c r="F359" s="39">
        <f>IF(OR(GENERAL[[#This Row],[CODIGO]]="", GENERAL[[#This Row],[CANTIDAD]]=""), "", VLOOKUP(GENERAL[[#This Row],[CODIGO]], PRODUCTOS[#All], 4, FALSE) * GENERAL[[#This Row],[CANTIDAD]])</f>
        <v>0</v>
      </c>
      <c r="T359" s="8"/>
    </row>
    <row r="360" spans="2:20" x14ac:dyDescent="0.2">
      <c r="B360" s="11" t="str">
        <f>IF(PRODUCTOS[[#This Row],[CODIGO]]="", "", PRODUCTOS[[#This Row],[CODIGO]])</f>
        <v>FER-TORGA-516</v>
      </c>
      <c r="C360" s="6" t="str">
        <f>IF(GENERAL[[#This Row],[CODIGO]]="", "", VLOOKUP(GENERAL[[#This Row],[CODIGO]], PRODUCTOS[#All], 2, FALSE))</f>
        <v>Tornillo hexagonal galvanizado 5/16 " x 1 3/4"</v>
      </c>
      <c r="D36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68</v>
      </c>
      <c r="E360" s="28" t="str">
        <f>IFERROR(IF(GENERAL[[#This Row],[CANTIDAD]]=0, "AGOTADO", IF(GENERAL[[#This Row],[CANTIDAD]]&lt;VLOOKUP(GENERAL[[#This Row],[CODIGO]], PRODUCTOS[#All], 3, FALSE), "MENOR AL MINIMO", "")), "")</f>
        <v/>
      </c>
      <c r="F360" s="39">
        <f>IF(OR(GENERAL[[#This Row],[CODIGO]]="", GENERAL[[#This Row],[CANTIDAD]]=""), "", VLOOKUP(GENERAL[[#This Row],[CODIGO]], PRODUCTOS[#All], 4, FALSE) * GENERAL[[#This Row],[CANTIDAD]])</f>
        <v>76.839999999999989</v>
      </c>
      <c r="T360" s="8"/>
    </row>
    <row r="361" spans="2:20" x14ac:dyDescent="0.2">
      <c r="B361" s="11" t="str">
        <f>IF(PRODUCTOS[[#This Row],[CODIGO]]="", "", PRODUCTOS[[#This Row],[CODIGO]])</f>
        <v>FER-TORGA-58</v>
      </c>
      <c r="C361" s="6" t="str">
        <f>IF(GENERAL[[#This Row],[CODIGO]]="", "", VLOOKUP(GENERAL[[#This Row],[CODIGO]], PRODUCTOS[#All], 2, FALSE))</f>
        <v>Tornillo hexagonal galvanizado 5/8" x 2 1/2"</v>
      </c>
      <c r="D36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149</v>
      </c>
      <c r="E361" s="28" t="str">
        <f>IFERROR(IF(GENERAL[[#This Row],[CANTIDAD]]=0, "AGOTADO", IF(GENERAL[[#This Row],[CANTIDAD]]&lt;VLOOKUP(GENERAL[[#This Row],[CODIGO]], PRODUCTOS[#All], 3, FALSE), "MENOR AL MINIMO", "")), "")</f>
        <v/>
      </c>
      <c r="F361" s="39">
        <f>IF(OR(GENERAL[[#This Row],[CODIGO]]="", GENERAL[[#This Row],[CANTIDAD]]=""), "", VLOOKUP(GENERAL[[#This Row],[CODIGO]], PRODUCTOS[#All], 4, FALSE) * GENERAL[[#This Row],[CANTIDAD]])</f>
        <v>1345.4699999999998</v>
      </c>
      <c r="T361" s="8"/>
    </row>
    <row r="362" spans="2:20" x14ac:dyDescent="0.2">
      <c r="B362" s="11" t="str">
        <f>IF(PRODUCTOS[[#This Row],[CODIGO]]="", "", PRODUCTOS[[#This Row],[CODIGO]])</f>
        <v>FER-TORINX-516</v>
      </c>
      <c r="C362" s="6" t="str">
        <f>IF(GENERAL[[#This Row],[CODIGO]]="", "", VLOOKUP(GENERAL[[#This Row],[CODIGO]], PRODUCTOS[#All], 2, FALSE))</f>
        <v>Tornillo acero inoxidable 5/16" x 1 1/2"</v>
      </c>
      <c r="D36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44</v>
      </c>
      <c r="E362" s="28" t="str">
        <f>IFERROR(IF(GENERAL[[#This Row],[CANTIDAD]]=0, "AGOTADO", IF(GENERAL[[#This Row],[CANTIDAD]]&lt;VLOOKUP(GENERAL[[#This Row],[CODIGO]], PRODUCTOS[#All], 3, FALSE), "MENOR AL MINIMO", "")), "")</f>
        <v/>
      </c>
      <c r="F362" s="39">
        <f>IF(OR(GENERAL[[#This Row],[CODIGO]]="", GENERAL[[#This Row],[CANTIDAD]]=""), "", VLOOKUP(GENERAL[[#This Row],[CODIGO]], PRODUCTOS[#All], 4, FALSE) * GENERAL[[#This Row],[CANTIDAD]])</f>
        <v>170.28</v>
      </c>
      <c r="T362" s="8"/>
    </row>
    <row r="363" spans="2:20" x14ac:dyDescent="0.2">
      <c r="B363" s="11" t="str">
        <f>IF(PRODUCTOS[[#This Row],[CODIGO]]="", "", PRODUCTOS[[#This Row],[CODIGO]])</f>
        <v>FER-TORINX-716</v>
      </c>
      <c r="C363" s="6" t="str">
        <f>IF(GENERAL[[#This Row],[CODIGO]]="", "", VLOOKUP(GENERAL[[#This Row],[CODIGO]], PRODUCTOS[#All], 2, FALSE))</f>
        <v>Tornillo acero inoxidable 7/16" x 1 1/2"</v>
      </c>
      <c r="D36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50</v>
      </c>
      <c r="E363" s="28" t="str">
        <f>IFERROR(IF(GENERAL[[#This Row],[CANTIDAD]]=0, "AGOTADO", IF(GENERAL[[#This Row],[CANTIDAD]]&lt;VLOOKUP(GENERAL[[#This Row],[CODIGO]], PRODUCTOS[#All], 3, FALSE), "MENOR AL MINIMO", "")), "")</f>
        <v/>
      </c>
      <c r="F363" s="39">
        <f>IF(OR(GENERAL[[#This Row],[CODIGO]]="", GENERAL[[#This Row],[CANTIDAD]]=""), "", VLOOKUP(GENERAL[[#This Row],[CODIGO]], PRODUCTOS[#All], 4, FALSE) * GENERAL[[#This Row],[CANTIDAD]])</f>
        <v>494.5</v>
      </c>
      <c r="H363" s="63" t="s">
        <v>1960</v>
      </c>
      <c r="T363" s="8"/>
    </row>
    <row r="364" spans="2:20" x14ac:dyDescent="0.2">
      <c r="B364" s="11" t="str">
        <f>IF(PRODUCTOS[[#This Row],[CODIGO]]="", "", PRODUCTOS[[#This Row],[CODIGO]])</f>
        <v>FER-TORPA12-2</v>
      </c>
      <c r="C364" s="6" t="str">
        <f>IF(GENERAL[[#This Row],[CODIGO]]="", "", VLOOKUP(GENERAL[[#This Row],[CODIGO]], PRODUCTOS[#All], 2, FALSE))</f>
        <v>Tornillo hex. Pavonado 1/2" x 2"</v>
      </c>
      <c r="D36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26</v>
      </c>
      <c r="E364" s="28" t="str">
        <f>IFERROR(IF(GENERAL[[#This Row],[CANTIDAD]]=0, "AGOTADO", IF(GENERAL[[#This Row],[CANTIDAD]]&lt;VLOOKUP(GENERAL[[#This Row],[CODIGO]], PRODUCTOS[#All], 3, FALSE), "MENOR AL MINIMO", "")), "")</f>
        <v/>
      </c>
      <c r="F364" s="39">
        <f>IF(OR(GENERAL[[#This Row],[CODIGO]]="", GENERAL[[#This Row],[CANTIDAD]]=""), "", VLOOKUP(GENERAL[[#This Row],[CODIGO]], PRODUCTOS[#All], 4, FALSE) * GENERAL[[#This Row],[CANTIDAD]])</f>
        <v>139.88</v>
      </c>
      <c r="H364" s="62">
        <f>SUM(F339:F364)</f>
        <v>17929.07</v>
      </c>
      <c r="T364" s="8"/>
    </row>
    <row r="365" spans="2:20" x14ac:dyDescent="0.2">
      <c r="B365" s="11" t="str">
        <f>IF(PRODUCTOS[[#This Row],[CODIGO]]="", "", PRODUCTOS[[#This Row],[CODIGO]])</f>
        <v>FER-TORPA12-3</v>
      </c>
      <c r="C365" s="6" t="str">
        <f>IF(GENERAL[[#This Row],[CODIGO]]="", "", VLOOKUP(GENERAL[[#This Row],[CODIGO]], PRODUCTOS[#All], 2, FALSE))</f>
        <v>Tornillo hex. Pavonado 1/2" x 3"</v>
      </c>
      <c r="D36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15</v>
      </c>
      <c r="E365" s="28" t="str">
        <f>IFERROR(IF(GENERAL[[#This Row],[CANTIDAD]]=0, "AGOTADO", IF(GENERAL[[#This Row],[CANTIDAD]]&lt;VLOOKUP(GENERAL[[#This Row],[CODIGO]], PRODUCTOS[#All], 3, FALSE), "MENOR AL MINIMO", "")), "")</f>
        <v/>
      </c>
      <c r="F365" s="39">
        <f>IF(OR(GENERAL[[#This Row],[CODIGO]]="", GENERAL[[#This Row],[CANTIDAD]]=""), "", VLOOKUP(GENERAL[[#This Row],[CODIGO]], PRODUCTOS[#All], 4, FALSE) * GENERAL[[#This Row],[CANTIDAD]])</f>
        <v>109.05</v>
      </c>
      <c r="T365" s="8"/>
    </row>
    <row r="366" spans="2:20" x14ac:dyDescent="0.2">
      <c r="B366" s="11" t="str">
        <f>IF(PRODUCTOS[[#This Row],[CODIGO]]="", "", PRODUCTOS[[#This Row],[CODIGO]])</f>
        <v>FER-TORPA14-112</v>
      </c>
      <c r="C366" s="6" t="str">
        <f>IF(GENERAL[[#This Row],[CODIGO]]="", "", VLOOKUP(GENERAL[[#This Row],[CODIGO]], PRODUCTOS[#All], 2, FALSE))</f>
        <v>Tornillo hex. Pavonado 1/4" x 1 1/2"</v>
      </c>
      <c r="D36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14</v>
      </c>
      <c r="E366" s="28" t="str">
        <f>IFERROR(IF(GENERAL[[#This Row],[CANTIDAD]]=0, "AGOTADO", IF(GENERAL[[#This Row],[CANTIDAD]]&lt;VLOOKUP(GENERAL[[#This Row],[CODIGO]], PRODUCTOS[#All], 3, FALSE), "MENOR AL MINIMO", "")), "")</f>
        <v/>
      </c>
      <c r="F366" s="39">
        <f>IF(OR(GENERAL[[#This Row],[CODIGO]]="", GENERAL[[#This Row],[CANTIDAD]]=""), "", VLOOKUP(GENERAL[[#This Row],[CODIGO]], PRODUCTOS[#All], 4, FALSE) * GENERAL[[#This Row],[CANTIDAD]])</f>
        <v>13.020000000000001</v>
      </c>
      <c r="T366" s="8"/>
    </row>
    <row r="367" spans="2:20" x14ac:dyDescent="0.2">
      <c r="B367" s="11" t="str">
        <f>IF(PRODUCTOS[[#This Row],[CODIGO]]="", "", PRODUCTOS[[#This Row],[CODIGO]])</f>
        <v>FER-TORPA38-2</v>
      </c>
      <c r="C367" s="6" t="str">
        <f>IF(GENERAL[[#This Row],[CODIGO]]="", "", VLOOKUP(GENERAL[[#This Row],[CODIGO]], PRODUCTOS[#All], 2, FALSE))</f>
        <v>Tornillo hex. Pavonado 3/8" x 2"</v>
      </c>
      <c r="D36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30</v>
      </c>
      <c r="E367" s="28" t="str">
        <f>IFERROR(IF(GENERAL[[#This Row],[CANTIDAD]]=0, "AGOTADO", IF(GENERAL[[#This Row],[CANTIDAD]]&lt;VLOOKUP(GENERAL[[#This Row],[CODIGO]], PRODUCTOS[#All], 3, FALSE), "MENOR AL MINIMO", "")), "")</f>
        <v/>
      </c>
      <c r="F367" s="39">
        <f>IF(OR(GENERAL[[#This Row],[CODIGO]]="", GENERAL[[#This Row],[CANTIDAD]]=""), "", VLOOKUP(GENERAL[[#This Row],[CODIGO]], PRODUCTOS[#All], 4, FALSE) * GENERAL[[#This Row],[CANTIDAD]])</f>
        <v>81.3</v>
      </c>
      <c r="T367" s="8"/>
    </row>
    <row r="368" spans="2:20" x14ac:dyDescent="0.2">
      <c r="B368" s="11" t="str">
        <f>IF(PRODUCTOS[[#This Row],[CODIGO]]="", "", PRODUCTOS[[#This Row],[CODIGO]])</f>
        <v>FER-TORPA-716</v>
      </c>
      <c r="C368" s="6" t="str">
        <f>IF(GENERAL[[#This Row],[CODIGO]]="", "", VLOOKUP(GENERAL[[#This Row],[CODIGO]], PRODUCTOS[#All], 2, FALSE))</f>
        <v>Tornillo hexagonal pavonado 7/16" 3 1/2"</v>
      </c>
      <c r="D36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71</v>
      </c>
      <c r="E368" s="28" t="str">
        <f>IFERROR(IF(GENERAL[[#This Row],[CANTIDAD]]=0, "AGOTADO", IF(GENERAL[[#This Row],[CANTIDAD]]&lt;VLOOKUP(GENERAL[[#This Row],[CODIGO]], PRODUCTOS[#All], 3, FALSE), "MENOR AL MINIMO", "")), "")</f>
        <v/>
      </c>
      <c r="F368" s="39">
        <f>IF(OR(GENERAL[[#This Row],[CODIGO]]="", GENERAL[[#This Row],[CANTIDAD]]=""), "", VLOOKUP(GENERAL[[#This Row],[CODIGO]], PRODUCTOS[#All], 4, FALSE) * GENERAL[[#This Row],[CANTIDAD]])</f>
        <v>369.91</v>
      </c>
      <c r="T368" s="8"/>
    </row>
    <row r="369" spans="2:20" x14ac:dyDescent="0.2">
      <c r="B369" s="11" t="str">
        <f>IF(PRODUCTOS[[#This Row],[CODIGO]]="", "", PRODUCTOS[[#This Row],[CODIGO]])</f>
        <v>FER-TROSC-056</v>
      </c>
      <c r="C369" s="6" t="str">
        <f>IF(GENERAL[[#This Row],[CODIGO]]="", "", VLOOKUP(GENERAL[[#This Row],[CODIGO]], PRODUCTOS[#All], 2, FALSE))</f>
        <v>T Roscada</v>
      </c>
      <c r="D36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17</v>
      </c>
      <c r="E369" s="28" t="str">
        <f>IFERROR(IF(GENERAL[[#This Row],[CANTIDAD]]=0, "AGOTADO", IF(GENERAL[[#This Row],[CANTIDAD]]&lt;VLOOKUP(GENERAL[[#This Row],[CODIGO]], PRODUCTOS[#All], 3, FALSE), "MENOR AL MINIMO", "")), "")</f>
        <v/>
      </c>
      <c r="F369" s="39">
        <f>IF(OR(GENERAL[[#This Row],[CODIGO]]="", GENERAL[[#This Row],[CANTIDAD]]=""), "", VLOOKUP(GENERAL[[#This Row],[CODIGO]], PRODUCTOS[#All], 4, FALSE) * GENERAL[[#This Row],[CANTIDAD]])</f>
        <v>0</v>
      </c>
      <c r="T369" s="8"/>
    </row>
    <row r="370" spans="2:20" x14ac:dyDescent="0.2">
      <c r="B370" s="11" t="str">
        <f>IF(PRODUCTOS[[#This Row],[CODIGO]]="", "", PRODUCTOS[[#This Row],[CODIGO]])</f>
        <v>FER-TUEGA-34</v>
      </c>
      <c r="C370" s="6" t="str">
        <f>IF(GENERAL[[#This Row],[CODIGO]]="", "", VLOOKUP(GENERAL[[#This Row],[CODIGO]], PRODUCTOS[#All], 2, FALSE))</f>
        <v>Tuerca hexagonal galvanizada 3/4"</v>
      </c>
      <c r="D37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121</v>
      </c>
      <c r="E370" s="28" t="str">
        <f>IFERROR(IF(GENERAL[[#This Row],[CANTIDAD]]=0, "AGOTADO", IF(GENERAL[[#This Row],[CANTIDAD]]&lt;VLOOKUP(GENERAL[[#This Row],[CODIGO]], PRODUCTOS[#All], 3, FALSE), "MENOR AL MINIMO", "")), "")</f>
        <v/>
      </c>
      <c r="F370" s="39">
        <f>IF(OR(GENERAL[[#This Row],[CODIGO]]="", GENERAL[[#This Row],[CANTIDAD]]=""), "", VLOOKUP(GENERAL[[#This Row],[CODIGO]], PRODUCTOS[#All], 4, FALSE) * GENERAL[[#This Row],[CANTIDAD]])</f>
        <v>428.34000000000003</v>
      </c>
      <c r="T370" s="8"/>
    </row>
    <row r="371" spans="2:20" x14ac:dyDescent="0.2">
      <c r="B371" s="11" t="str">
        <f>IF(PRODUCTOS[[#This Row],[CODIGO]]="", "", PRODUCTOS[[#This Row],[CODIGO]])</f>
        <v>FER-TUEGA-38</v>
      </c>
      <c r="C371" s="6" t="str">
        <f>IF(GENERAL[[#This Row],[CODIGO]]="", "", VLOOKUP(GENERAL[[#This Row],[CODIGO]], PRODUCTOS[#All], 2, FALSE))</f>
        <v xml:space="preserve">Tuerca hexagonal galvanizada 3/8" </v>
      </c>
      <c r="D37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190</v>
      </c>
      <c r="E371" s="28" t="str">
        <f>IFERROR(IF(GENERAL[[#This Row],[CANTIDAD]]=0, "AGOTADO", IF(GENERAL[[#This Row],[CANTIDAD]]&lt;VLOOKUP(GENERAL[[#This Row],[CODIGO]], PRODUCTOS[#All], 3, FALSE), "MENOR AL MINIMO", "")), "")</f>
        <v/>
      </c>
      <c r="F371" s="39">
        <f>IF(OR(GENERAL[[#This Row],[CODIGO]]="", GENERAL[[#This Row],[CANTIDAD]]=""), "", VLOOKUP(GENERAL[[#This Row],[CODIGO]], PRODUCTOS[#All], 4, FALSE) * GENERAL[[#This Row],[CANTIDAD]])</f>
        <v>410.40000000000003</v>
      </c>
      <c r="T371" s="8"/>
    </row>
    <row r="372" spans="2:20" x14ac:dyDescent="0.2">
      <c r="B372" s="11" t="str">
        <f>IF(PRODUCTOS[[#This Row],[CODIGO]]="", "", PRODUCTOS[[#This Row],[CODIGO]])</f>
        <v>FER-TUEGA-516</v>
      </c>
      <c r="C372" s="6" t="str">
        <f>IF(GENERAL[[#This Row],[CODIGO]]="", "", VLOOKUP(GENERAL[[#This Row],[CODIGO]], PRODUCTOS[#All], 2, FALSE))</f>
        <v xml:space="preserve">Tuerca hexagonal galnaizada 5/16" </v>
      </c>
      <c r="D37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78</v>
      </c>
      <c r="E372" s="28" t="str">
        <f>IFERROR(IF(GENERAL[[#This Row],[CANTIDAD]]=0, "AGOTADO", IF(GENERAL[[#This Row],[CANTIDAD]]&lt;VLOOKUP(GENERAL[[#This Row],[CODIGO]], PRODUCTOS[#All], 3, FALSE), "MENOR AL MINIMO", "")), "")</f>
        <v/>
      </c>
      <c r="F372" s="39">
        <f>IF(OR(GENERAL[[#This Row],[CODIGO]]="", GENERAL[[#This Row],[CANTIDAD]]=""), "", VLOOKUP(GENERAL[[#This Row],[CODIGO]], PRODUCTOS[#All], 4, FALSE) * GENERAL[[#This Row],[CANTIDAD]])</f>
        <v>24.18</v>
      </c>
      <c r="T372" s="8"/>
    </row>
    <row r="373" spans="2:20" x14ac:dyDescent="0.2">
      <c r="B373" s="11" t="str">
        <f>IF(PRODUCTOS[[#This Row],[CODIGO]]="", "", PRODUCTOS[[#This Row],[CODIGO]])</f>
        <v>FER-TUEGA-58</v>
      </c>
      <c r="C373" s="6" t="str">
        <f>IF(GENERAL[[#This Row],[CODIGO]]="", "", VLOOKUP(GENERAL[[#This Row],[CODIGO]], PRODUCTOS[#All], 2, FALSE))</f>
        <v xml:space="preserve">Tuerca hexagonal galvanizada 5/8" </v>
      </c>
      <c r="D37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153</v>
      </c>
      <c r="E373" s="28" t="str">
        <f>IFERROR(IF(GENERAL[[#This Row],[CANTIDAD]]=0, "AGOTADO", IF(GENERAL[[#This Row],[CANTIDAD]]&lt;VLOOKUP(GENERAL[[#This Row],[CODIGO]], PRODUCTOS[#All], 3, FALSE), "MENOR AL MINIMO", "")), "")</f>
        <v/>
      </c>
      <c r="F373" s="39">
        <f>IF(OR(GENERAL[[#This Row],[CODIGO]]="", GENERAL[[#This Row],[CANTIDAD]]=""), "", VLOOKUP(GENERAL[[#This Row],[CODIGO]], PRODUCTOS[#All], 4, FALSE) * GENERAL[[#This Row],[CANTIDAD]])</f>
        <v>789.48</v>
      </c>
      <c r="T373" s="8"/>
    </row>
    <row r="374" spans="2:20" x14ac:dyDescent="0.2">
      <c r="B374" s="11" t="str">
        <f>IF(PRODUCTOS[[#This Row],[CODIGO]]="", "", PRODUCTOS[[#This Row],[CODIGO]])</f>
        <v>FER-TUEINX-516</v>
      </c>
      <c r="C374" s="6" t="str">
        <f>IF(GENERAL[[#This Row],[CODIGO]]="", "", VLOOKUP(GENERAL[[#This Row],[CODIGO]], PRODUCTOS[#All], 2, FALSE))</f>
        <v>Tuerca acero inoxidable 5/16"</v>
      </c>
      <c r="D37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47</v>
      </c>
      <c r="E374" s="28" t="str">
        <f>IFERROR(IF(GENERAL[[#This Row],[CANTIDAD]]=0, "AGOTADO", IF(GENERAL[[#This Row],[CANTIDAD]]&lt;VLOOKUP(GENERAL[[#This Row],[CODIGO]], PRODUCTOS[#All], 3, FALSE), "MENOR AL MINIMO", "")), "")</f>
        <v/>
      </c>
      <c r="F374" s="39">
        <f>IF(OR(GENERAL[[#This Row],[CODIGO]]="", GENERAL[[#This Row],[CANTIDAD]]=""), "", VLOOKUP(GENERAL[[#This Row],[CODIGO]], PRODUCTOS[#All], 4, FALSE) * GENERAL[[#This Row],[CANTIDAD]])</f>
        <v>65.8</v>
      </c>
      <c r="T374" s="8"/>
    </row>
    <row r="375" spans="2:20" x14ac:dyDescent="0.2">
      <c r="B375" s="11" t="str">
        <f>IF(PRODUCTOS[[#This Row],[CODIGO]]="", "", PRODUCTOS[[#This Row],[CODIGO]])</f>
        <v>FER-TUEINX-716</v>
      </c>
      <c r="C375" s="6" t="str">
        <f>IF(GENERAL[[#This Row],[CODIGO]]="", "", VLOOKUP(GENERAL[[#This Row],[CODIGO]], PRODUCTOS[#All], 2, FALSE))</f>
        <v>Tuerca acero inoxidable 7/16"</v>
      </c>
      <c r="D37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50</v>
      </c>
      <c r="E375" s="28" t="str">
        <f>IFERROR(IF(GENERAL[[#This Row],[CANTIDAD]]=0, "AGOTADO", IF(GENERAL[[#This Row],[CANTIDAD]]&lt;VLOOKUP(GENERAL[[#This Row],[CODIGO]], PRODUCTOS[#All], 3, FALSE), "MENOR AL MINIMO", "")), "")</f>
        <v/>
      </c>
      <c r="F375" s="39">
        <f>IF(OR(GENERAL[[#This Row],[CODIGO]]="", GENERAL[[#This Row],[CANTIDAD]]=""), "", VLOOKUP(GENERAL[[#This Row],[CODIGO]], PRODUCTOS[#All], 4, FALSE) * GENERAL[[#This Row],[CANTIDAD]])</f>
        <v>166</v>
      </c>
      <c r="H375" s="63" t="s">
        <v>1961</v>
      </c>
      <c r="T375" s="8"/>
    </row>
    <row r="376" spans="2:20" x14ac:dyDescent="0.2">
      <c r="B376" s="11" t="str">
        <f>IF(PRODUCTOS[[#This Row],[CODIGO]]="", "", PRODUCTOS[[#This Row],[CODIGO]])</f>
        <v>FER-TUEPA-12</v>
      </c>
      <c r="C376" s="6" t="str">
        <f>IF(GENERAL[[#This Row],[CODIGO]]="", "", VLOOKUP(GENERAL[[#This Row],[CODIGO]], PRODUCTOS[#All], 2, FALSE))</f>
        <v>Tuerca hex. Pavonada 1/2"</v>
      </c>
      <c r="D37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56</v>
      </c>
      <c r="E376" s="28" t="str">
        <f>IFERROR(IF(GENERAL[[#This Row],[CANTIDAD]]=0, "AGOTADO", IF(GENERAL[[#This Row],[CANTIDAD]]&lt;VLOOKUP(GENERAL[[#This Row],[CODIGO]], PRODUCTOS[#All], 3, FALSE), "MENOR AL MINIMO", "")), "")</f>
        <v/>
      </c>
      <c r="F376" s="39">
        <f>IF(OR(GENERAL[[#This Row],[CODIGO]]="", GENERAL[[#This Row],[CANTIDAD]]=""), "", VLOOKUP(GENERAL[[#This Row],[CODIGO]], PRODUCTOS[#All], 4, FALSE) * GENERAL[[#This Row],[CANTIDAD]])</f>
        <v>66.08</v>
      </c>
      <c r="H376" s="62">
        <f>SUM(F365:F376)</f>
        <v>2523.5600000000004</v>
      </c>
      <c r="T376" s="8"/>
    </row>
    <row r="377" spans="2:20" x14ac:dyDescent="0.2">
      <c r="B377" s="11" t="str">
        <f>IF(PRODUCTOS[[#This Row],[CODIGO]]="", "", PRODUCTOS[[#This Row],[CODIGO]])</f>
        <v>FER-TUEPA-14</v>
      </c>
      <c r="C377" s="6" t="str">
        <f>IF(GENERAL[[#This Row],[CODIGO]]="", "", VLOOKUP(GENERAL[[#This Row],[CODIGO]], PRODUCTOS[#All], 2, FALSE))</f>
        <v>Tuerca pavonada 1/4"</v>
      </c>
      <c r="D37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14</v>
      </c>
      <c r="E377" s="28" t="str">
        <f>IFERROR(IF(GENERAL[[#This Row],[CANTIDAD]]=0, "AGOTADO", IF(GENERAL[[#This Row],[CANTIDAD]]&lt;VLOOKUP(GENERAL[[#This Row],[CODIGO]], PRODUCTOS[#All], 3, FALSE), "MENOR AL MINIMO", "")), "")</f>
        <v/>
      </c>
      <c r="F377" s="39">
        <f>IF(OR(GENERAL[[#This Row],[CODIGO]]="", GENERAL[[#This Row],[CANTIDAD]]=""), "", VLOOKUP(GENERAL[[#This Row],[CODIGO]], PRODUCTOS[#All], 4, FALSE) * GENERAL[[#This Row],[CANTIDAD]])</f>
        <v>3.36</v>
      </c>
      <c r="T377" s="8"/>
    </row>
    <row r="378" spans="2:20" x14ac:dyDescent="0.2">
      <c r="B378" s="11" t="str">
        <f>IF(PRODUCTOS[[#This Row],[CODIGO]]="", "", PRODUCTOS[[#This Row],[CODIGO]])</f>
        <v>FER-TUEPA-38</v>
      </c>
      <c r="C378" s="6" t="str">
        <f>IF(GENERAL[[#This Row],[CODIGO]]="", "", VLOOKUP(GENERAL[[#This Row],[CODIGO]], PRODUCTOS[#All], 2, FALSE))</f>
        <v>Tuerca hex. Pavonada 3/8"</v>
      </c>
      <c r="D37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30</v>
      </c>
      <c r="E378" s="28" t="str">
        <f>IFERROR(IF(GENERAL[[#This Row],[CANTIDAD]]=0, "AGOTADO", IF(GENERAL[[#This Row],[CANTIDAD]]&lt;VLOOKUP(GENERAL[[#This Row],[CODIGO]], PRODUCTOS[#All], 3, FALSE), "MENOR AL MINIMO", "")), "")</f>
        <v/>
      </c>
      <c r="F378" s="39">
        <f>IF(OR(GENERAL[[#This Row],[CODIGO]]="", GENERAL[[#This Row],[CANTIDAD]]=""), "", VLOOKUP(GENERAL[[#This Row],[CODIGO]], PRODUCTOS[#All], 4, FALSE) * GENERAL[[#This Row],[CANTIDAD]])</f>
        <v>15.3</v>
      </c>
      <c r="T378" s="8"/>
    </row>
    <row r="379" spans="2:20" x14ac:dyDescent="0.2">
      <c r="B379" s="11" t="str">
        <f>IF(PRODUCTOS[[#This Row],[CODIGO]]="", "", PRODUCTOS[[#This Row],[CODIGO]])</f>
        <v>FER-TUEPA-716</v>
      </c>
      <c r="C379" s="6" t="str">
        <f>IF(GENERAL[[#This Row],[CODIGO]]="", "", VLOOKUP(GENERAL[[#This Row],[CODIGO]], PRODUCTOS[#All], 2, FALSE))</f>
        <v>Tuerca hexagonal pavonada 7/16"</v>
      </c>
      <c r="D37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170</v>
      </c>
      <c r="E379" s="28" t="str">
        <f>IFERROR(IF(GENERAL[[#This Row],[CANTIDAD]]=0, "AGOTADO", IF(GENERAL[[#This Row],[CANTIDAD]]&lt;VLOOKUP(GENERAL[[#This Row],[CODIGO]], PRODUCTOS[#All], 3, FALSE), "MENOR AL MINIMO", "")), "")</f>
        <v/>
      </c>
      <c r="F379" s="39">
        <f>IF(OR(GENERAL[[#This Row],[CODIGO]]="", GENERAL[[#This Row],[CANTIDAD]]=""), "", VLOOKUP(GENERAL[[#This Row],[CODIGO]], PRODUCTOS[#All], 4, FALSE) * GENERAL[[#This Row],[CANTIDAD]])</f>
        <v>137.70000000000002</v>
      </c>
      <c r="T379" s="8"/>
    </row>
    <row r="380" spans="2:20" x14ac:dyDescent="0.2">
      <c r="B380" s="11" t="str">
        <f>IF(PRODUCTOS[[#This Row],[CODIGO]]="", "", PRODUCTOS[[#This Row],[CODIGO]])</f>
        <v>FER-UNMAN-14</v>
      </c>
      <c r="C380" s="6" t="str">
        <f>IF(GENERAL[[#This Row],[CODIGO]]="", "", VLOOKUP(GENERAL[[#This Row],[CODIGO]], PRODUCTOS[#All], 2, FALSE))</f>
        <v xml:space="preserve">Unión de manguera 1/4 * 1/4 </v>
      </c>
      <c r="D38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32</v>
      </c>
      <c r="E380" s="28" t="str">
        <f>IFERROR(IF(GENERAL[[#This Row],[CANTIDAD]]=0, "AGOTADO", IF(GENERAL[[#This Row],[CANTIDAD]]&lt;VLOOKUP(GENERAL[[#This Row],[CODIGO]], PRODUCTOS[#All], 3, FALSE), "MENOR AL MINIMO", "")), "")</f>
        <v/>
      </c>
      <c r="F380" s="39">
        <f>IF(OR(GENERAL[[#This Row],[CODIGO]]="", GENERAL[[#This Row],[CANTIDAD]]=""), "", VLOOKUP(GENERAL[[#This Row],[CODIGO]], PRODUCTOS[#All], 4, FALSE) * GENERAL[[#This Row],[CANTIDAD]])</f>
        <v>0</v>
      </c>
      <c r="T380" s="8"/>
    </row>
    <row r="381" spans="2:20" x14ac:dyDescent="0.2">
      <c r="B381" s="11" t="str">
        <f>IF(PRODUCTOS[[#This Row],[CODIGO]]="", "", PRODUCTOS[[#This Row],[CODIGO]])</f>
        <v>FER-ZAP7LB-040</v>
      </c>
      <c r="C381" s="6" t="str">
        <f>IF(GENERAL[[#This Row],[CODIGO]]="", "", VLOOKUP(GENERAL[[#This Row],[CODIGO]], PRODUCTOS[#All], 2, FALSE))</f>
        <v>Zapapico 7lb</v>
      </c>
      <c r="D38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381" s="28" t="str">
        <f>IFERROR(IF(GENERAL[[#This Row],[CANTIDAD]]=0, "AGOTADO", IF(GENERAL[[#This Row],[CANTIDAD]]&lt;VLOOKUP(GENERAL[[#This Row],[CODIGO]], PRODUCTOS[#All], 3, FALSE), "MENOR AL MINIMO", "")), "")</f>
        <v/>
      </c>
      <c r="F381" s="39">
        <f>IF(OR(GENERAL[[#This Row],[CODIGO]]="", GENERAL[[#This Row],[CANTIDAD]]=""), "", VLOOKUP(GENERAL[[#This Row],[CODIGO]], PRODUCTOS[#All], 4, FALSE) * GENERAL[[#This Row],[CANTIDAD]])</f>
        <v>1557</v>
      </c>
      <c r="T381" s="8"/>
    </row>
    <row r="382" spans="2:20" x14ac:dyDescent="0.2">
      <c r="B382" s="11" t="str">
        <f>IF(PRODUCTOS[[#This Row],[CODIGO]]="", "", PRODUCTOS[[#This Row],[CODIGO]])</f>
        <v>HER-ALENTR-516</v>
      </c>
      <c r="C382" s="6" t="str">
        <f>IF(GENERAL[[#This Row],[CODIGO]]="", "", VLOOKUP(GENERAL[[#This Row],[CODIGO]], PRODUCTOS[#All], 2, FALSE))</f>
        <v>alen truper 5/16</v>
      </c>
      <c r="D38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82" s="28" t="str">
        <f>IFERROR(IF(GENERAL[[#This Row],[CANTIDAD]]=0, "AGOTADO", IF(GENERAL[[#This Row],[CANTIDAD]]&lt;VLOOKUP(GENERAL[[#This Row],[CODIGO]], PRODUCTOS[#All], 3, FALSE), "MENOR AL MINIMO", "")), "")</f>
        <v>AGOTADO</v>
      </c>
      <c r="F382" s="39">
        <f>IF(OR(GENERAL[[#This Row],[CODIGO]]="", GENERAL[[#This Row],[CANTIDAD]]=""), "", VLOOKUP(GENERAL[[#This Row],[CODIGO]], PRODUCTOS[#All], 4, FALSE) * GENERAL[[#This Row],[CANTIDAD]])</f>
        <v>0</v>
      </c>
      <c r="T382" s="8"/>
    </row>
    <row r="383" spans="2:20" x14ac:dyDescent="0.2">
      <c r="B383" s="11" t="str">
        <f>IF(PRODUCTOS[[#This Row],[CODIGO]]="", "", PRODUCTOS[[#This Row],[CODIGO]])</f>
        <v>HER-ARCCEG-022</v>
      </c>
      <c r="C383" s="6" t="str">
        <f>IF(GENERAL[[#This Row],[CODIGO]]="", "", VLOOKUP(GENERAL[[#This Row],[CODIGO]], PRODUCTOS[#All], 2, FALSE))</f>
        <v xml:space="preserve">Arco de cegueta Total </v>
      </c>
      <c r="D38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83" s="28" t="str">
        <f>IFERROR(IF(GENERAL[[#This Row],[CANTIDAD]]=0, "AGOTADO", IF(GENERAL[[#This Row],[CANTIDAD]]&lt;VLOOKUP(GENERAL[[#This Row],[CODIGO]], PRODUCTOS[#All], 3, FALSE), "MENOR AL MINIMO", "")), "")</f>
        <v>AGOTADO</v>
      </c>
      <c r="F383" s="39">
        <f>IF(OR(GENERAL[[#This Row],[CODIGO]]="", GENERAL[[#This Row],[CANTIDAD]]=""), "", VLOOKUP(GENERAL[[#This Row],[CODIGO]], PRODUCTOS[#All], 4, FALSE) * GENERAL[[#This Row],[CANTIDAD]])</f>
        <v>0</v>
      </c>
      <c r="T383" s="8"/>
    </row>
    <row r="384" spans="2:20" x14ac:dyDescent="0.2">
      <c r="B384" s="11" t="str">
        <f>IF(PRODUCTOS[[#This Row],[CODIGO]]="", "", PRODUCTOS[[#This Row],[CODIGO]])</f>
        <v>HER-BERPR-12</v>
      </c>
      <c r="C384" s="6" t="str">
        <f>IF(GENERAL[[#This Row],[CODIGO]]="", "", VLOOKUP(GENERAL[[#This Row],[CODIGO]], PRODUCTOS[#All], 2, FALSE))</f>
        <v>Berbiqui pretul con broquero de 1/2"</v>
      </c>
      <c r="D38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84" s="28" t="str">
        <f>IFERROR(IF(GENERAL[[#This Row],[CANTIDAD]]=0, "AGOTADO", IF(GENERAL[[#This Row],[CANTIDAD]]&lt;VLOOKUP(GENERAL[[#This Row],[CODIGO]], PRODUCTOS[#All], 3, FALSE), "MENOR AL MINIMO", "")), "")</f>
        <v>AGOTADO</v>
      </c>
      <c r="F384" s="39">
        <f>IF(OR(GENERAL[[#This Row],[CODIGO]]="", GENERAL[[#This Row],[CANTIDAD]]=""), "", VLOOKUP(GENERAL[[#This Row],[CODIGO]], PRODUCTOS[#All], 4, FALSE) * GENERAL[[#This Row],[CANTIDAD]])</f>
        <v>0</v>
      </c>
      <c r="T384" s="8"/>
    </row>
    <row r="385" spans="2:20" x14ac:dyDescent="0.2">
      <c r="B385" s="11" t="str">
        <f>IF(PRODUCTOS[[#This Row],[CODIGO]]="", "", PRODUCTOS[[#This Row],[CODIGO]])</f>
        <v>HER-CAIM-12</v>
      </c>
      <c r="C385" s="6" t="str">
        <f>IF(GENERAL[[#This Row],[CODIGO]]="", "", VLOOKUP(GENERAL[[#This Row],[CODIGO]], PRODUCTOS[#All], 2, FALSE))</f>
        <v>Caimanes 12"</v>
      </c>
      <c r="D38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85" s="28" t="str">
        <f>IFERROR(IF(GENERAL[[#This Row],[CANTIDAD]]=0, "AGOTADO", IF(GENERAL[[#This Row],[CANTIDAD]]&lt;VLOOKUP(GENERAL[[#This Row],[CODIGO]], PRODUCTOS[#All], 3, FALSE), "MENOR AL MINIMO", "")), "")</f>
        <v>AGOTADO</v>
      </c>
      <c r="F385" s="39">
        <f>IF(OR(GENERAL[[#This Row],[CODIGO]]="", GENERAL[[#This Row],[CANTIDAD]]=""), "", VLOOKUP(GENERAL[[#This Row],[CODIGO]], PRODUCTOS[#All], 4, FALSE) * GENERAL[[#This Row],[CANTIDAD]])</f>
        <v>0</v>
      </c>
      <c r="T385" s="8"/>
    </row>
    <row r="386" spans="2:20" x14ac:dyDescent="0.2">
      <c r="B386" s="11" t="str">
        <f>IF(PRODUCTOS[[#This Row],[CODIGO]]="", "", PRODUCTOS[[#This Row],[CODIGO]])</f>
        <v>HER-CAIM-6</v>
      </c>
      <c r="C386" s="6" t="str">
        <f>IF(GENERAL[[#This Row],[CODIGO]]="", "", VLOOKUP(GENERAL[[#This Row],[CODIGO]], PRODUCTOS[#All], 2, FALSE))</f>
        <v>Caimanes 6"</v>
      </c>
      <c r="D38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86" s="28" t="str">
        <f>IFERROR(IF(GENERAL[[#This Row],[CANTIDAD]]=0, "AGOTADO", IF(GENERAL[[#This Row],[CANTIDAD]]&lt;VLOOKUP(GENERAL[[#This Row],[CODIGO]], PRODUCTOS[#All], 3, FALSE), "MENOR AL MINIMO", "")), "")</f>
        <v>AGOTADO</v>
      </c>
      <c r="F386" s="39">
        <f>IF(OR(GENERAL[[#This Row],[CODIGO]]="", GENERAL[[#This Row],[CANTIDAD]]=""), "", VLOOKUP(GENERAL[[#This Row],[CODIGO]], PRODUCTOS[#All], 4, FALSE) * GENERAL[[#This Row],[CANTIDAD]])</f>
        <v>0</v>
      </c>
      <c r="T386" s="8"/>
    </row>
    <row r="387" spans="2:20" x14ac:dyDescent="0.2">
      <c r="B387" s="11" t="str">
        <f>IF(PRODUCTOS[[#This Row],[CODIGO]]="", "", PRODUCTOS[[#This Row],[CODIGO]])</f>
        <v>HER-CEPALTR-003</v>
      </c>
      <c r="C387" s="6" t="str">
        <f>IF(GENERAL[[#This Row],[CODIGO]]="", "", VLOOKUP(GENERAL[[#This Row],[CODIGO]], PRODUCTOS[#All], 2, FALSE))</f>
        <v xml:space="preserve">Cepillo de alambre mango de plástico Truper </v>
      </c>
      <c r="D38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87" s="28" t="str">
        <f>IFERROR(IF(GENERAL[[#This Row],[CANTIDAD]]=0, "AGOTADO", IF(GENERAL[[#This Row],[CANTIDAD]]&lt;VLOOKUP(GENERAL[[#This Row],[CODIGO]], PRODUCTOS[#All], 3, FALSE), "MENOR AL MINIMO", "")), "")</f>
        <v>AGOTADO</v>
      </c>
      <c r="F387" s="39">
        <f>IF(OR(GENERAL[[#This Row],[CODIGO]]="", GENERAL[[#This Row],[CANTIDAD]]=""), "", VLOOKUP(GENERAL[[#This Row],[CODIGO]], PRODUCTOS[#All], 4, FALSE) * GENERAL[[#This Row],[CANTIDAD]])</f>
        <v>0</v>
      </c>
      <c r="T387" s="8"/>
    </row>
    <row r="388" spans="2:20" x14ac:dyDescent="0.2">
      <c r="B388" s="11" t="str">
        <f>IF(PRODUCTOS[[#This Row],[CODIGO]]="", "", PRODUCTOS[[#This Row],[CODIGO]])</f>
        <v>HER-CEPALTR-020</v>
      </c>
      <c r="C388" s="6" t="str">
        <f>IF(GENERAL[[#This Row],[CODIGO]]="", "", VLOOKUP(GENERAL[[#This Row],[CODIGO]], PRODUCTOS[#All], 2, FALSE))</f>
        <v xml:space="preserve">Cepillo de alambre metálico marca truper </v>
      </c>
      <c r="D38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88" s="28" t="str">
        <f>IFERROR(IF(GENERAL[[#This Row],[CANTIDAD]]=0, "AGOTADO", IF(GENERAL[[#This Row],[CANTIDAD]]&lt;VLOOKUP(GENERAL[[#This Row],[CODIGO]], PRODUCTOS[#All], 3, FALSE), "MENOR AL MINIMO", "")), "")</f>
        <v>AGOTADO</v>
      </c>
      <c r="F388" s="39">
        <f>IF(OR(GENERAL[[#This Row],[CODIGO]]="", GENERAL[[#This Row],[CANTIDAD]]=""), "", VLOOKUP(GENERAL[[#This Row],[CODIGO]], PRODUCTOS[#All], 4, FALSE) * GENERAL[[#This Row],[CANTIDAD]])</f>
        <v>0</v>
      </c>
      <c r="T388" s="8"/>
    </row>
    <row r="389" spans="2:20" x14ac:dyDescent="0.2">
      <c r="B389" s="11" t="str">
        <f>IF(PRODUCTOS[[#This Row],[CODIGO]]="", "", PRODUCTOS[[#This Row],[CODIGO]])</f>
        <v>HER-CERRU-50</v>
      </c>
      <c r="C389" s="6" t="str">
        <f>IF(GENERAL[[#This Row],[CODIGO]]="", "", VLOOKUP(GENERAL[[#This Row],[CODIGO]], PRODUCTOS[#All], 2, FALSE))</f>
        <v xml:space="preserve">Cerrucho Total 50" </v>
      </c>
      <c r="D38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89" s="28" t="str">
        <f>IFERROR(IF(GENERAL[[#This Row],[CANTIDAD]]=0, "AGOTADO", IF(GENERAL[[#This Row],[CANTIDAD]]&lt;VLOOKUP(GENERAL[[#This Row],[CODIGO]], PRODUCTOS[#All], 3, FALSE), "MENOR AL MINIMO", "")), "")</f>
        <v>AGOTADO</v>
      </c>
      <c r="F389" s="39">
        <f>IF(OR(GENERAL[[#This Row],[CODIGO]]="", GENERAL[[#This Row],[CANTIDAD]]=""), "", VLOOKUP(GENERAL[[#This Row],[CODIGO]], PRODUCTOS[#All], 4, FALSE) * GENERAL[[#This Row],[CANTIDAD]])</f>
        <v>0</v>
      </c>
      <c r="T389" s="8"/>
    </row>
    <row r="390" spans="2:20" x14ac:dyDescent="0.2">
      <c r="B390" s="11" t="str">
        <f>IF(PRODUCTOS[[#This Row],[CODIGO]]="", "", PRODUCTOS[[#This Row],[CODIGO]])</f>
        <v>HER-CIME-30</v>
      </c>
      <c r="C390" s="6" t="str">
        <f>IF(GENERAL[[#This Row],[CODIGO]]="", "", VLOOKUP(GENERAL[[#This Row],[CODIGO]], PRODUCTOS[#All], 2, FALSE))</f>
        <v xml:space="preserve">Cinta métrica 30m </v>
      </c>
      <c r="D39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90" s="28" t="str">
        <f>IFERROR(IF(GENERAL[[#This Row],[CANTIDAD]]=0, "AGOTADO", IF(GENERAL[[#This Row],[CANTIDAD]]&lt;VLOOKUP(GENERAL[[#This Row],[CODIGO]], PRODUCTOS[#All], 3, FALSE), "MENOR AL MINIMO", "")), "")</f>
        <v>AGOTADO</v>
      </c>
      <c r="F390" s="39">
        <f>IF(OR(GENERAL[[#This Row],[CODIGO]]="", GENERAL[[#This Row],[CANTIDAD]]=""), "", VLOOKUP(GENERAL[[#This Row],[CODIGO]], PRODUCTOS[#All], 4, FALSE) * GENERAL[[#This Row],[CANTIDAD]])</f>
        <v>0</v>
      </c>
      <c r="T390" s="8"/>
    </row>
    <row r="391" spans="2:20" x14ac:dyDescent="0.2">
      <c r="B391" s="11" t="str">
        <f>IF(PRODUCTOS[[#This Row],[CODIGO]]="", "", PRODUCTOS[[#This Row],[CODIGO]])</f>
        <v>HER-CINCH-1500</v>
      </c>
      <c r="C391" s="6" t="str">
        <f>IF(GENERAL[[#This Row],[CODIGO]]="", "", VLOOKUP(GENERAL[[#This Row],[CODIGO]], PRODUCTOS[#All], 2, FALSE))</f>
        <v>Cincho de 5.8 cm x 8.23 m capacidad 1500k</v>
      </c>
      <c r="D39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91" s="28" t="str">
        <f>IFERROR(IF(GENERAL[[#This Row],[CANTIDAD]]=0, "AGOTADO", IF(GENERAL[[#This Row],[CANTIDAD]]&lt;VLOOKUP(GENERAL[[#This Row],[CODIGO]], PRODUCTOS[#All], 3, FALSE), "MENOR AL MINIMO", "")), "")</f>
        <v>AGOTADO</v>
      </c>
      <c r="F391" s="39">
        <f>IF(OR(GENERAL[[#This Row],[CODIGO]]="", GENERAL[[#This Row],[CANTIDAD]]=""), "", VLOOKUP(GENERAL[[#This Row],[CODIGO]], PRODUCTOS[#All], 4, FALSE) * GENERAL[[#This Row],[CANTIDAD]])</f>
        <v>0</v>
      </c>
      <c r="T391" s="8"/>
    </row>
    <row r="392" spans="2:20" x14ac:dyDescent="0.2">
      <c r="B392" s="11" t="str">
        <f>IF(PRODUCTOS[[#This Row],[CODIGO]]="", "", PRODUCTOS[[#This Row],[CODIGO]])</f>
        <v>HER-CIZA-012</v>
      </c>
      <c r="C392" s="6" t="str">
        <f>IF(GENERAL[[#This Row],[CODIGO]]="", "", VLOOKUP(GENERAL[[#This Row],[CODIGO]], PRODUCTOS[#All], 2, FALSE))</f>
        <v>Cizalla corta pernos</v>
      </c>
      <c r="D39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92" s="28" t="str">
        <f>IFERROR(IF(GENERAL[[#This Row],[CANTIDAD]]=0, "AGOTADO", IF(GENERAL[[#This Row],[CANTIDAD]]&lt;VLOOKUP(GENERAL[[#This Row],[CODIGO]], PRODUCTOS[#All], 3, FALSE), "MENOR AL MINIMO", "")), "")</f>
        <v>AGOTADO</v>
      </c>
      <c r="F392" s="39">
        <f>IF(OR(GENERAL[[#This Row],[CODIGO]]="", GENERAL[[#This Row],[CANTIDAD]]=""), "", VLOOKUP(GENERAL[[#This Row],[CODIGO]], PRODUCTOS[#All], 4, FALSE) * GENERAL[[#This Row],[CANTIDAD]])</f>
        <v>0</v>
      </c>
      <c r="T392" s="8"/>
    </row>
    <row r="393" spans="2:20" x14ac:dyDescent="0.2">
      <c r="B393" s="11" t="str">
        <f>IF(PRODUCTOS[[#This Row],[CODIGO]]="", "", PRODUCTOS[[#This Row],[CODIGO]])</f>
        <v>HER-CLAV-029</v>
      </c>
      <c r="C393" s="6" t="str">
        <f>IF(GENERAL[[#This Row],[CODIGO]]="", "", VLOOKUP(GENERAL[[#This Row],[CODIGO]], PRODUCTOS[#All], 2, FALSE))</f>
        <v>Clavos (g)</v>
      </c>
      <c r="D39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93" s="28" t="str">
        <f>IFERROR(IF(GENERAL[[#This Row],[CANTIDAD]]=0, "AGOTADO", IF(GENERAL[[#This Row],[CANTIDAD]]&lt;VLOOKUP(GENERAL[[#This Row],[CODIGO]], PRODUCTOS[#All], 3, FALSE), "MENOR AL MINIMO", "")), "")</f>
        <v>AGOTADO</v>
      </c>
      <c r="F393" s="39">
        <f>IF(OR(GENERAL[[#This Row],[CODIGO]]="", GENERAL[[#This Row],[CANTIDAD]]=""), "", VLOOKUP(GENERAL[[#This Row],[CODIGO]], PRODUCTOS[#All], 4, FALSE) * GENERAL[[#This Row],[CANTIDAD]])</f>
        <v>0</v>
      </c>
      <c r="T393" s="8"/>
    </row>
    <row r="394" spans="2:20" x14ac:dyDescent="0.2">
      <c r="B394" s="11" t="str">
        <f>IF(PRODUCTOS[[#This Row],[CODIGO]]="", "", PRODUCTOS[[#This Row],[CODIGO]])</f>
        <v>HER-CUT-008</v>
      </c>
      <c r="C394" s="6" t="str">
        <f>IF(GENERAL[[#This Row],[CODIGO]]="", "", VLOOKUP(GENERAL[[#This Row],[CODIGO]], PRODUCTOS[#All], 2, FALSE))</f>
        <v xml:space="preserve">Cuter </v>
      </c>
      <c r="D39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94" s="28" t="str">
        <f>IFERROR(IF(GENERAL[[#This Row],[CANTIDAD]]=0, "AGOTADO", IF(GENERAL[[#This Row],[CANTIDAD]]&lt;VLOOKUP(GENERAL[[#This Row],[CODIGO]], PRODUCTOS[#All], 3, FALSE), "MENOR AL MINIMO", "")), "")</f>
        <v>AGOTADO</v>
      </c>
      <c r="F394" s="39">
        <f>IF(OR(GENERAL[[#This Row],[CODIGO]]="", GENERAL[[#This Row],[CANTIDAD]]=""), "", VLOOKUP(GENERAL[[#This Row],[CODIGO]], PRODUCTOS[#All], 4, FALSE) * GENERAL[[#This Row],[CANTIDAD]])</f>
        <v>0</v>
      </c>
      <c r="T394" s="8"/>
    </row>
    <row r="395" spans="2:20" x14ac:dyDescent="0.2">
      <c r="B395" s="11" t="str">
        <f>IF(PRODUCTOS[[#This Row],[CODIGO]]="", "", PRODUCTOS[[#This Row],[CODIGO]])</f>
        <v>HER-DAURR-11316</v>
      </c>
      <c r="C395" s="6" t="str">
        <f>IF(GENERAL[[#This Row],[CODIGO]]="", "", VLOOKUP(GENERAL[[#This Row],[CODIGO]], PRODUCTOS[#All], 2, FALSE))</f>
        <v>Dado urrea 1 13/16"</v>
      </c>
      <c r="D39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95" s="28" t="str">
        <f>IFERROR(IF(GENERAL[[#This Row],[CANTIDAD]]=0, "AGOTADO", IF(GENERAL[[#This Row],[CANTIDAD]]&lt;VLOOKUP(GENERAL[[#This Row],[CODIGO]], PRODUCTOS[#All], 3, FALSE), "MENOR AL MINIMO", "")), "")</f>
        <v>AGOTADO</v>
      </c>
      <c r="F395" s="39">
        <f>IF(OR(GENERAL[[#This Row],[CODIGO]]="", GENERAL[[#This Row],[CANTIDAD]]=""), "", VLOOKUP(GENERAL[[#This Row],[CODIGO]], PRODUCTOS[#All], 4, FALSE) * GENERAL[[#This Row],[CANTIDAD]])</f>
        <v>0</v>
      </c>
      <c r="T395" s="8"/>
    </row>
    <row r="396" spans="2:20" x14ac:dyDescent="0.2">
      <c r="B396" s="11" t="str">
        <f>IF(PRODUCTOS[[#This Row],[CODIGO]]="", "", PRODUCTOS[[#This Row],[CODIGO]])</f>
        <v>HER-DECRPR-009</v>
      </c>
      <c r="C396" s="6" t="str">
        <f>IF(GENERAL[[#This Row],[CODIGO]]="", "", VLOOKUP(GENERAL[[#This Row],[CODIGO]], PRODUCTOS[#All], 2, FALSE))</f>
        <v>desarmador cruz pretul dp-316 x 4tp</v>
      </c>
      <c r="D39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96" s="28" t="str">
        <f>IFERROR(IF(GENERAL[[#This Row],[CANTIDAD]]=0, "AGOTADO", IF(GENERAL[[#This Row],[CANTIDAD]]&lt;VLOOKUP(GENERAL[[#This Row],[CODIGO]], PRODUCTOS[#All], 3, FALSE), "MENOR AL MINIMO", "")), "")</f>
        <v>AGOTADO</v>
      </c>
      <c r="F396" s="39">
        <f>IF(OR(GENERAL[[#This Row],[CODIGO]]="", GENERAL[[#This Row],[CANTIDAD]]=""), "", VLOOKUP(GENERAL[[#This Row],[CODIGO]], PRODUCTOS[#All], 4, FALSE) * GENERAL[[#This Row],[CANTIDAD]])</f>
        <v>0</v>
      </c>
      <c r="T396" s="8"/>
    </row>
    <row r="397" spans="2:20" x14ac:dyDescent="0.2">
      <c r="B397" s="11" t="str">
        <f>IF(PRODUCTOS[[#This Row],[CODIGO]]="", "", PRODUCTOS[[#This Row],[CODIGO]])</f>
        <v>HER-DESCRZ-316</v>
      </c>
      <c r="C397" s="6" t="str">
        <f>IF(GENERAL[[#This Row],[CODIGO]]="", "", VLOOKUP(GENERAL[[#This Row],[CODIGO]], PRODUCTOS[#All], 2, FALSE))</f>
        <v>Desarmador cruz dp 3/16 x 3</v>
      </c>
      <c r="D39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97" s="28" t="str">
        <f>IFERROR(IF(GENERAL[[#This Row],[CANTIDAD]]=0, "AGOTADO", IF(GENERAL[[#This Row],[CANTIDAD]]&lt;VLOOKUP(GENERAL[[#This Row],[CODIGO]], PRODUCTOS[#All], 3, FALSE), "MENOR AL MINIMO", "")), "")</f>
        <v>AGOTADO</v>
      </c>
      <c r="F397" s="39">
        <f>IF(OR(GENERAL[[#This Row],[CODIGO]]="", GENERAL[[#This Row],[CANTIDAD]]=""), "", VLOOKUP(GENERAL[[#This Row],[CODIGO]], PRODUCTOS[#All], 4, FALSE) * GENERAL[[#This Row],[CANTIDAD]])</f>
        <v>0</v>
      </c>
      <c r="T397" s="8"/>
    </row>
    <row r="398" spans="2:20" x14ac:dyDescent="0.2">
      <c r="B398" s="11" t="str">
        <f>IF(PRODUCTOS[[#This Row],[CODIGO]]="", "", PRODUCTOS[[#This Row],[CODIGO]])</f>
        <v>HER-DESDIE-017</v>
      </c>
      <c r="C398" s="6" t="str">
        <f>IF(GENERAL[[#This Row],[CODIGO]]="", "", VLOOKUP(GENERAL[[#This Row],[CODIGO]], PRODUCTOS[#All], 2, FALSE))</f>
        <v>Desarmador dielectrico 0.8x4x100</v>
      </c>
      <c r="D39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98" s="28" t="str">
        <f>IFERROR(IF(GENERAL[[#This Row],[CANTIDAD]]=0, "AGOTADO", IF(GENERAL[[#This Row],[CANTIDAD]]&lt;VLOOKUP(GENERAL[[#This Row],[CODIGO]], PRODUCTOS[#All], 3, FALSE), "MENOR AL MINIMO", "")), "")</f>
        <v>AGOTADO</v>
      </c>
      <c r="F398" s="39">
        <f>IF(OR(GENERAL[[#This Row],[CODIGO]]="", GENERAL[[#This Row],[CANTIDAD]]=""), "", VLOOKUP(GENERAL[[#This Row],[CODIGO]], PRODUCTOS[#All], 4, FALSE) * GENERAL[[#This Row],[CANTIDAD]])</f>
        <v>0</v>
      </c>
      <c r="T398" s="8"/>
    </row>
    <row r="399" spans="2:20" x14ac:dyDescent="0.2">
      <c r="B399" s="11" t="str">
        <f>IF(PRODUCTOS[[#This Row],[CODIGO]]="", "", PRODUCTOS[[#This Row],[CODIGO]])</f>
        <v>HER-DESPL-021</v>
      </c>
      <c r="C399" s="6" t="str">
        <f>IF(GENERAL[[#This Row],[CODIGO]]="", "", VLOOKUP(GENERAL[[#This Row],[CODIGO]], PRODUCTOS[#All], 2, FALSE))</f>
        <v xml:space="preserve">Desarmador plano Total </v>
      </c>
      <c r="D39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399" s="28" t="str">
        <f>IFERROR(IF(GENERAL[[#This Row],[CANTIDAD]]=0, "AGOTADO", IF(GENERAL[[#This Row],[CANTIDAD]]&lt;VLOOKUP(GENERAL[[#This Row],[CODIGO]], PRODUCTOS[#All], 3, FALSE), "MENOR AL MINIMO", "")), "")</f>
        <v>AGOTADO</v>
      </c>
      <c r="F399" s="39">
        <f>IF(OR(GENERAL[[#This Row],[CODIGO]]="", GENERAL[[#This Row],[CANTIDAD]]=""), "", VLOOKUP(GENERAL[[#This Row],[CODIGO]], PRODUCTOS[#All], 4, FALSE) * GENERAL[[#This Row],[CANTIDAD]])</f>
        <v>0</v>
      </c>
      <c r="T399" s="8"/>
    </row>
    <row r="400" spans="2:20" x14ac:dyDescent="0.2">
      <c r="B400" s="11" t="str">
        <f>IF(PRODUCTOS[[#This Row],[CODIGO]]="", "", PRODUCTOS[[#This Row],[CODIGO]])</f>
        <v>HER-DESPL-316</v>
      </c>
      <c r="C400" s="6" t="str">
        <f>IF(GENERAL[[#This Row],[CODIGO]]="", "", VLOOKUP(GENERAL[[#This Row],[CODIGO]], PRODUCTOS[#All], 2, FALSE))</f>
        <v>desarmador plano truper dg 3/16 x 4"</v>
      </c>
      <c r="D40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00" s="28" t="str">
        <f>IFERROR(IF(GENERAL[[#This Row],[CANTIDAD]]=0, "AGOTADO", IF(GENERAL[[#This Row],[CANTIDAD]]&lt;VLOOKUP(GENERAL[[#This Row],[CODIGO]], PRODUCTOS[#All], 3, FALSE), "MENOR AL MINIMO", "")), "")</f>
        <v>AGOTADO</v>
      </c>
      <c r="F400" s="39">
        <f>IF(OR(GENERAL[[#This Row],[CODIGO]]="", GENERAL[[#This Row],[CANTIDAD]]=""), "", VLOOKUP(GENERAL[[#This Row],[CODIGO]], PRODUCTOS[#All], 4, FALSE) * GENERAL[[#This Row],[CANTIDAD]])</f>
        <v>0</v>
      </c>
      <c r="T400" s="8"/>
    </row>
    <row r="401" spans="2:20" x14ac:dyDescent="0.2">
      <c r="B401" s="11" t="str">
        <f>IF(PRODUCTOS[[#This Row],[CODIGO]]="", "", PRODUCTOS[[#This Row],[CODIGO]])</f>
        <v>HER-DESVE-001</v>
      </c>
      <c r="C401" s="6" t="str">
        <f>IF(GENERAL[[#This Row],[CODIGO]]="", "", VLOOKUP(GENERAL[[#This Row],[CODIGO]], PRODUCTOS[#All], 2, FALSE))</f>
        <v xml:space="preserve">Desarmador verde </v>
      </c>
      <c r="D40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01" s="28" t="str">
        <f>IFERROR(IF(GENERAL[[#This Row],[CANTIDAD]]=0, "AGOTADO", IF(GENERAL[[#This Row],[CANTIDAD]]&lt;VLOOKUP(GENERAL[[#This Row],[CODIGO]], PRODUCTOS[#All], 3, FALSE), "MENOR AL MINIMO", "")), "")</f>
        <v>AGOTADO</v>
      </c>
      <c r="F401" s="39">
        <f>IF(OR(GENERAL[[#This Row],[CODIGO]]="", GENERAL[[#This Row],[CANTIDAD]]=""), "", VLOOKUP(GENERAL[[#This Row],[CODIGO]], PRODUCTOS[#All], 4, FALSE) * GENERAL[[#This Row],[CANTIDAD]])</f>
        <v>0</v>
      </c>
      <c r="T401" s="8"/>
    </row>
    <row r="402" spans="2:20" x14ac:dyDescent="0.2">
      <c r="B402" s="11" t="str">
        <f>IF(PRODUCTOS[[#This Row],[CODIGO]]="", "", PRODUCTOS[[#This Row],[CODIGO]])</f>
        <v>HER-DPPR-007</v>
      </c>
      <c r="C402" s="6" t="str">
        <f>IF(GENERAL[[#This Row],[CODIGO]]="", "", VLOOKUP(GENERAL[[#This Row],[CODIGO]], PRODUCTOS[#All], 2, FALSE))</f>
        <v>Desarmador plano pretul</v>
      </c>
      <c r="D40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02" s="28" t="str">
        <f>IFERROR(IF(GENERAL[[#This Row],[CANTIDAD]]=0, "AGOTADO", IF(GENERAL[[#This Row],[CANTIDAD]]&lt;VLOOKUP(GENERAL[[#This Row],[CODIGO]], PRODUCTOS[#All], 3, FALSE), "MENOR AL MINIMO", "")), "")</f>
        <v>AGOTADO</v>
      </c>
      <c r="F402" s="39">
        <f>IF(OR(GENERAL[[#This Row],[CODIGO]]="", GENERAL[[#This Row],[CANTIDAD]]=""), "", VLOOKUP(GENERAL[[#This Row],[CODIGO]], PRODUCTOS[#All], 4, FALSE) * GENERAL[[#This Row],[CANTIDAD]])</f>
        <v>0</v>
      </c>
      <c r="T402" s="8"/>
    </row>
    <row r="403" spans="2:20" x14ac:dyDescent="0.2">
      <c r="B403" s="11" t="str">
        <f>IF(PRODUCTOS[[#This Row],[CODIGO]]="", "", PRODUCTOS[[#This Row],[CODIGO]])</f>
        <v>HER-ELEV-3</v>
      </c>
      <c r="C403" s="6" t="str">
        <f>IF(GENERAL[[#This Row],[CODIGO]]="", "", VLOOKUP(GENERAL[[#This Row],[CODIGO]], PRODUCTOS[#All], 2, FALSE))</f>
        <v>Elevadores par 3"</v>
      </c>
      <c r="D40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03" s="28" t="str">
        <f>IFERROR(IF(GENERAL[[#This Row],[CANTIDAD]]=0, "AGOTADO", IF(GENERAL[[#This Row],[CANTIDAD]]&lt;VLOOKUP(GENERAL[[#This Row],[CODIGO]], PRODUCTOS[#All], 3, FALSE), "MENOR AL MINIMO", "")), "")</f>
        <v>AGOTADO</v>
      </c>
      <c r="F403" s="39">
        <f>IF(OR(GENERAL[[#This Row],[CODIGO]]="", GENERAL[[#This Row],[CANTIDAD]]=""), "", VLOOKUP(GENERAL[[#This Row],[CODIGO]], PRODUCTOS[#All], 4, FALSE) * GENERAL[[#This Row],[CANTIDAD]])</f>
        <v>0</v>
      </c>
      <c r="T403" s="8"/>
    </row>
    <row r="404" spans="2:20" x14ac:dyDescent="0.2">
      <c r="B404" s="11" t="str">
        <f>IF(PRODUCTOS[[#This Row],[CODIGO]]="", "", PRODUCTOS[[#This Row],[CODIGO]])</f>
        <v>HER-ELEV-4</v>
      </c>
      <c r="C404" s="6" t="str">
        <f>IF(GENERAL[[#This Row],[CODIGO]]="", "", VLOOKUP(GENERAL[[#This Row],[CODIGO]], PRODUCTOS[#All], 2, FALSE))</f>
        <v>Elevadores par 4"</v>
      </c>
      <c r="D40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04" s="28" t="str">
        <f>IFERROR(IF(GENERAL[[#This Row],[CANTIDAD]]=0, "AGOTADO", IF(GENERAL[[#This Row],[CANTIDAD]]&lt;VLOOKUP(GENERAL[[#This Row],[CODIGO]], PRODUCTOS[#All], 3, FALSE), "MENOR AL MINIMO", "")), "")</f>
        <v>AGOTADO</v>
      </c>
      <c r="F404" s="39">
        <f>IF(OR(GENERAL[[#This Row],[CODIGO]]="", GENERAL[[#This Row],[CANTIDAD]]=""), "", VLOOKUP(GENERAL[[#This Row],[CODIGO]], PRODUCTOS[#All], 4, FALSE) * GENERAL[[#This Row],[CANTIDAD]])</f>
        <v>0</v>
      </c>
      <c r="T404" s="8"/>
    </row>
    <row r="405" spans="2:20" x14ac:dyDescent="0.2">
      <c r="B405" s="11" t="str">
        <f>IF(PRODUCTOS[[#This Row],[CODIGO]]="", "", PRODUCTOS[[#This Row],[CODIGO]])</f>
        <v>HER-ELEV-6</v>
      </c>
      <c r="C405" s="6" t="str">
        <f>IF(GENERAL[[#This Row],[CODIGO]]="", "", VLOOKUP(GENERAL[[#This Row],[CODIGO]], PRODUCTOS[#All], 2, FALSE))</f>
        <v>Elevadores par 6"</v>
      </c>
      <c r="D40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05" s="28" t="str">
        <f>IFERROR(IF(GENERAL[[#This Row],[CANTIDAD]]=0, "AGOTADO", IF(GENERAL[[#This Row],[CANTIDAD]]&lt;VLOOKUP(GENERAL[[#This Row],[CODIGO]], PRODUCTOS[#All], 3, FALSE), "MENOR AL MINIMO", "")), "")</f>
        <v>AGOTADO</v>
      </c>
      <c r="F405" s="39">
        <f>IF(OR(GENERAL[[#This Row],[CODIGO]]="", GENERAL[[#This Row],[CANTIDAD]]=""), "", VLOOKUP(GENERAL[[#This Row],[CODIGO]], PRODUCTOS[#All], 4, FALSE) * GENERAL[[#This Row],[CANTIDAD]])</f>
        <v>0</v>
      </c>
      <c r="T405" s="8"/>
    </row>
    <row r="406" spans="2:20" x14ac:dyDescent="0.2">
      <c r="B406" s="11" t="str">
        <f>IF(PRODUCTOS[[#This Row],[CODIGO]]="", "", PRODUCTOS[[#This Row],[CODIGO]])</f>
        <v>HER-ELEV-8</v>
      </c>
      <c r="C406" s="6" t="str">
        <f>IF(GENERAL[[#This Row],[CODIGO]]="", "", VLOOKUP(GENERAL[[#This Row],[CODIGO]], PRODUCTOS[#All], 2, FALSE))</f>
        <v>Elevadores par 8"</v>
      </c>
      <c r="D40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06" s="28" t="str">
        <f>IFERROR(IF(GENERAL[[#This Row],[CANTIDAD]]=0, "AGOTADO", IF(GENERAL[[#This Row],[CANTIDAD]]&lt;VLOOKUP(GENERAL[[#This Row],[CODIGO]], PRODUCTOS[#All], 3, FALSE), "MENOR AL MINIMO", "")), "")</f>
        <v>AGOTADO</v>
      </c>
      <c r="F406" s="39">
        <f>IF(OR(GENERAL[[#This Row],[CODIGO]]="", GENERAL[[#This Row],[CANTIDAD]]=""), "", VLOOKUP(GENERAL[[#This Row],[CODIGO]], PRODUCTOS[#All], 4, FALSE) * GENERAL[[#This Row],[CANTIDAD]])</f>
        <v>0</v>
      </c>
      <c r="T406" s="8"/>
    </row>
    <row r="407" spans="2:20" x14ac:dyDescent="0.2">
      <c r="B407" s="11" t="str">
        <f>IF(PRODUCTOS[[#This Row],[CODIGO]]="", "", PRODUCTOS[[#This Row],[CODIGO]])</f>
        <v>HER-ESCSU-9</v>
      </c>
      <c r="C407" s="6" t="str">
        <f>IF(GENERAL[[#This Row],[CODIGO]]="", "", VLOOKUP(GENERAL[[#This Row],[CODIGO]], PRODUCTOS[#All], 2, FALSE))</f>
        <v xml:space="preserve">Escuadra surtek 9" </v>
      </c>
      <c r="D40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07" s="28" t="str">
        <f>IFERROR(IF(GENERAL[[#This Row],[CANTIDAD]]=0, "AGOTADO", IF(GENERAL[[#This Row],[CANTIDAD]]&lt;VLOOKUP(GENERAL[[#This Row],[CODIGO]], PRODUCTOS[#All], 3, FALSE), "MENOR AL MINIMO", "")), "")</f>
        <v>AGOTADO</v>
      </c>
      <c r="F407" s="39">
        <f>IF(OR(GENERAL[[#This Row],[CODIGO]]="", GENERAL[[#This Row],[CANTIDAD]]=""), "", VLOOKUP(GENERAL[[#This Row],[CODIGO]], PRODUCTOS[#All], 4, FALSE) * GENERAL[[#This Row],[CANTIDAD]])</f>
        <v>0</v>
      </c>
      <c r="T407" s="8"/>
    </row>
    <row r="408" spans="2:20" x14ac:dyDescent="0.2">
      <c r="B408" s="11" t="str">
        <f>IF(PRODUCTOS[[#This Row],[CODIGO]]="", "", PRODUCTOS[[#This Row],[CODIGO]])</f>
        <v>HER-FLEJSEA-10</v>
      </c>
      <c r="C408" s="6" t="str">
        <f>IF(GENERAL[[#This Row],[CODIGO]]="", "", VLOOKUP(GENERAL[[#This Row],[CODIGO]], PRODUCTOS[#All], 2, FALSE))</f>
        <v>Flejadora manual azul 10" marca seafon</v>
      </c>
      <c r="D40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08" s="28" t="str">
        <f>IFERROR(IF(GENERAL[[#This Row],[CANTIDAD]]=0, "AGOTADO", IF(GENERAL[[#This Row],[CANTIDAD]]&lt;VLOOKUP(GENERAL[[#This Row],[CODIGO]], PRODUCTOS[#All], 3, FALSE), "MENOR AL MINIMO", "")), "")</f>
        <v>AGOTADO</v>
      </c>
      <c r="F408" s="39">
        <f>IF(OR(GENERAL[[#This Row],[CODIGO]]="", GENERAL[[#This Row],[CANTIDAD]]=""), "", VLOOKUP(GENERAL[[#This Row],[CODIGO]], PRODUCTOS[#All], 4, FALSE) * GENERAL[[#This Row],[CANTIDAD]])</f>
        <v>0</v>
      </c>
      <c r="T408" s="8"/>
    </row>
    <row r="409" spans="2:20" x14ac:dyDescent="0.2">
      <c r="B409" s="11" t="str">
        <f>IF(PRODUCTOS[[#This Row],[CODIGO]]="", "", PRODUCTOS[[#This Row],[CODIGO]])</f>
        <v>HER-FORTR-1</v>
      </c>
      <c r="C409" s="6" t="str">
        <f>IF(GENERAL[[#This Row],[CODIGO]]="", "", VLOOKUP(GENERAL[[#This Row],[CODIGO]], PRODUCTOS[#All], 2, FALSE))</f>
        <v xml:space="preserve">Furmon truper 1" </v>
      </c>
      <c r="D40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09" s="28" t="str">
        <f>IFERROR(IF(GENERAL[[#This Row],[CANTIDAD]]=0, "AGOTADO", IF(GENERAL[[#This Row],[CANTIDAD]]&lt;VLOOKUP(GENERAL[[#This Row],[CODIGO]], PRODUCTOS[#All], 3, FALSE), "MENOR AL MINIMO", "")), "")</f>
        <v>AGOTADO</v>
      </c>
      <c r="F409" s="39">
        <f>IF(OR(GENERAL[[#This Row],[CODIGO]]="", GENERAL[[#This Row],[CANTIDAD]]=""), "", VLOOKUP(GENERAL[[#This Row],[CODIGO]], PRODUCTOS[#All], 4, FALSE) * GENERAL[[#This Row],[CANTIDAD]])</f>
        <v>0</v>
      </c>
      <c r="T409" s="8"/>
    </row>
    <row r="410" spans="2:20" x14ac:dyDescent="0.2">
      <c r="B410" s="11" t="str">
        <f>IF(PRODUCTOS[[#This Row],[CODIGO]]="", "", PRODUCTOS[[#This Row],[CODIGO]])</f>
        <v>HER-GUILL-024</v>
      </c>
      <c r="C410" s="6" t="str">
        <f>IF(GENERAL[[#This Row],[CODIGO]]="", "", VLOOKUP(GENERAL[[#This Row],[CODIGO]], PRODUCTOS[#All], 2, FALSE))</f>
        <v xml:space="preserve">Guillotina </v>
      </c>
      <c r="D41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10" s="28" t="str">
        <f>IFERROR(IF(GENERAL[[#This Row],[CANTIDAD]]=0, "AGOTADO", IF(GENERAL[[#This Row],[CANTIDAD]]&lt;VLOOKUP(GENERAL[[#This Row],[CODIGO]], PRODUCTOS[#All], 3, FALSE), "MENOR AL MINIMO", "")), "")</f>
        <v>AGOTADO</v>
      </c>
      <c r="F410" s="39">
        <f>IF(OR(GENERAL[[#This Row],[CODIGO]]="", GENERAL[[#This Row],[CANTIDAD]]=""), "", VLOOKUP(GENERAL[[#This Row],[CODIGO]], PRODUCTOS[#All], 4, FALSE) * GENERAL[[#This Row],[CANTIDAD]])</f>
        <v>0</v>
      </c>
      <c r="T410" s="8"/>
    </row>
    <row r="411" spans="2:20" x14ac:dyDescent="0.2">
      <c r="B411" s="11" t="str">
        <f>IF(PRODUCTOS[[#This Row],[CODIGO]]="", "", PRODUCTOS[[#This Row],[CODIGO]])</f>
        <v>HER-JDAD-45P</v>
      </c>
      <c r="C411" s="6" t="str">
        <f>IF(GENERAL[[#This Row],[CODIGO]]="", "", VLOOKUP(GENERAL[[#This Row],[CODIGO]], PRODUCTOS[#All], 2, FALSE))</f>
        <v>Juego de dados Total 45 pzs.</v>
      </c>
      <c r="D41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11" s="28" t="str">
        <f>IFERROR(IF(GENERAL[[#This Row],[CANTIDAD]]=0, "AGOTADO", IF(GENERAL[[#This Row],[CANTIDAD]]&lt;VLOOKUP(GENERAL[[#This Row],[CODIGO]], PRODUCTOS[#All], 3, FALSE), "MENOR AL MINIMO", "")), "")</f>
        <v>AGOTADO</v>
      </c>
      <c r="F411" s="39">
        <f>IF(OR(GENERAL[[#This Row],[CODIGO]]="", GENERAL[[#This Row],[CANTIDAD]]=""), "", VLOOKUP(GENERAL[[#This Row],[CODIGO]], PRODUCTOS[#All], 4, FALSE) * GENERAL[[#This Row],[CANTIDAD]])</f>
        <v>0</v>
      </c>
      <c r="T411" s="8"/>
    </row>
    <row r="412" spans="2:20" x14ac:dyDescent="0.2">
      <c r="B412" s="11" t="str">
        <f>IF(PRODUCTOS[[#This Row],[CODIGO]]="", "", PRODUCTOS[[#This Row],[CODIGO]])</f>
        <v>HER-JDJUM-43P</v>
      </c>
      <c r="C412" s="6" t="str">
        <f>IF(GENERAL[[#This Row],[CODIGO]]="", "", VLOOKUP(GENERAL[[#This Row],[CODIGO]], PRODUCTOS[#All], 2, FALSE))</f>
        <v>Juego de dados juemel 43 pzs.</v>
      </c>
      <c r="D41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12" s="28" t="str">
        <f>IFERROR(IF(GENERAL[[#This Row],[CANTIDAD]]=0, "AGOTADO", IF(GENERAL[[#This Row],[CANTIDAD]]&lt;VLOOKUP(GENERAL[[#This Row],[CODIGO]], PRODUCTOS[#All], 3, FALSE), "MENOR AL MINIMO", "")), "")</f>
        <v>AGOTADO</v>
      </c>
      <c r="F412" s="39">
        <f>IF(OR(GENERAL[[#This Row],[CODIGO]]="", GENERAL[[#This Row],[CANTIDAD]]=""), "", VLOOKUP(GENERAL[[#This Row],[CODIGO]], PRODUCTOS[#All], 4, FALSE) * GENERAL[[#This Row],[CANTIDAD]])</f>
        <v>0</v>
      </c>
      <c r="T412" s="8"/>
    </row>
    <row r="413" spans="2:20" x14ac:dyDescent="0.2">
      <c r="B413" s="11" t="str">
        <f>IF(PRODUCTOS[[#This Row],[CODIGO]]="", "", PRODUCTOS[[#This Row],[CODIGO]])</f>
        <v>HER-JDMA-010</v>
      </c>
      <c r="C413" s="6" t="str">
        <f>IF(GENERAL[[#This Row],[CODIGO]]="", "", VLOOKUP(GENERAL[[#This Row],[CODIGO]], PRODUCTOS[#All], 2, FALSE))</f>
        <v xml:space="preserve">Juego de dados con matraca y extensión </v>
      </c>
      <c r="D41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13" s="28" t="str">
        <f>IFERROR(IF(GENERAL[[#This Row],[CANTIDAD]]=0, "AGOTADO", IF(GENERAL[[#This Row],[CANTIDAD]]&lt;VLOOKUP(GENERAL[[#This Row],[CODIGO]], PRODUCTOS[#All], 3, FALSE), "MENOR AL MINIMO", "")), "")</f>
        <v>AGOTADO</v>
      </c>
      <c r="F413" s="39">
        <f>IF(OR(GENERAL[[#This Row],[CODIGO]]="", GENERAL[[#This Row],[CANTIDAD]]=""), "", VLOOKUP(GENERAL[[#This Row],[CODIGO]], PRODUCTOS[#All], 4, FALSE) * GENERAL[[#This Row],[CANTIDAD]])</f>
        <v>0</v>
      </c>
      <c r="T413" s="8"/>
    </row>
    <row r="414" spans="2:20" x14ac:dyDescent="0.2">
      <c r="B414" s="11" t="str">
        <f>IF(PRODUCTOS[[#This Row],[CODIGO]]="", "", PRODUCTOS[[#This Row],[CODIGO]])</f>
        <v>HER-JDST-37P</v>
      </c>
      <c r="C414" s="6" t="str">
        <f>IF(GENERAL[[#This Row],[CODIGO]]="", "", VLOOKUP(GENERAL[[#This Row],[CODIGO]], PRODUCTOS[#All], 2, FALSE))</f>
        <v xml:space="preserve">Juego de dados stanley 37 piezas </v>
      </c>
      <c r="D41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14" s="28" t="str">
        <f>IFERROR(IF(GENERAL[[#This Row],[CANTIDAD]]=0, "AGOTADO", IF(GENERAL[[#This Row],[CANTIDAD]]&lt;VLOOKUP(GENERAL[[#This Row],[CODIGO]], PRODUCTOS[#All], 3, FALSE), "MENOR AL MINIMO", "")), "")</f>
        <v>AGOTADO</v>
      </c>
      <c r="F414" s="39">
        <f>IF(OR(GENERAL[[#This Row],[CODIGO]]="", GENERAL[[#This Row],[CANTIDAD]]=""), "", VLOOKUP(GENERAL[[#This Row],[CODIGO]], PRODUCTOS[#All], 4, FALSE) * GENERAL[[#This Row],[CANTIDAD]])</f>
        <v>0</v>
      </c>
      <c r="T414" s="8"/>
    </row>
    <row r="415" spans="2:20" x14ac:dyDescent="0.2">
      <c r="B415" s="11" t="str">
        <f>IF(PRODUCTOS[[#This Row],[CODIGO]]="", "", PRODUCTOS[[#This Row],[CODIGO]])</f>
        <v>HER-JLLAES-023</v>
      </c>
      <c r="C415" s="6" t="str">
        <f>IF(GENERAL[[#This Row],[CODIGO]]="", "", VLOOKUP(GENERAL[[#This Row],[CODIGO]], PRODUCTOS[#All], 2, FALSE))</f>
        <v xml:space="preserve">Juego de llaves españolas para rotular </v>
      </c>
      <c r="D41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15" s="28" t="str">
        <f>IFERROR(IF(GENERAL[[#This Row],[CANTIDAD]]=0, "AGOTADO", IF(GENERAL[[#This Row],[CANTIDAD]]&lt;VLOOKUP(GENERAL[[#This Row],[CODIGO]], PRODUCTOS[#All], 3, FALSE), "MENOR AL MINIMO", "")), "")</f>
        <v>AGOTADO</v>
      </c>
      <c r="F415" s="39">
        <f>IF(OR(GENERAL[[#This Row],[CODIGO]]="", GENERAL[[#This Row],[CANTIDAD]]=""), "", VLOOKUP(GENERAL[[#This Row],[CODIGO]], PRODUCTOS[#All], 4, FALSE) * GENERAL[[#This Row],[CANTIDAD]])</f>
        <v>0</v>
      </c>
      <c r="T415" s="8"/>
    </row>
    <row r="416" spans="2:20" x14ac:dyDescent="0.2">
      <c r="B416" s="11" t="str">
        <f>IF(PRODUCTOS[[#This Row],[CODIGO]]="", "", PRODUCTOS[[#This Row],[CODIGO]])</f>
        <v>HER-JLLATO-9P</v>
      </c>
      <c r="C416" s="6" t="str">
        <f>IF(GENERAL[[#This Row],[CODIGO]]="", "", VLOOKUP(GENERAL[[#This Row],[CODIGO]], PRODUCTOS[#All], 2, FALSE))</f>
        <v>Juego de llaves tork  9pzs</v>
      </c>
      <c r="D41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16" s="28" t="str">
        <f>IFERROR(IF(GENERAL[[#This Row],[CANTIDAD]]=0, "AGOTADO", IF(GENERAL[[#This Row],[CANTIDAD]]&lt;VLOOKUP(GENERAL[[#This Row],[CODIGO]], PRODUCTOS[#All], 3, FALSE), "MENOR AL MINIMO", "")), "")</f>
        <v>AGOTADO</v>
      </c>
      <c r="F416" s="39">
        <f>IF(OR(GENERAL[[#This Row],[CODIGO]]="", GENERAL[[#This Row],[CANTIDAD]]=""), "", VLOOKUP(GENERAL[[#This Row],[CODIGO]], PRODUCTOS[#All], 4, FALSE) * GENERAL[[#This Row],[CANTIDAD]])</f>
        <v>0</v>
      </c>
      <c r="T416" s="8"/>
    </row>
    <row r="417" spans="2:20" x14ac:dyDescent="0.2">
      <c r="B417" s="11" t="str">
        <f>IF(PRODUCTOS[[#This Row],[CODIGO]]="", "", PRODUCTOS[[#This Row],[CODIGO]])</f>
        <v>HER-JMATR-16P</v>
      </c>
      <c r="C417" s="6" t="str">
        <f>IF(GENERAL[[#This Row],[CODIGO]]="", "", VLOOKUP(GENERAL[[#This Row],[CODIGO]], PRODUCTOS[#All], 2, FALSE))</f>
        <v>Juego de machuelos 16pzs truper</v>
      </c>
      <c r="D41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17" s="28" t="str">
        <f>IFERROR(IF(GENERAL[[#This Row],[CANTIDAD]]=0, "AGOTADO", IF(GENERAL[[#This Row],[CANTIDAD]]&lt;VLOOKUP(GENERAL[[#This Row],[CODIGO]], PRODUCTOS[#All], 3, FALSE), "MENOR AL MINIMO", "")), "")</f>
        <v>AGOTADO</v>
      </c>
      <c r="F417" s="39">
        <f>IF(OR(GENERAL[[#This Row],[CODIGO]]="", GENERAL[[#This Row],[CANTIDAD]]=""), "", VLOOKUP(GENERAL[[#This Row],[CODIGO]], PRODUCTOS[#All], 4, FALSE) * GENERAL[[#This Row],[CANTIDAD]])</f>
        <v>0</v>
      </c>
      <c r="T417" s="8"/>
    </row>
    <row r="418" spans="2:20" x14ac:dyDescent="0.2">
      <c r="B418" s="11" t="str">
        <f>IF(PRODUCTOS[[#This Row],[CODIGO]]="", "", PRODUCTOS[[#This Row],[CODIGO]])</f>
        <v>HER-JSCB-12P</v>
      </c>
      <c r="C418" s="6" t="str">
        <f>IF(GENERAL[[#This Row],[CODIGO]]="", "", VLOOKUP(GENERAL[[#This Row],[CODIGO]], PRODUCTOS[#All], 2, FALSE))</f>
        <v>juego de sacabocados 12 pzs</v>
      </c>
      <c r="D41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18" s="28" t="str">
        <f>IFERROR(IF(GENERAL[[#This Row],[CANTIDAD]]=0, "AGOTADO", IF(GENERAL[[#This Row],[CANTIDAD]]&lt;VLOOKUP(GENERAL[[#This Row],[CODIGO]], PRODUCTOS[#All], 3, FALSE), "MENOR AL MINIMO", "")), "")</f>
        <v>AGOTADO</v>
      </c>
      <c r="F418" s="39">
        <f>IF(OR(GENERAL[[#This Row],[CODIGO]]="", GENERAL[[#This Row],[CANTIDAD]]=""), "", VLOOKUP(GENERAL[[#This Row],[CODIGO]], PRODUCTOS[#All], 4, FALSE) * GENERAL[[#This Row],[CANTIDAD]])</f>
        <v>0</v>
      </c>
      <c r="T418" s="8"/>
    </row>
    <row r="419" spans="2:20" x14ac:dyDescent="0.2">
      <c r="B419" s="11" t="str">
        <f>IF(PRODUCTOS[[#This Row],[CODIGO]]="", "", PRODUCTOS[[#This Row],[CODIGO]])</f>
        <v>HER-JSCBM-8P</v>
      </c>
      <c r="C419" s="6" t="str">
        <f>IF(GENERAL[[#This Row],[CODIGO]]="", "", VLOOKUP(GENERAL[[#This Row],[CODIGO]], PRODUCTOS[#All], 2, FALSE))</f>
        <v>Juego de sacabocados para madera 8pzs</v>
      </c>
      <c r="D41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19" s="28" t="str">
        <f>IFERROR(IF(GENERAL[[#This Row],[CANTIDAD]]=0, "AGOTADO", IF(GENERAL[[#This Row],[CANTIDAD]]&lt;VLOOKUP(GENERAL[[#This Row],[CODIGO]], PRODUCTOS[#All], 3, FALSE), "MENOR AL MINIMO", "")), "")</f>
        <v>AGOTADO</v>
      </c>
      <c r="F419" s="39">
        <f>IF(OR(GENERAL[[#This Row],[CODIGO]]="", GENERAL[[#This Row],[CANTIDAD]]=""), "", VLOOKUP(GENERAL[[#This Row],[CODIGO]], PRODUCTOS[#All], 4, FALSE) * GENERAL[[#This Row],[CANTIDAD]])</f>
        <v>0</v>
      </c>
      <c r="T419" s="8"/>
    </row>
    <row r="420" spans="2:20" x14ac:dyDescent="0.2">
      <c r="B420" s="11" t="str">
        <f>IF(PRODUCTOS[[#This Row],[CODIGO]]="", "", PRODUCTOS[[#This Row],[CODIGO]])</f>
        <v>HER-LLACO-10</v>
      </c>
      <c r="C420" s="6" t="str">
        <f>IF(GENERAL[[#This Row],[CODIGO]]="", "", VLOOKUP(GENERAL[[#This Row],[CODIGO]], PRODUCTOS[#All], 2, FALSE))</f>
        <v>Llave con corona 10</v>
      </c>
      <c r="D42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20" s="28" t="str">
        <f>IFERROR(IF(GENERAL[[#This Row],[CANTIDAD]]=0, "AGOTADO", IF(GENERAL[[#This Row],[CANTIDAD]]&lt;VLOOKUP(GENERAL[[#This Row],[CODIGO]], PRODUCTOS[#All], 3, FALSE), "MENOR AL MINIMO", "")), "")</f>
        <v>AGOTADO</v>
      </c>
      <c r="F420" s="39">
        <f>IF(OR(GENERAL[[#This Row],[CODIGO]]="", GENERAL[[#This Row],[CANTIDAD]]=""), "", VLOOKUP(GENERAL[[#This Row],[CODIGO]], PRODUCTOS[#All], 4, FALSE) * GENERAL[[#This Row],[CANTIDAD]])</f>
        <v>0</v>
      </c>
      <c r="T420" s="8"/>
    </row>
    <row r="421" spans="2:20" x14ac:dyDescent="0.2">
      <c r="B421" s="11" t="str">
        <f>IF(PRODUCTOS[[#This Row],[CODIGO]]="", "", PRODUCTOS[[#This Row],[CODIGO]])</f>
        <v>HER-LLACO-1116</v>
      </c>
      <c r="C421" s="6" t="str">
        <f>IF(GENERAL[[#This Row],[CODIGO]]="", "", VLOOKUP(GENERAL[[#This Row],[CODIGO]], PRODUCTOS[#All], 2, FALSE))</f>
        <v>Llave c/corona China 1 1/16"</v>
      </c>
      <c r="D42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21" s="28" t="str">
        <f>IFERROR(IF(GENERAL[[#This Row],[CANTIDAD]]=0, "AGOTADO", IF(GENERAL[[#This Row],[CANTIDAD]]&lt;VLOOKUP(GENERAL[[#This Row],[CODIGO]], PRODUCTOS[#All], 3, FALSE), "MENOR AL MINIMO", "")), "")</f>
        <v>AGOTADO</v>
      </c>
      <c r="F421" s="39">
        <f>IF(OR(GENERAL[[#This Row],[CODIGO]]="", GENERAL[[#This Row],[CANTIDAD]]=""), "", VLOOKUP(GENERAL[[#This Row],[CODIGO]], PRODUCTOS[#All], 4, FALSE) * GENERAL[[#This Row],[CANTIDAD]])</f>
        <v>0</v>
      </c>
      <c r="T421" s="8"/>
    </row>
    <row r="422" spans="2:20" x14ac:dyDescent="0.2">
      <c r="B422" s="11" t="str">
        <f>IF(PRODUCTOS[[#This Row],[CODIGO]]="", "", PRODUCTOS[[#This Row],[CODIGO]])</f>
        <v>HER-LLACO-118</v>
      </c>
      <c r="C422" s="6" t="str">
        <f>IF(GENERAL[[#This Row],[CODIGO]]="", "", VLOOKUP(GENERAL[[#This Row],[CODIGO]], PRODUCTOS[#All], 2, FALSE))</f>
        <v>Llave c/corona China 1 1/8"</v>
      </c>
      <c r="D42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22" s="28" t="str">
        <f>IFERROR(IF(GENERAL[[#This Row],[CANTIDAD]]=0, "AGOTADO", IF(GENERAL[[#This Row],[CANTIDAD]]&lt;VLOOKUP(GENERAL[[#This Row],[CODIGO]], PRODUCTOS[#All], 3, FALSE), "MENOR AL MINIMO", "")), "")</f>
        <v>AGOTADO</v>
      </c>
      <c r="F422" s="39">
        <f>IF(OR(GENERAL[[#This Row],[CODIGO]]="", GENERAL[[#This Row],[CANTIDAD]]=""), "", VLOOKUP(GENERAL[[#This Row],[CODIGO]], PRODUCTOS[#All], 4, FALSE) * GENERAL[[#This Row],[CANTIDAD]])</f>
        <v>0</v>
      </c>
      <c r="T422" s="8"/>
    </row>
    <row r="423" spans="2:20" x14ac:dyDescent="0.2">
      <c r="B423" s="11" t="str">
        <f>IF(PRODUCTOS[[#This Row],[CODIGO]]="", "", PRODUCTOS[[#This Row],[CODIGO]])</f>
        <v>HER-LLACO-78</v>
      </c>
      <c r="C423" s="6" t="str">
        <f>IF(GENERAL[[#This Row],[CODIGO]]="", "", VLOOKUP(GENERAL[[#This Row],[CODIGO]], PRODUCTOS[#All], 2, FALSE))</f>
        <v>Llave c/corona 7/8"</v>
      </c>
      <c r="D42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23" s="28" t="str">
        <f>IFERROR(IF(GENERAL[[#This Row],[CANTIDAD]]=0, "AGOTADO", IF(GENERAL[[#This Row],[CANTIDAD]]&lt;VLOOKUP(GENERAL[[#This Row],[CODIGO]], PRODUCTOS[#All], 3, FALSE), "MENOR AL MINIMO", "")), "")</f>
        <v>AGOTADO</v>
      </c>
      <c r="F423" s="39">
        <f>IF(OR(GENERAL[[#This Row],[CODIGO]]="", GENERAL[[#This Row],[CANTIDAD]]=""), "", VLOOKUP(GENERAL[[#This Row],[CODIGO]], PRODUCTOS[#All], 4, FALSE) * GENERAL[[#This Row],[CANTIDAD]])</f>
        <v>0</v>
      </c>
      <c r="T423" s="8"/>
    </row>
    <row r="424" spans="2:20" x14ac:dyDescent="0.2">
      <c r="B424" s="11" t="str">
        <f>IF(PRODUCTOS[[#This Row],[CODIGO]]="", "", PRODUCTOS[[#This Row],[CODIGO]])</f>
        <v>HER-LLACOP-12</v>
      </c>
      <c r="C424" s="6" t="str">
        <f>IF(GENERAL[[#This Row],[CODIGO]]="", "", VLOOKUP(GENERAL[[#This Row],[CODIGO]], PRODUCTOS[#All], 2, FALSE))</f>
        <v>Llave c/corona pretul 1/2"</v>
      </c>
      <c r="D42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24" s="28" t="str">
        <f>IFERROR(IF(GENERAL[[#This Row],[CANTIDAD]]=0, "AGOTADO", IF(GENERAL[[#This Row],[CANTIDAD]]&lt;VLOOKUP(GENERAL[[#This Row],[CODIGO]], PRODUCTOS[#All], 3, FALSE), "MENOR AL MINIMO", "")), "")</f>
        <v>AGOTADO</v>
      </c>
      <c r="F424" s="39">
        <f>IF(OR(GENERAL[[#This Row],[CODIGO]]="", GENERAL[[#This Row],[CANTIDAD]]=""), "", VLOOKUP(GENERAL[[#This Row],[CODIGO]], PRODUCTOS[#All], 4, FALSE) * GENERAL[[#This Row],[CANTIDAD]])</f>
        <v>0</v>
      </c>
      <c r="H424" s="63" t="s">
        <v>1962</v>
      </c>
      <c r="T424" s="8"/>
    </row>
    <row r="425" spans="2:20" x14ac:dyDescent="0.2">
      <c r="B425" s="11" t="str">
        <f>IF(PRODUCTOS[[#This Row],[CODIGO]]="", "", PRODUCTOS[[#This Row],[CODIGO]])</f>
        <v>HER-LLAJUP-10</v>
      </c>
      <c r="C425" s="6" t="str">
        <f>IF(GENERAL[[#This Row],[CODIGO]]="", "", VLOOKUP(GENERAL[[#This Row],[CODIGO]], PRODUCTOS[#All], 2, FALSE))</f>
        <v xml:space="preserve">Llave ajustable pretul 10" </v>
      </c>
      <c r="D42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25" s="28" t="str">
        <f>IFERROR(IF(GENERAL[[#This Row],[CANTIDAD]]=0, "AGOTADO", IF(GENERAL[[#This Row],[CANTIDAD]]&lt;VLOOKUP(GENERAL[[#This Row],[CODIGO]], PRODUCTOS[#All], 3, FALSE), "MENOR AL MINIMO", "")), "")</f>
        <v>AGOTADO</v>
      </c>
      <c r="F425" s="39">
        <f>IF(OR(GENERAL[[#This Row],[CODIGO]]="", GENERAL[[#This Row],[CANTIDAD]]=""), "", VLOOKUP(GENERAL[[#This Row],[CODIGO]], PRODUCTOS[#All], 4, FALSE) * GENERAL[[#This Row],[CANTIDAD]])</f>
        <v>0</v>
      </c>
      <c r="H425" s="62">
        <f>SUM(F377:F425)</f>
        <v>1713.3600000000001</v>
      </c>
      <c r="T425" s="8"/>
    </row>
    <row r="426" spans="2:20" x14ac:dyDescent="0.2">
      <c r="B426" s="11" t="str">
        <f>IF(PRODUCTOS[[#This Row],[CODIGO]]="", "", PRODUCTOS[[#This Row],[CODIGO]])</f>
        <v>HER-LLASU-1116</v>
      </c>
      <c r="C426" s="6" t="str">
        <f>IF(GENERAL[[#This Row],[CODIGO]]="", "", VLOOKUP(GENERAL[[#This Row],[CODIGO]], PRODUCTOS[#All], 2, FALSE))</f>
        <v>Llave surtek 1 1/16"</v>
      </c>
      <c r="D42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26" s="28" t="str">
        <f>IFERROR(IF(GENERAL[[#This Row],[CANTIDAD]]=0, "AGOTADO", IF(GENERAL[[#This Row],[CANTIDAD]]&lt;VLOOKUP(GENERAL[[#This Row],[CODIGO]], PRODUCTOS[#All], 3, FALSE), "MENOR AL MINIMO", "")), "")</f>
        <v>AGOTADO</v>
      </c>
      <c r="F426" s="39">
        <f>IF(OR(GENERAL[[#This Row],[CODIGO]]="", GENERAL[[#This Row],[CANTIDAD]]=""), "", VLOOKUP(GENERAL[[#This Row],[CODIGO]], PRODUCTOS[#All], 4, FALSE) * GENERAL[[#This Row],[CANTIDAD]])</f>
        <v>0</v>
      </c>
      <c r="H426" s="63" t="s">
        <v>1963</v>
      </c>
      <c r="T426" s="8"/>
    </row>
    <row r="427" spans="2:20" x14ac:dyDescent="0.2">
      <c r="B427" s="11" t="str">
        <f>IF(PRODUCTOS[[#This Row],[CODIGO]]="", "", PRODUCTOS[[#This Row],[CODIGO]])</f>
        <v>HER-LLAV11-16</v>
      </c>
      <c r="C427" s="6" t="str">
        <f>IF(GENERAL[[#This Row],[CODIGO]]="", "", VLOOKUP(GENERAL[[#This Row],[CODIGO]], PRODUCTOS[#All], 2, FALSE))</f>
        <v xml:space="preserve">Llave 11/16 </v>
      </c>
      <c r="D42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27" s="28" t="str">
        <f>IFERROR(IF(GENERAL[[#This Row],[CANTIDAD]]=0, "AGOTADO", IF(GENERAL[[#This Row],[CANTIDAD]]&lt;VLOOKUP(GENERAL[[#This Row],[CODIGO]], PRODUCTOS[#All], 3, FALSE), "MENOR AL MINIMO", "")), "")</f>
        <v>AGOTADO</v>
      </c>
      <c r="F427" s="39">
        <f>IF(OR(GENERAL[[#This Row],[CODIGO]]="", GENERAL[[#This Row],[CANTIDAD]]=""), "", VLOOKUP(GENERAL[[#This Row],[CODIGO]], PRODUCTOS[#All], 4, FALSE) * GENERAL[[#This Row],[CANTIDAD]])</f>
        <v>0</v>
      </c>
      <c r="H427" s="62">
        <f>SUM(F426:F427)</f>
        <v>0</v>
      </c>
      <c r="T427" s="8"/>
    </row>
    <row r="428" spans="2:20" x14ac:dyDescent="0.2">
      <c r="B428" s="11" t="str">
        <f>IF(PRODUCTOS[[#This Row],[CODIGO]]="", "", PRODUCTOS[[#This Row],[CODIGO]])</f>
        <v>HER-LTRTR-019</v>
      </c>
      <c r="C428" s="6" t="str">
        <f>IF(GENERAL[[#This Row],[CODIGO]]="", "", VLOOKUP(GENERAL[[#This Row],[CODIGO]], PRODUCTOS[#All], 2, FALSE))</f>
        <v xml:space="preserve">Lima triangular marca truper </v>
      </c>
      <c r="D42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28" s="28" t="str">
        <f>IFERROR(IF(GENERAL[[#This Row],[CANTIDAD]]=0, "AGOTADO", IF(GENERAL[[#This Row],[CANTIDAD]]&lt;VLOOKUP(GENERAL[[#This Row],[CODIGO]], PRODUCTOS[#All], 3, FALSE), "MENOR AL MINIMO", "")), "")</f>
        <v>AGOTADO</v>
      </c>
      <c r="F428" s="39">
        <f>IF(OR(GENERAL[[#This Row],[CODIGO]]="", GENERAL[[#This Row],[CANTIDAD]]=""), "", VLOOKUP(GENERAL[[#This Row],[CODIGO]], PRODUCTOS[#All], 4, FALSE) * GENERAL[[#This Row],[CANTIDAD]])</f>
        <v>0</v>
      </c>
      <c r="T428" s="8"/>
    </row>
    <row r="429" spans="2:20" x14ac:dyDescent="0.2">
      <c r="B429" s="11" t="str">
        <f>IF(PRODUCTOS[[#This Row],[CODIGO]]="", "", PRODUCTOS[[#This Row],[CODIGO]])</f>
        <v>HER-MAGO-002</v>
      </c>
      <c r="C429" s="6" t="str">
        <f>IF(GENERAL[[#This Row],[CODIGO]]="", "", VLOOKUP(GENERAL[[#This Row],[CODIGO]], PRODUCTOS[#All], 2, FALSE))</f>
        <v>Maso de goma Total</v>
      </c>
      <c r="D42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29" s="28" t="str">
        <f>IFERROR(IF(GENERAL[[#This Row],[CANTIDAD]]=0, "AGOTADO", IF(GENERAL[[#This Row],[CANTIDAD]]&lt;VLOOKUP(GENERAL[[#This Row],[CODIGO]], PRODUCTOS[#All], 3, FALSE), "MENOR AL MINIMO", "")), "")</f>
        <v>AGOTADO</v>
      </c>
      <c r="F429" s="39">
        <f>IF(OR(GENERAL[[#This Row],[CODIGO]]="", GENERAL[[#This Row],[CANTIDAD]]=""), "", VLOOKUP(GENERAL[[#This Row],[CODIGO]], PRODUCTOS[#All], 4, FALSE) * GENERAL[[#This Row],[CANTIDAD]])</f>
        <v>0</v>
      </c>
      <c r="T429" s="8"/>
    </row>
    <row r="430" spans="2:20" x14ac:dyDescent="0.2">
      <c r="B430" s="11" t="str">
        <f>IF(PRODUCTOS[[#This Row],[CODIGO]]="", "", PRODUCTOS[[#This Row],[CODIGO]])</f>
        <v>HER-MARR-12L</v>
      </c>
      <c r="C430" s="6" t="str">
        <f>IF(GENERAL[[#This Row],[CODIGO]]="", "", VLOOKUP(GENERAL[[#This Row],[CODIGO]], PRODUCTOS[#All], 2, FALSE))</f>
        <v>Marro 12Lb</v>
      </c>
      <c r="D43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30" s="28" t="str">
        <f>IFERROR(IF(GENERAL[[#This Row],[CANTIDAD]]=0, "AGOTADO", IF(GENERAL[[#This Row],[CANTIDAD]]&lt;VLOOKUP(GENERAL[[#This Row],[CODIGO]], PRODUCTOS[#All], 3, FALSE), "MENOR AL MINIMO", "")), "")</f>
        <v>AGOTADO</v>
      </c>
      <c r="F430" s="39">
        <f>IF(OR(GENERAL[[#This Row],[CODIGO]]="", GENERAL[[#This Row],[CANTIDAD]]=""), "", VLOOKUP(GENERAL[[#This Row],[CODIGO]], PRODUCTOS[#All], 4, FALSE) * GENERAL[[#This Row],[CANTIDAD]])</f>
        <v>0</v>
      </c>
      <c r="T430" s="8"/>
    </row>
    <row r="431" spans="2:20" x14ac:dyDescent="0.2">
      <c r="B431" s="11" t="str">
        <f>IF(PRODUCTOS[[#This Row],[CODIGO]]="", "", PRODUCTOS[[#This Row],[CODIGO]])</f>
        <v>HER-MARR-8L</v>
      </c>
      <c r="C431" s="6" t="str">
        <f>IF(GENERAL[[#This Row],[CODIGO]]="", "", VLOOKUP(GENERAL[[#This Row],[CODIGO]], PRODUCTOS[#All], 2, FALSE))</f>
        <v>Marro 8lb</v>
      </c>
      <c r="D43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31" s="28" t="str">
        <f>IFERROR(IF(GENERAL[[#This Row],[CANTIDAD]]=0, "AGOTADO", IF(GENERAL[[#This Row],[CANTIDAD]]&lt;VLOOKUP(GENERAL[[#This Row],[CODIGO]], PRODUCTOS[#All], 3, FALSE), "MENOR AL MINIMO", "")), "")</f>
        <v>AGOTADO</v>
      </c>
      <c r="F431" s="39">
        <f>IF(OR(GENERAL[[#This Row],[CODIGO]]="", GENERAL[[#This Row],[CANTIDAD]]=""), "", VLOOKUP(GENERAL[[#This Row],[CODIGO]], PRODUCTOS[#All], 4, FALSE) * GENERAL[[#This Row],[CANTIDAD]])</f>
        <v>0</v>
      </c>
      <c r="T431" s="8"/>
    </row>
    <row r="432" spans="2:20" x14ac:dyDescent="0.2">
      <c r="B432" s="11" t="str">
        <f>IF(PRODUCTOS[[#This Row],[CODIGO]]="", "", PRODUCTOS[[#This Row],[CODIGO]])</f>
        <v>HER-MATPR-38</v>
      </c>
      <c r="C432" s="6" t="str">
        <f>IF(GENERAL[[#This Row],[CODIGO]]="", "", VLOOKUP(GENERAL[[#This Row],[CODIGO]], PRODUCTOS[#All], 2, FALSE))</f>
        <v xml:space="preserve">Matraca 3/8 pretul </v>
      </c>
      <c r="D43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32" s="28" t="str">
        <f>IFERROR(IF(GENERAL[[#This Row],[CANTIDAD]]=0, "AGOTADO", IF(GENERAL[[#This Row],[CANTIDAD]]&lt;VLOOKUP(GENERAL[[#This Row],[CODIGO]], PRODUCTOS[#All], 3, FALSE), "MENOR AL MINIMO", "")), "")</f>
        <v>AGOTADO</v>
      </c>
      <c r="F432" s="39">
        <f>IF(OR(GENERAL[[#This Row],[CODIGO]]="", GENERAL[[#This Row],[CANTIDAD]]=""), "", VLOOKUP(GENERAL[[#This Row],[CODIGO]], PRODUCTOS[#All], 4, FALSE) * GENERAL[[#This Row],[CANTIDAD]])</f>
        <v>0</v>
      </c>
      <c r="T432" s="8"/>
    </row>
    <row r="433" spans="2:20" x14ac:dyDescent="0.2">
      <c r="B433" s="11" t="str">
        <f>IF(PRODUCTOS[[#This Row],[CODIGO]]="", "", PRODUCTOS[[#This Row],[CODIGO]])</f>
        <v>HER-MATR-030</v>
      </c>
      <c r="C433" s="6" t="str">
        <f>IF(GENERAL[[#This Row],[CODIGO]]="", "", VLOOKUP(GENERAL[[#This Row],[CODIGO]], PRODUCTOS[#All], 2, FALSE))</f>
        <v xml:space="preserve">Matraca </v>
      </c>
      <c r="D43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33" s="28" t="str">
        <f>IFERROR(IF(GENERAL[[#This Row],[CANTIDAD]]=0, "AGOTADO", IF(GENERAL[[#This Row],[CANTIDAD]]&lt;VLOOKUP(GENERAL[[#This Row],[CODIGO]], PRODUCTOS[#All], 3, FALSE), "MENOR AL MINIMO", "")), "")</f>
        <v>AGOTADO</v>
      </c>
      <c r="F433" s="39">
        <f>IF(OR(GENERAL[[#This Row],[CODIGO]]="", GENERAL[[#This Row],[CANTIDAD]]=""), "", VLOOKUP(GENERAL[[#This Row],[CODIGO]], PRODUCTOS[#All], 4, FALSE) * GENERAL[[#This Row],[CANTIDAD]])</f>
        <v>0</v>
      </c>
      <c r="T433" s="8"/>
    </row>
    <row r="434" spans="2:20" x14ac:dyDescent="0.2">
      <c r="B434" s="11" t="str">
        <f>IF(PRODUCTOS[[#This Row],[CODIGO]]="", "", PRODUCTOS[[#This Row],[CODIGO]])</f>
        <v>HER-MATRU-12</v>
      </c>
      <c r="C434" s="6" t="str">
        <f>IF(GENERAL[[#This Row],[CODIGO]]="", "", VLOOKUP(GENERAL[[#This Row],[CODIGO]], PRODUCTOS[#All], 2, FALSE))</f>
        <v>Matraca truper 1/2"</v>
      </c>
      <c r="D43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34" s="28" t="str">
        <f>IFERROR(IF(GENERAL[[#This Row],[CANTIDAD]]=0, "AGOTADO", IF(GENERAL[[#This Row],[CANTIDAD]]&lt;VLOOKUP(GENERAL[[#This Row],[CODIGO]], PRODUCTOS[#All], 3, FALSE), "MENOR AL MINIMO", "")), "")</f>
        <v>AGOTADO</v>
      </c>
      <c r="F434" s="39">
        <f>IF(OR(GENERAL[[#This Row],[CODIGO]]="", GENERAL[[#This Row],[CANTIDAD]]=""), "", VLOOKUP(GENERAL[[#This Row],[CODIGO]], PRODUCTOS[#All], 4, FALSE) * GENERAL[[#This Row],[CANTIDAD]])</f>
        <v>0</v>
      </c>
      <c r="T434" s="8"/>
    </row>
    <row r="435" spans="2:20" x14ac:dyDescent="0.2">
      <c r="B435" s="11" t="str">
        <f>IF(PRODUCTOS[[#This Row],[CODIGO]]="", "", PRODUCTOS[[#This Row],[CODIGO]])</f>
        <v>HER-NIVTR8-3G</v>
      </c>
      <c r="C435" s="6" t="str">
        <f>IF(GENERAL[[#This Row],[CODIGO]]="", "", VLOOKUP(GENERAL[[#This Row],[CODIGO]], PRODUCTOS[#All], 2, FALSE))</f>
        <v>Nivel 3 gotas truper 8"</v>
      </c>
      <c r="D43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35" s="28" t="str">
        <f>IFERROR(IF(GENERAL[[#This Row],[CANTIDAD]]=0, "AGOTADO", IF(GENERAL[[#This Row],[CANTIDAD]]&lt;VLOOKUP(GENERAL[[#This Row],[CODIGO]], PRODUCTOS[#All], 3, FALSE), "MENOR AL MINIMO", "")), "")</f>
        <v>AGOTADO</v>
      </c>
      <c r="F435" s="39">
        <f>IF(OR(GENERAL[[#This Row],[CODIGO]]="", GENERAL[[#This Row],[CANTIDAD]]=""), "", VLOOKUP(GENERAL[[#This Row],[CODIGO]], PRODUCTOS[#All], 4, FALSE) * GENERAL[[#This Row],[CANTIDAD]])</f>
        <v>0</v>
      </c>
      <c r="T435" s="8"/>
    </row>
    <row r="436" spans="2:20" x14ac:dyDescent="0.2">
      <c r="B436" s="11" t="str">
        <f>IF(PRODUCTOS[[#This Row],[CODIGO]]="", "", PRODUCTOS[[#This Row],[CODIGO]])</f>
        <v>HER-NPRTR-3G</v>
      </c>
      <c r="C436" s="6" t="str">
        <f>IF(GENERAL[[#This Row],[CODIGO]]="", "", VLOOKUP(GENERAL[[#This Row],[CODIGO]], PRODUCTOS[#All], 2, FALSE))</f>
        <v xml:space="preserve">Nivel profesional marca truper 24" 3 gotas </v>
      </c>
      <c r="D43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36" s="28" t="str">
        <f>IFERROR(IF(GENERAL[[#This Row],[CANTIDAD]]=0, "AGOTADO", IF(GENERAL[[#This Row],[CANTIDAD]]&lt;VLOOKUP(GENERAL[[#This Row],[CODIGO]], PRODUCTOS[#All], 3, FALSE), "MENOR AL MINIMO", "")), "")</f>
        <v>AGOTADO</v>
      </c>
      <c r="F436" s="39">
        <f>IF(OR(GENERAL[[#This Row],[CODIGO]]="", GENERAL[[#This Row],[CANTIDAD]]=""), "", VLOOKUP(GENERAL[[#This Row],[CODIGO]], PRODUCTOS[#All], 4, FALSE) * GENERAL[[#This Row],[CANTIDAD]])</f>
        <v>0</v>
      </c>
      <c r="T436" s="8"/>
    </row>
    <row r="437" spans="2:20" x14ac:dyDescent="0.2">
      <c r="B437" s="11" t="str">
        <f>IF(PRODUCTOS[[#This Row],[CODIGO]]="", "", PRODUCTOS[[#This Row],[CODIGO]])</f>
        <v>HER-PAANPR-026</v>
      </c>
      <c r="C437" s="6" t="str">
        <f>IF(GENERAL[[#This Row],[CODIGO]]="", "", VLOOKUP(GENERAL[[#This Row],[CODIGO]], PRODUCTOS[#All], 2, FALSE))</f>
        <v>Pala ancha pretul</v>
      </c>
      <c r="D43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37" s="28" t="str">
        <f>IFERROR(IF(GENERAL[[#This Row],[CANTIDAD]]=0, "AGOTADO", IF(GENERAL[[#This Row],[CANTIDAD]]&lt;VLOOKUP(GENERAL[[#This Row],[CODIGO]], PRODUCTOS[#All], 3, FALSE), "MENOR AL MINIMO", "")), "")</f>
        <v>AGOTADO</v>
      </c>
      <c r="F437" s="39">
        <f>IF(OR(GENERAL[[#This Row],[CODIGO]]="", GENERAL[[#This Row],[CANTIDAD]]=""), "", VLOOKUP(GENERAL[[#This Row],[CODIGO]], PRODUCTOS[#All], 4, FALSE) * GENERAL[[#This Row],[CANTIDAD]])</f>
        <v>0</v>
      </c>
      <c r="T437" s="8"/>
    </row>
    <row r="438" spans="2:20" x14ac:dyDescent="0.2">
      <c r="B438" s="11" t="str">
        <f>IF(PRODUCTOS[[#This Row],[CODIGO]]="", "", PRODUCTOS[[#This Row],[CODIGO]])</f>
        <v>HER-PACUAPR-025</v>
      </c>
      <c r="C438" s="6" t="str">
        <f>IF(GENERAL[[#This Row],[CODIGO]]="", "", VLOOKUP(GENERAL[[#This Row],[CODIGO]], PRODUCTOS[#All], 2, FALSE))</f>
        <v>Pala cuadrada pretul</v>
      </c>
      <c r="D43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38" s="28" t="str">
        <f>IFERROR(IF(GENERAL[[#This Row],[CANTIDAD]]=0, "AGOTADO", IF(GENERAL[[#This Row],[CANTIDAD]]&lt;VLOOKUP(GENERAL[[#This Row],[CODIGO]], PRODUCTOS[#All], 3, FALSE), "MENOR AL MINIMO", "")), "")</f>
        <v>AGOTADO</v>
      </c>
      <c r="F438" s="39">
        <f>IF(OR(GENERAL[[#This Row],[CODIGO]]="", GENERAL[[#This Row],[CANTIDAD]]=""), "", VLOOKUP(GENERAL[[#This Row],[CODIGO]], PRODUCTOS[#All], 4, FALSE) * GENERAL[[#This Row],[CANTIDAD]])</f>
        <v>0</v>
      </c>
      <c r="T438" s="8"/>
    </row>
    <row r="439" spans="2:20" x14ac:dyDescent="0.2">
      <c r="B439" s="11" t="str">
        <f>IF(PRODUCTOS[[#This Row],[CODIGO]]="", "", PRODUCTOS[[#This Row],[CODIGO]])</f>
        <v>HER-PARED-027</v>
      </c>
      <c r="C439" s="6" t="str">
        <f>IF(GENERAL[[#This Row],[CODIGO]]="", "", VLOOKUP(GENERAL[[#This Row],[CODIGO]], PRODUCTOS[#All], 2, FALSE))</f>
        <v>Pala redonda mango largo</v>
      </c>
      <c r="D43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39" s="28" t="str">
        <f>IFERROR(IF(GENERAL[[#This Row],[CANTIDAD]]=0, "AGOTADO", IF(GENERAL[[#This Row],[CANTIDAD]]&lt;VLOOKUP(GENERAL[[#This Row],[CODIGO]], PRODUCTOS[#All], 3, FALSE), "MENOR AL MINIMO", "")), "")</f>
        <v>AGOTADO</v>
      </c>
      <c r="F439" s="39">
        <f>IF(OR(GENERAL[[#This Row],[CODIGO]]="", GENERAL[[#This Row],[CANTIDAD]]=""), "", VLOOKUP(GENERAL[[#This Row],[CODIGO]], PRODUCTOS[#All], 4, FALSE) * GENERAL[[#This Row],[CANTIDAD]])</f>
        <v>0</v>
      </c>
      <c r="T439" s="8"/>
    </row>
    <row r="440" spans="2:20" x14ac:dyDescent="0.2">
      <c r="B440" s="11" t="str">
        <f>IF(PRODUCTOS[[#This Row],[CODIGO]]="", "", PRODUCTOS[[#This Row],[CODIGO]])</f>
        <v>HER-PIARE-612</v>
      </c>
      <c r="C440" s="6" t="str">
        <f>IF(GENERAL[[#This Row],[CODIGO]]="", "", VLOOKUP(GENERAL[[#This Row],[CODIGO]], PRODUCTOS[#All], 2, FALSE))</f>
        <v xml:space="preserve">Pinza para anillo de retención 6 1/2" </v>
      </c>
      <c r="D44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40" s="28" t="str">
        <f>IFERROR(IF(GENERAL[[#This Row],[CANTIDAD]]=0, "AGOTADO", IF(GENERAL[[#This Row],[CANTIDAD]]&lt;VLOOKUP(GENERAL[[#This Row],[CODIGO]], PRODUCTOS[#All], 3, FALSE), "MENOR AL MINIMO", "")), "")</f>
        <v>AGOTADO</v>
      </c>
      <c r="F440" s="39">
        <f>IF(OR(GENERAL[[#This Row],[CODIGO]]="", GENERAL[[#This Row],[CANTIDAD]]=""), "", VLOOKUP(GENERAL[[#This Row],[CODIGO]], PRODUCTOS[#All], 4, FALSE) * GENERAL[[#This Row],[CANTIDAD]])</f>
        <v>0</v>
      </c>
      <c r="T440" s="8"/>
    </row>
    <row r="441" spans="2:20" x14ac:dyDescent="0.2">
      <c r="B441" s="11" t="str">
        <f>IF(PRODUCTOS[[#This Row],[CODIGO]]="", "", PRODUCTOS[[#This Row],[CODIGO]])</f>
        <v>HER-PICANG-015</v>
      </c>
      <c r="C441" s="6" t="str">
        <f>IF(GENERAL[[#This Row],[CODIGO]]="", "", VLOOKUP(GENERAL[[#This Row],[CODIGO]], PRODUCTOS[#All], 2, FALSE))</f>
        <v>Pinza de presión tipo cangrego truper</v>
      </c>
      <c r="D44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41" s="28" t="str">
        <f>IFERROR(IF(GENERAL[[#This Row],[CANTIDAD]]=0, "AGOTADO", IF(GENERAL[[#This Row],[CANTIDAD]]&lt;VLOOKUP(GENERAL[[#This Row],[CODIGO]], PRODUCTOS[#All], 3, FALSE), "MENOR AL MINIMO", "")), "")</f>
        <v>AGOTADO</v>
      </c>
      <c r="F441" s="39">
        <f>IF(OR(GENERAL[[#This Row],[CODIGO]]="", GENERAL[[#This Row],[CANTIDAD]]=""), "", VLOOKUP(GENERAL[[#This Row],[CODIGO]], PRODUCTOS[#All], 4, FALSE) * GENERAL[[#This Row],[CANTIDAD]])</f>
        <v>0</v>
      </c>
      <c r="T441" s="8"/>
    </row>
    <row r="442" spans="2:20" x14ac:dyDescent="0.2">
      <c r="B442" s="11" t="str">
        <f>IF(PRODUCTOS[[#This Row],[CODIGO]]="", "", PRODUCTOS[[#This Row],[CODIGO]])</f>
        <v>HER-PICOS-028</v>
      </c>
      <c r="C442" s="6" t="str">
        <f>IF(GENERAL[[#This Row],[CODIGO]]="", "", VLOOKUP(GENERAL[[#This Row],[CODIGO]], PRODUCTOS[#All], 2, FALSE))</f>
        <v xml:space="preserve">Picos </v>
      </c>
      <c r="D44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42" s="28" t="str">
        <f>IFERROR(IF(GENERAL[[#This Row],[CANTIDAD]]=0, "AGOTADO", IF(GENERAL[[#This Row],[CANTIDAD]]&lt;VLOOKUP(GENERAL[[#This Row],[CODIGO]], PRODUCTOS[#All], 3, FALSE), "MENOR AL MINIMO", "")), "")</f>
        <v>AGOTADO</v>
      </c>
      <c r="F442" s="39">
        <f>IF(OR(GENERAL[[#This Row],[CODIGO]]="", GENERAL[[#This Row],[CANTIDAD]]=""), "", VLOOKUP(GENERAL[[#This Row],[CODIGO]], PRODUCTOS[#All], 4, FALSE) * GENERAL[[#This Row],[CANTIDAD]])</f>
        <v>0</v>
      </c>
      <c r="T442" s="8"/>
    </row>
    <row r="443" spans="2:20" x14ac:dyDescent="0.2">
      <c r="B443" s="11" t="str">
        <f>IF(PRODUCTOS[[#This Row],[CODIGO]]="", "", PRODUCTOS[[#This Row],[CODIGO]])</f>
        <v>HER-PIELPR-006</v>
      </c>
      <c r="C443" s="6" t="str">
        <f>IF(GENERAL[[#This Row],[CODIGO]]="", "", VLOOKUP(GENERAL[[#This Row],[CODIGO]], PRODUCTOS[#All], 2, FALSE))</f>
        <v xml:space="preserve">Pinza de electricista pretul </v>
      </c>
      <c r="D44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43" s="28" t="str">
        <f>IFERROR(IF(GENERAL[[#This Row],[CANTIDAD]]=0, "AGOTADO", IF(GENERAL[[#This Row],[CANTIDAD]]&lt;VLOOKUP(GENERAL[[#This Row],[CODIGO]], PRODUCTOS[#All], 3, FALSE), "MENOR AL MINIMO", "")), "")</f>
        <v>AGOTADO</v>
      </c>
      <c r="F443" s="39">
        <f>IF(OR(GENERAL[[#This Row],[CODIGO]]="", GENERAL[[#This Row],[CANTIDAD]]=""), "", VLOOKUP(GENERAL[[#This Row],[CODIGO]], PRODUCTOS[#All], 4, FALSE) * GENERAL[[#This Row],[CANTIDAD]])</f>
        <v>0</v>
      </c>
      <c r="T443" s="8"/>
    </row>
    <row r="444" spans="2:20" x14ac:dyDescent="0.2">
      <c r="B444" s="11" t="str">
        <f>IF(PRODUCTOS[[#This Row],[CODIGO]]="", "", PRODUCTOS[[#This Row],[CODIGO]])</f>
        <v>HER-PINPU-005</v>
      </c>
      <c r="C444" s="6" t="str">
        <f>IF(GENERAL[[#This Row],[CODIGO]]="", "", VLOOKUP(GENERAL[[#This Row],[CODIGO]], PRODUCTOS[#All], 2, FALSE))</f>
        <v>Pinza de punta</v>
      </c>
      <c r="D44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44" s="28" t="str">
        <f>IFERROR(IF(GENERAL[[#This Row],[CANTIDAD]]=0, "AGOTADO", IF(GENERAL[[#This Row],[CANTIDAD]]&lt;VLOOKUP(GENERAL[[#This Row],[CODIGO]], PRODUCTOS[#All], 3, FALSE), "MENOR AL MINIMO", "")), "")</f>
        <v>AGOTADO</v>
      </c>
      <c r="F444" s="39">
        <f>IF(OR(GENERAL[[#This Row],[CODIGO]]="", GENERAL[[#This Row],[CANTIDAD]]=""), "", VLOOKUP(GENERAL[[#This Row],[CODIGO]], PRODUCTOS[#All], 4, FALSE) * GENERAL[[#This Row],[CANTIDAD]])</f>
        <v>0</v>
      </c>
      <c r="T444" s="8"/>
    </row>
    <row r="445" spans="2:20" x14ac:dyDescent="0.2">
      <c r="B445" s="11" t="str">
        <f>IF(PRODUCTOS[[#This Row],[CODIGO]]="", "", PRODUCTOS[[#This Row],[CODIGO]])</f>
        <v>HER-PIPASUR-013</v>
      </c>
      <c r="C445" s="6" t="str">
        <f>IF(GENERAL[[#This Row],[CODIGO]]="", "", VLOOKUP(GENERAL[[#This Row],[CODIGO]], PRODUCTOS[#All], 2, FALSE))</f>
        <v xml:space="preserve">Pinzas de presión surtek tipo pato </v>
      </c>
      <c r="D44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45" s="28" t="str">
        <f>IFERROR(IF(GENERAL[[#This Row],[CANTIDAD]]=0, "AGOTADO", IF(GENERAL[[#This Row],[CANTIDAD]]&lt;VLOOKUP(GENERAL[[#This Row],[CODIGO]], PRODUCTOS[#All], 3, FALSE), "MENOR AL MINIMO", "")), "")</f>
        <v>AGOTADO</v>
      </c>
      <c r="F445" s="39">
        <f>IF(OR(GENERAL[[#This Row],[CODIGO]]="", GENERAL[[#This Row],[CANTIDAD]]=""), "", VLOOKUP(GENERAL[[#This Row],[CODIGO]], PRODUCTOS[#All], 4, FALSE) * GENERAL[[#This Row],[CANTIDAD]])</f>
        <v>0</v>
      </c>
      <c r="T445" s="8"/>
    </row>
    <row r="446" spans="2:20" x14ac:dyDescent="0.2">
      <c r="B446" s="11" t="str">
        <f>IF(PRODUCTOS[[#This Row],[CODIGO]]="", "", PRODUCTOS[[#This Row],[CODIGO]])</f>
        <v>HER-PIPRE-014</v>
      </c>
      <c r="C446" s="6" t="str">
        <f>IF(GENERAL[[#This Row],[CODIGO]]="", "", VLOOKUP(GENERAL[[#This Row],[CODIGO]], PRODUCTOS[#All], 2, FALSE))</f>
        <v xml:space="preserve">Pinza de presión de una pulgada </v>
      </c>
      <c r="D44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46" s="28" t="str">
        <f>IFERROR(IF(GENERAL[[#This Row],[CANTIDAD]]=0, "AGOTADO", IF(GENERAL[[#This Row],[CANTIDAD]]&lt;VLOOKUP(GENERAL[[#This Row],[CODIGO]], PRODUCTOS[#All], 3, FALSE), "MENOR AL MINIMO", "")), "")</f>
        <v>AGOTADO</v>
      </c>
      <c r="F446" s="39">
        <f>IF(OR(GENERAL[[#This Row],[CODIGO]]="", GENERAL[[#This Row],[CANTIDAD]]=""), "", VLOOKUP(GENERAL[[#This Row],[CODIGO]], PRODUCTOS[#All], 4, FALSE) * GENERAL[[#This Row],[CANTIDAD]])</f>
        <v>0</v>
      </c>
      <c r="T446" s="8"/>
    </row>
    <row r="447" spans="2:20" x14ac:dyDescent="0.2">
      <c r="B447" s="11" t="str">
        <f>IF(PRODUCTOS[[#This Row],[CODIGO]]="", "", PRODUCTOS[[#This Row],[CODIGO]])</f>
        <v>HER-PIPRW-004</v>
      </c>
      <c r="C447" s="6" t="str">
        <f>IF(GENERAL[[#This Row],[CODIGO]]="", "", VLOOKUP(GENERAL[[#This Row],[CODIGO]], PRODUCTOS[#All], 2, FALSE))</f>
        <v>Pinza de presión wisegrip</v>
      </c>
      <c r="D44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47" s="28" t="str">
        <f>IFERROR(IF(GENERAL[[#This Row],[CANTIDAD]]=0, "AGOTADO", IF(GENERAL[[#This Row],[CANTIDAD]]&lt;VLOOKUP(GENERAL[[#This Row],[CODIGO]], PRODUCTOS[#All], 3, FALSE), "MENOR AL MINIMO", "")), "")</f>
        <v>AGOTADO</v>
      </c>
      <c r="F447" s="39">
        <f>IF(OR(GENERAL[[#This Row],[CODIGO]]="", GENERAL[[#This Row],[CANTIDAD]]=""), "", VLOOKUP(GENERAL[[#This Row],[CODIGO]], PRODUCTOS[#All], 4, FALSE) * GENERAL[[#This Row],[CANTIDAD]])</f>
        <v>0</v>
      </c>
      <c r="T447" s="8"/>
    </row>
    <row r="448" spans="2:20" x14ac:dyDescent="0.2">
      <c r="B448" s="11" t="str">
        <f>IF(PRODUCTOS[[#This Row],[CODIGO]]="", "", PRODUCTOS[[#This Row],[CODIGO]])</f>
        <v>HER-PIPUN-016</v>
      </c>
      <c r="C448" s="6" t="str">
        <f>IF(GENERAL[[#This Row],[CODIGO]]="", "", VLOOKUP(GENERAL[[#This Row],[CODIGO]], PRODUCTOS[#All], 2, FALSE))</f>
        <v>Pinzas de punta pretul</v>
      </c>
      <c r="D44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48" s="28" t="str">
        <f>IFERROR(IF(GENERAL[[#This Row],[CANTIDAD]]=0, "AGOTADO", IF(GENERAL[[#This Row],[CANTIDAD]]&lt;VLOOKUP(GENERAL[[#This Row],[CODIGO]], PRODUCTOS[#All], 3, FALSE), "MENOR AL MINIMO", "")), "")</f>
        <v>AGOTADO</v>
      </c>
      <c r="F448" s="39">
        <f>IF(OR(GENERAL[[#This Row],[CODIGO]]="", GENERAL[[#This Row],[CANTIDAD]]=""), "", VLOOKUP(GENERAL[[#This Row],[CODIGO]], PRODUCTOS[#All], 4, FALSE) * GENERAL[[#This Row],[CANTIDAD]])</f>
        <v>0</v>
      </c>
      <c r="T448" s="8"/>
    </row>
    <row r="449" spans="2:20" x14ac:dyDescent="0.2">
      <c r="B449" s="11" t="str">
        <f>IF(PRODUCTOS[[#This Row],[CODIGO]]="", "", PRODUCTOS[[#This Row],[CODIGO]])</f>
        <v>HER-PISOLD-018</v>
      </c>
      <c r="C449" s="6" t="str">
        <f>IF(GENERAL[[#This Row],[CODIGO]]="", "", VLOOKUP(GENERAL[[#This Row],[CODIGO]], PRODUCTOS[#All], 2, FALSE))</f>
        <v xml:space="preserve">Pinza soldadura microalambre </v>
      </c>
      <c r="D44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49" s="28" t="str">
        <f>IFERROR(IF(GENERAL[[#This Row],[CANTIDAD]]=0, "AGOTADO", IF(GENERAL[[#This Row],[CANTIDAD]]&lt;VLOOKUP(GENERAL[[#This Row],[CODIGO]], PRODUCTOS[#All], 3, FALSE), "MENOR AL MINIMO", "")), "")</f>
        <v>AGOTADO</v>
      </c>
      <c r="F449" s="39">
        <f>IF(OR(GENERAL[[#This Row],[CODIGO]]="", GENERAL[[#This Row],[CANTIDAD]]=""), "", VLOOKUP(GENERAL[[#This Row],[CODIGO]], PRODUCTOS[#All], 4, FALSE) * GENERAL[[#This Row],[CANTIDAD]])</f>
        <v>0</v>
      </c>
      <c r="T449" s="8"/>
    </row>
    <row r="450" spans="2:20" x14ac:dyDescent="0.2">
      <c r="B450" s="11" t="str">
        <f>IF(PRODUCTOS[[#This Row],[CODIGO]]="", "", PRODUCTOS[[#This Row],[CODIGO]])</f>
        <v>HER-PONCH-011</v>
      </c>
      <c r="C450" s="6" t="str">
        <f>IF(GENERAL[[#This Row],[CODIGO]]="", "", VLOOKUP(GENERAL[[#This Row],[CODIGO]], PRODUCTOS[#All], 2, FALSE))</f>
        <v>Ponchadora pinza hidráulica teeno</v>
      </c>
      <c r="D45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50" s="28" t="str">
        <f>IFERROR(IF(GENERAL[[#This Row],[CANTIDAD]]=0, "AGOTADO", IF(GENERAL[[#This Row],[CANTIDAD]]&lt;VLOOKUP(GENERAL[[#This Row],[CODIGO]], PRODUCTOS[#All], 3, FALSE), "MENOR AL MINIMO", "")), "")</f>
        <v>AGOTADO</v>
      </c>
      <c r="F450" s="39">
        <f>IF(OR(GENERAL[[#This Row],[CODIGO]]="", GENERAL[[#This Row],[CANTIDAD]]=""), "", VLOOKUP(GENERAL[[#This Row],[CODIGO]], PRODUCTOS[#All], 4, FALSE) * GENERAL[[#This Row],[CANTIDAD]])</f>
        <v>0</v>
      </c>
      <c r="T450" s="8"/>
    </row>
    <row r="451" spans="2:20" x14ac:dyDescent="0.2">
      <c r="B451" s="11" t="str">
        <f>IF(PRODUCTOS[[#This Row],[CODIGO]]="", "", PRODUCTOS[[#This Row],[CODIGO]])</f>
        <v>HER-TOBAPR-6</v>
      </c>
      <c r="C451" s="6" t="str">
        <f>IF(GENERAL[[#This Row],[CODIGO]]="", "", VLOOKUP(GENERAL[[#This Row],[CODIGO]], PRODUCTOS[#All], 2, FALSE))</f>
        <v xml:space="preserve">Tornillo de banco 6" pretul </v>
      </c>
      <c r="D45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51" s="28" t="str">
        <f>IFERROR(IF(GENERAL[[#This Row],[CANTIDAD]]=0, "AGOTADO", IF(GENERAL[[#This Row],[CANTIDAD]]&lt;VLOOKUP(GENERAL[[#This Row],[CODIGO]], PRODUCTOS[#All], 3, FALSE), "MENOR AL MINIMO", "")), "")</f>
        <v>AGOTADO</v>
      </c>
      <c r="F451" s="39">
        <f>IF(OR(GENERAL[[#This Row],[CODIGO]]="", GENERAL[[#This Row],[CANTIDAD]]=""), "", VLOOKUP(GENERAL[[#This Row],[CODIGO]], PRODUCTOS[#All], 4, FALSE) * GENERAL[[#This Row],[CANTIDAD]])</f>
        <v>0</v>
      </c>
      <c r="T451" s="8"/>
    </row>
    <row r="452" spans="2:20" x14ac:dyDescent="0.2">
      <c r="B452" s="11" t="str">
        <f>IF(PRODUCTOS[[#This Row],[CODIGO]]="", "", PRODUCTOS[[#This Row],[CODIGO]])</f>
        <v>HER-TORT-6T</v>
      </c>
      <c r="C452" s="6" t="str">
        <f>IF(GENERAL[[#This Row],[CODIGO]]="", "", VLOOKUP(GENERAL[[#This Row],[CODIGO]], PRODUCTOS[#All], 2, FALSE))</f>
        <v xml:space="preserve">Tortuga 6 toneladas vevor </v>
      </c>
      <c r="D45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52" s="28" t="str">
        <f>IFERROR(IF(GENERAL[[#This Row],[CANTIDAD]]=0, "AGOTADO", IF(GENERAL[[#This Row],[CANTIDAD]]&lt;VLOOKUP(GENERAL[[#This Row],[CODIGO]], PRODUCTOS[#All], 3, FALSE), "MENOR AL MINIMO", "")), "")</f>
        <v>AGOTADO</v>
      </c>
      <c r="F452" s="39">
        <f>IF(OR(GENERAL[[#This Row],[CODIGO]]="", GENERAL[[#This Row],[CANTIDAD]]=""), "", VLOOKUP(GENERAL[[#This Row],[CODIGO]], PRODUCTOS[#All], 4, FALSE) * GENERAL[[#This Row],[CANTIDAD]])</f>
        <v>0</v>
      </c>
      <c r="T452" s="8"/>
    </row>
    <row r="453" spans="2:20" x14ac:dyDescent="0.2">
      <c r="B453" s="11" t="str">
        <f>IF(PRODUCTOS[[#This Row],[CODIGO]]="", "", PRODUCTOS[[#This Row],[CODIGO]])</f>
        <v>HID-ADAMAN-001</v>
      </c>
      <c r="C453" s="6" t="str">
        <f>IF(GENERAL[[#This Row],[CODIGO]]="", "", VLOOKUP(GENERAL[[#This Row],[CODIGO]], PRODUCTOS[#All], 2, FALSE))</f>
        <v xml:space="preserve">Adaptador para manómetro </v>
      </c>
      <c r="D45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453" s="28" t="str">
        <f>IFERROR(IF(GENERAL[[#This Row],[CANTIDAD]]=0, "AGOTADO", IF(GENERAL[[#This Row],[CANTIDAD]]&lt;VLOOKUP(GENERAL[[#This Row],[CODIGO]], PRODUCTOS[#All], 3, FALSE), "MENOR AL MINIMO", "")), "")</f>
        <v/>
      </c>
      <c r="F453" s="39">
        <f>IF(OR(GENERAL[[#This Row],[CODIGO]]="", GENERAL[[#This Row],[CANTIDAD]]=""), "", VLOOKUP(GENERAL[[#This Row],[CODIGO]], PRODUCTOS[#All], 4, FALSE) * GENERAL[[#This Row],[CANTIDAD]])</f>
        <v>0</v>
      </c>
      <c r="T453" s="8"/>
    </row>
    <row r="454" spans="2:20" x14ac:dyDescent="0.2">
      <c r="B454" s="11" t="str">
        <f>IF(PRODUCTOS[[#This Row],[CODIGO]]="", "", PRODUCTOS[[#This Row],[CODIGO]])</f>
        <v>HID-COCOCH-14</v>
      </c>
      <c r="C454" s="6" t="str">
        <f>IF(GENERAL[[#This Row],[CODIGO]]="", "", VLOOKUP(GENERAL[[#This Row],[CODIGO]], PRODUCTOS[#All], 2, FALSE))</f>
        <v>Tifon cola de cochino 1/4"</v>
      </c>
      <c r="D45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454" s="28" t="str">
        <f>IFERROR(IF(GENERAL[[#This Row],[CANTIDAD]]=0, "AGOTADO", IF(GENERAL[[#This Row],[CANTIDAD]]&lt;VLOOKUP(GENERAL[[#This Row],[CODIGO]], PRODUCTOS[#All], 3, FALSE), "MENOR AL MINIMO", "")), "")</f>
        <v/>
      </c>
      <c r="F454" s="39">
        <f>IF(OR(GENERAL[[#This Row],[CODIGO]]="", GENERAL[[#This Row],[CANTIDAD]]=""), "", VLOOKUP(GENERAL[[#This Row],[CODIGO]], PRODUCTOS[#All], 4, FALSE) * GENERAL[[#This Row],[CANTIDAD]])</f>
        <v>340</v>
      </c>
      <c r="T454" s="8"/>
    </row>
    <row r="455" spans="2:20" x14ac:dyDescent="0.2">
      <c r="B455" s="11" t="str">
        <f>IF(PRODUCTOS[[#This Row],[CODIGO]]="", "", PRODUCTOS[[#This Row],[CODIGO]])</f>
        <v>HID-CONC4-212</v>
      </c>
      <c r="C455" s="6" t="str">
        <f>IF(GENERAL[[#This Row],[CODIGO]]="", "", VLOOKUP(GENERAL[[#This Row],[CODIGO]], PRODUCTOS[#All], 2, FALSE))</f>
        <v>Concentrica 4" - 2 1/2"</v>
      </c>
      <c r="D45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55" s="28" t="str">
        <f>IFERROR(IF(GENERAL[[#This Row],[CANTIDAD]]=0, "AGOTADO", IF(GENERAL[[#This Row],[CANTIDAD]]&lt;VLOOKUP(GENERAL[[#This Row],[CODIGO]], PRODUCTOS[#All], 3, FALSE), "MENOR AL MINIMO", "")), "")</f>
        <v/>
      </c>
      <c r="F455" s="39">
        <f>IF(OR(GENERAL[[#This Row],[CODIGO]]="", GENERAL[[#This Row],[CANTIDAD]]=""), "", VLOOKUP(GENERAL[[#This Row],[CODIGO]], PRODUCTOS[#All], 4, FALSE) * GENERAL[[#This Row],[CANTIDAD]])</f>
        <v>0</v>
      </c>
      <c r="T455" s="8"/>
    </row>
    <row r="456" spans="2:20" x14ac:dyDescent="0.2">
      <c r="B456" s="11" t="str">
        <f>IF(PRODUCTOS[[#This Row],[CODIGO]]="", "", PRODUCTOS[[#This Row],[CODIGO]])</f>
        <v>HID-CONCE4-6</v>
      </c>
      <c r="C456" s="6" t="str">
        <f>IF(GENERAL[[#This Row],[CODIGO]]="", "", VLOOKUP(GENERAL[[#This Row],[CODIGO]], PRODUCTOS[#All], 2, FALSE))</f>
        <v>Concentrica 4" - 6"</v>
      </c>
      <c r="D45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456" s="28" t="str">
        <f>IFERROR(IF(GENERAL[[#This Row],[CANTIDAD]]=0, "AGOTADO", IF(GENERAL[[#This Row],[CANTIDAD]]&lt;VLOOKUP(GENERAL[[#This Row],[CODIGO]], PRODUCTOS[#All], 3, FALSE), "MENOR AL MINIMO", "")), "")</f>
        <v/>
      </c>
      <c r="F456" s="39">
        <f>IF(OR(GENERAL[[#This Row],[CODIGO]]="", GENERAL[[#This Row],[CANTIDAD]]=""), "", VLOOKUP(GENERAL[[#This Row],[CODIGO]], PRODUCTOS[#All], 4, FALSE) * GENERAL[[#This Row],[CANTIDAD]])</f>
        <v>0</v>
      </c>
      <c r="T456" s="8"/>
    </row>
    <row r="457" spans="2:20" x14ac:dyDescent="0.2">
      <c r="B457" s="11" t="str">
        <f>IF(PRODUCTOS[[#This Row],[CODIGO]]="", "", PRODUCTOS[[#This Row],[CODIGO]])</f>
        <v>HID-CONCE5-8</v>
      </c>
      <c r="C457" s="6" t="str">
        <f>IF(GENERAL[[#This Row],[CODIGO]]="", "", VLOOKUP(GENERAL[[#This Row],[CODIGO]], PRODUCTOS[#All], 2, FALSE))</f>
        <v>Concentrica 5" - 8"</v>
      </c>
      <c r="D45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57" s="28" t="str">
        <f>IFERROR(IF(GENERAL[[#This Row],[CANTIDAD]]=0, "AGOTADO", IF(GENERAL[[#This Row],[CANTIDAD]]&lt;VLOOKUP(GENERAL[[#This Row],[CODIGO]], PRODUCTOS[#All], 3, FALSE), "MENOR AL MINIMO", "")), "")</f>
        <v/>
      </c>
      <c r="F457" s="39">
        <f>IF(OR(GENERAL[[#This Row],[CODIGO]]="", GENERAL[[#This Row],[CANTIDAD]]=""), "", VLOOKUP(GENERAL[[#This Row],[CODIGO]], PRODUCTOS[#All], 4, FALSE) * GENERAL[[#This Row],[CANTIDAD]])</f>
        <v>0</v>
      </c>
      <c r="T457" s="8"/>
    </row>
    <row r="458" spans="2:20" x14ac:dyDescent="0.2">
      <c r="B458" s="11" t="str">
        <f>IF(PRODUCTOS[[#This Row],[CODIGO]]="", "", PRODUCTOS[[#This Row],[CODIGO]])</f>
        <v>HID-COP4-3</v>
      </c>
      <c r="C458" s="6" t="str">
        <f>IF(GENERAL[[#This Row],[CODIGO]]="", "", VLOOKUP(GENERAL[[#This Row],[CODIGO]], PRODUCTOS[#All], 2, FALSE))</f>
        <v>Cople 4" long 3 1/2"</v>
      </c>
      <c r="D45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58" s="28" t="str">
        <f>IFERROR(IF(GENERAL[[#This Row],[CANTIDAD]]=0, "AGOTADO", IF(GENERAL[[#This Row],[CANTIDAD]]&lt;VLOOKUP(GENERAL[[#This Row],[CODIGO]], PRODUCTOS[#All], 3, FALSE), "MENOR AL MINIMO", "")), "")</f>
        <v/>
      </c>
      <c r="F458" s="39">
        <f>IF(OR(GENERAL[[#This Row],[CODIGO]]="", GENERAL[[#This Row],[CANTIDAD]]=""), "", VLOOKUP(GENERAL[[#This Row],[CODIGO]], PRODUCTOS[#All], 4, FALSE) * GENERAL[[#This Row],[CANTIDAD]])</f>
        <v>0</v>
      </c>
      <c r="T458" s="8"/>
    </row>
    <row r="459" spans="2:20" x14ac:dyDescent="0.2">
      <c r="B459" s="11" t="str">
        <f>IF(PRODUCTOS[[#This Row],[CODIGO]]="", "", PRODUCTOS[[#This Row],[CODIGO]])</f>
        <v>HID-COP4-5</v>
      </c>
      <c r="C459" s="6" t="str">
        <f>IF(GENERAL[[#This Row],[CODIGO]]="", "", VLOOKUP(GENERAL[[#This Row],[CODIGO]], PRODUCTOS[#All], 2, FALSE))</f>
        <v>Cople 4" long 5"</v>
      </c>
      <c r="D45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459" s="28" t="str">
        <f>IFERROR(IF(GENERAL[[#This Row],[CANTIDAD]]=0, "AGOTADO", IF(GENERAL[[#This Row],[CANTIDAD]]&lt;VLOOKUP(GENERAL[[#This Row],[CODIGO]], PRODUCTOS[#All], 3, FALSE), "MENOR AL MINIMO", "")), "")</f>
        <v/>
      </c>
      <c r="F459" s="39">
        <f>IF(OR(GENERAL[[#This Row],[CODIGO]]="", GENERAL[[#This Row],[CANTIDAD]]=""), "", VLOOKUP(GENERAL[[#This Row],[CODIGO]], PRODUCTOS[#All], 4, FALSE) * GENERAL[[#This Row],[CANTIDAD]])</f>
        <v>0</v>
      </c>
      <c r="T459" s="8"/>
    </row>
    <row r="460" spans="2:20" x14ac:dyDescent="0.2">
      <c r="B460" s="11" t="str">
        <f>IF(PRODUCTOS[[#This Row],[CODIGO]]="", "", PRODUCTOS[[#This Row],[CODIGO]])</f>
        <v>HID-COP6-4</v>
      </c>
      <c r="C460" s="6" t="str">
        <f>IF(GENERAL[[#This Row],[CODIGO]]="", "", VLOOKUP(GENERAL[[#This Row],[CODIGO]], PRODUCTOS[#All], 2, FALSE))</f>
        <v>Cople 6" long 4"</v>
      </c>
      <c r="D46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460" s="28" t="str">
        <f>IFERROR(IF(GENERAL[[#This Row],[CANTIDAD]]=0, "AGOTADO", IF(GENERAL[[#This Row],[CANTIDAD]]&lt;VLOOKUP(GENERAL[[#This Row],[CODIGO]], PRODUCTOS[#All], 3, FALSE), "MENOR AL MINIMO", "")), "")</f>
        <v/>
      </c>
      <c r="F460" s="39">
        <f>IF(OR(GENERAL[[#This Row],[CODIGO]]="", GENERAL[[#This Row],[CANTIDAD]]=""), "", VLOOKUP(GENERAL[[#This Row],[CODIGO]], PRODUCTOS[#All], 4, FALSE) * GENERAL[[#This Row],[CANTIDAD]])</f>
        <v>0</v>
      </c>
      <c r="H460" s="63" t="s">
        <v>1964</v>
      </c>
      <c r="T460" s="8"/>
    </row>
    <row r="461" spans="2:20" x14ac:dyDescent="0.2">
      <c r="B461" s="11" t="str">
        <f>IF(PRODUCTOS[[#This Row],[CODIGO]]="", "", PRODUCTOS[[#This Row],[CODIGO]])</f>
        <v>HID-COPBO-1</v>
      </c>
      <c r="C461" s="6" t="str">
        <f>IF(GENERAL[[#This Row],[CODIGO]]="", "", VLOOKUP(GENERAL[[#This Row],[CODIGO]], PRODUCTOS[#All], 2, FALSE))</f>
        <v>Cople para bomba 1"</v>
      </c>
      <c r="D46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61" s="28" t="str">
        <f>IFERROR(IF(GENERAL[[#This Row],[CANTIDAD]]=0, "AGOTADO", IF(GENERAL[[#This Row],[CANTIDAD]]&lt;VLOOKUP(GENERAL[[#This Row],[CODIGO]], PRODUCTOS[#All], 3, FALSE), "MENOR AL MINIMO", "")), "")</f>
        <v/>
      </c>
      <c r="F461" s="39">
        <f>IF(OR(GENERAL[[#This Row],[CODIGO]]="", GENERAL[[#This Row],[CANTIDAD]]=""), "", VLOOKUP(GENERAL[[#This Row],[CODIGO]], PRODUCTOS[#All], 4, FALSE) * GENERAL[[#This Row],[CANTIDAD]])</f>
        <v>0</v>
      </c>
      <c r="H461" s="62">
        <f>SUM(F428:F461)</f>
        <v>340</v>
      </c>
      <c r="T461" s="8"/>
    </row>
    <row r="462" spans="2:20" x14ac:dyDescent="0.2">
      <c r="B462" s="11" t="str">
        <f>IF(PRODUCTOS[[#This Row],[CODIGO]]="", "", PRODUCTOS[[#This Row],[CODIGO]])</f>
        <v>HID-COPBO-112</v>
      </c>
      <c r="C462" s="6" t="str">
        <f>IF(GENERAL[[#This Row],[CODIGO]]="", "", VLOOKUP(GENERAL[[#This Row],[CODIGO]], PRODUCTOS[#All], 2, FALSE))</f>
        <v>Cople para bomba 1 1/2"</v>
      </c>
      <c r="D46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462" s="28" t="str">
        <f>IFERROR(IF(GENERAL[[#This Row],[CANTIDAD]]=0, "AGOTADO", IF(GENERAL[[#This Row],[CANTIDAD]]&lt;VLOOKUP(GENERAL[[#This Row],[CODIGO]], PRODUCTOS[#All], 3, FALSE), "MENOR AL MINIMO", "")), "")</f>
        <v/>
      </c>
      <c r="F462" s="39">
        <f>IF(OR(GENERAL[[#This Row],[CODIGO]]="", GENERAL[[#This Row],[CANTIDAD]]=""), "", VLOOKUP(GENERAL[[#This Row],[CODIGO]], PRODUCTOS[#All], 4, FALSE) * GENERAL[[#This Row],[CANTIDAD]])</f>
        <v>0</v>
      </c>
      <c r="T462" s="8"/>
    </row>
    <row r="463" spans="2:20" x14ac:dyDescent="0.2">
      <c r="B463" s="11" t="str">
        <f>IF(PRODUCTOS[[#This Row],[CODIGO]]="", "", PRODUCTOS[[#This Row],[CODIGO]])</f>
        <v>HID-COPBO-3</v>
      </c>
      <c r="C463" s="6" t="str">
        <f>IF(GENERAL[[#This Row],[CODIGO]]="", "", VLOOKUP(GENERAL[[#This Row],[CODIGO]], PRODUCTOS[#All], 2, FALSE))</f>
        <v>cople para bomba 3"</v>
      </c>
      <c r="D46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18</v>
      </c>
      <c r="E463" s="28" t="str">
        <f>IFERROR(IF(GENERAL[[#This Row],[CANTIDAD]]=0, "AGOTADO", IF(GENERAL[[#This Row],[CANTIDAD]]&lt;VLOOKUP(GENERAL[[#This Row],[CODIGO]], PRODUCTOS[#All], 3, FALSE), "MENOR AL MINIMO", "")), "")</f>
        <v/>
      </c>
      <c r="F463" s="39">
        <f>IF(OR(GENERAL[[#This Row],[CODIGO]]="", GENERAL[[#This Row],[CANTIDAD]]=""), "", VLOOKUP(GENERAL[[#This Row],[CODIGO]], PRODUCTOS[#All], 4, FALSE) * GENERAL[[#This Row],[CANTIDAD]])</f>
        <v>0</v>
      </c>
      <c r="T463" s="8"/>
    </row>
    <row r="464" spans="2:20" x14ac:dyDescent="0.2">
      <c r="B464" s="11" t="str">
        <f>IF(PRODUCTOS[[#This Row],[CODIGO]]="", "", PRODUCTOS[[#This Row],[CODIGO]])</f>
        <v>HID-COPLE-112</v>
      </c>
      <c r="C464" s="6" t="str">
        <f>IF(GENERAL[[#This Row],[CODIGO]]="", "", VLOOKUP(GENERAL[[#This Row],[CODIGO]], PRODUCTOS[#All], 2, FALSE))</f>
        <v>Cople 1 1/2"</v>
      </c>
      <c r="D46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464" s="28" t="str">
        <f>IFERROR(IF(GENERAL[[#This Row],[CANTIDAD]]=0, "AGOTADO", IF(GENERAL[[#This Row],[CANTIDAD]]&lt;VLOOKUP(GENERAL[[#This Row],[CODIGO]], PRODUCTOS[#All], 3, FALSE), "MENOR AL MINIMO", "")), "")</f>
        <v/>
      </c>
      <c r="F464" s="39">
        <f>IF(OR(GENERAL[[#This Row],[CODIGO]]="", GENERAL[[#This Row],[CANTIDAD]]=""), "", VLOOKUP(GENERAL[[#This Row],[CODIGO]], PRODUCTOS[#All], 4, FALSE) * GENERAL[[#This Row],[CANTIDAD]])</f>
        <v>0</v>
      </c>
      <c r="T464" s="8"/>
    </row>
    <row r="465" spans="2:20" x14ac:dyDescent="0.2">
      <c r="B465" s="11" t="str">
        <f>IF(PRODUCTOS[[#This Row],[CODIGO]]="", "", PRODUCTOS[[#This Row],[CODIGO]])</f>
        <v>HID-COPLE-2</v>
      </c>
      <c r="C465" s="6" t="str">
        <f>IF(GENERAL[[#This Row],[CODIGO]]="", "", VLOOKUP(GENERAL[[#This Row],[CODIGO]], PRODUCTOS[#All], 2, FALSE))</f>
        <v>Cople 2"</v>
      </c>
      <c r="D46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11</v>
      </c>
      <c r="E465" s="28" t="str">
        <f>IFERROR(IF(GENERAL[[#This Row],[CANTIDAD]]=0, "AGOTADO", IF(GENERAL[[#This Row],[CANTIDAD]]&lt;VLOOKUP(GENERAL[[#This Row],[CODIGO]], PRODUCTOS[#All], 3, FALSE), "MENOR AL MINIMO", "")), "")</f>
        <v/>
      </c>
      <c r="F465" s="39">
        <f>IF(OR(GENERAL[[#This Row],[CODIGO]]="", GENERAL[[#This Row],[CANTIDAD]]=""), "", VLOOKUP(GENERAL[[#This Row],[CODIGO]], PRODUCTOS[#All], 4, FALSE) * GENERAL[[#This Row],[CANTIDAD]])</f>
        <v>0</v>
      </c>
      <c r="T465" s="8"/>
    </row>
    <row r="466" spans="2:20" x14ac:dyDescent="0.2">
      <c r="B466" s="11" t="str">
        <f>IF(PRODUCTOS[[#This Row],[CODIGO]]="", "", PRODUCTOS[[#This Row],[CODIGO]])</f>
        <v>HID-COPLE-212</v>
      </c>
      <c r="C466" s="6" t="str">
        <f>IF(GENERAL[[#This Row],[CODIGO]]="", "", VLOOKUP(GENERAL[[#This Row],[CODIGO]], PRODUCTOS[#All], 2, FALSE))</f>
        <v>Cople 2 1/2"</v>
      </c>
      <c r="D46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466" s="28" t="str">
        <f>IFERROR(IF(GENERAL[[#This Row],[CANTIDAD]]=0, "AGOTADO", IF(GENERAL[[#This Row],[CANTIDAD]]&lt;VLOOKUP(GENERAL[[#This Row],[CODIGO]], PRODUCTOS[#All], 3, FALSE), "MENOR AL MINIMO", "")), "")</f>
        <v/>
      </c>
      <c r="F466" s="39">
        <f>IF(OR(GENERAL[[#This Row],[CODIGO]]="", GENERAL[[#This Row],[CANTIDAD]]=""), "", VLOOKUP(GENERAL[[#This Row],[CODIGO]], PRODUCTOS[#All], 4, FALSE) * GENERAL[[#This Row],[CANTIDAD]])</f>
        <v>0</v>
      </c>
      <c r="T466" s="8"/>
    </row>
    <row r="467" spans="2:20" x14ac:dyDescent="0.2">
      <c r="B467" s="11" t="str">
        <f>IF(PRODUCTOS[[#This Row],[CODIGO]]="", "", PRODUCTOS[[#This Row],[CODIGO]])</f>
        <v>HID-COPLE-412</v>
      </c>
      <c r="C467" s="6" t="str">
        <f>IF(GENERAL[[#This Row],[CODIGO]]="", "", VLOOKUP(GENERAL[[#This Row],[CODIGO]], PRODUCTOS[#All], 2, FALSE))</f>
        <v>Cople 4 1/2"</v>
      </c>
      <c r="D46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467" s="28" t="str">
        <f>IFERROR(IF(GENERAL[[#This Row],[CANTIDAD]]=0, "AGOTADO", IF(GENERAL[[#This Row],[CANTIDAD]]&lt;VLOOKUP(GENERAL[[#This Row],[CODIGO]], PRODUCTOS[#All], 3, FALSE), "MENOR AL MINIMO", "")), "")</f>
        <v/>
      </c>
      <c r="F467" s="39">
        <f>IF(OR(GENERAL[[#This Row],[CODIGO]]="", GENERAL[[#This Row],[CANTIDAD]]=""), "", VLOOKUP(GENERAL[[#This Row],[CODIGO]], PRODUCTOS[#All], 4, FALSE) * GENERAL[[#This Row],[CANTIDAD]])</f>
        <v>0</v>
      </c>
      <c r="T467" s="8"/>
    </row>
    <row r="468" spans="2:20" x14ac:dyDescent="0.2">
      <c r="B468" s="11" t="str">
        <f>IF(PRODUCTOS[[#This Row],[CODIGO]]="", "", PRODUCTOS[[#This Row],[CODIGO]])</f>
        <v>HID-EMPAQ-12</v>
      </c>
      <c r="C468" s="6" t="str">
        <f>IF(GENERAL[[#This Row],[CODIGO]]="", "", VLOOKUP(GENERAL[[#This Row],[CODIGO]], PRODUCTOS[#All], 2, FALSE))</f>
        <v>Empaque 12"</v>
      </c>
      <c r="D46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68" s="28" t="str">
        <f>IFERROR(IF(GENERAL[[#This Row],[CANTIDAD]]=0, "AGOTADO", IF(GENERAL[[#This Row],[CANTIDAD]]&lt;VLOOKUP(GENERAL[[#This Row],[CODIGO]], PRODUCTOS[#All], 3, FALSE), "MENOR AL MINIMO", "")), "")</f>
        <v/>
      </c>
      <c r="F468" s="39">
        <f>IF(OR(GENERAL[[#This Row],[CODIGO]]="", GENERAL[[#This Row],[CANTIDAD]]=""), "", VLOOKUP(GENERAL[[#This Row],[CODIGO]], PRODUCTOS[#All], 4, FALSE) * GENERAL[[#This Row],[CANTIDAD]])</f>
        <v>0</v>
      </c>
      <c r="T468" s="8"/>
    </row>
    <row r="469" spans="2:20" x14ac:dyDescent="0.2">
      <c r="B469" s="11" t="str">
        <f>IF(PRODUCTOS[[#This Row],[CODIGO]]="", "", PRODUCTOS[[#This Row],[CODIGO]])</f>
        <v>HID-EMPAQ-2</v>
      </c>
      <c r="C469" s="6" t="str">
        <f>IF(GENERAL[[#This Row],[CODIGO]]="", "", VLOOKUP(GENERAL[[#This Row],[CODIGO]], PRODUCTOS[#All], 2, FALSE))</f>
        <v>Empaque 2"</v>
      </c>
      <c r="D46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48</v>
      </c>
      <c r="E469" s="28" t="str">
        <f>IFERROR(IF(GENERAL[[#This Row],[CANTIDAD]]=0, "AGOTADO", IF(GENERAL[[#This Row],[CANTIDAD]]&lt;VLOOKUP(GENERAL[[#This Row],[CODIGO]], PRODUCTOS[#All], 3, FALSE), "MENOR AL MINIMO", "")), "")</f>
        <v/>
      </c>
      <c r="F469" s="39">
        <f>IF(OR(GENERAL[[#This Row],[CODIGO]]="", GENERAL[[#This Row],[CANTIDAD]]=""), "", VLOOKUP(GENERAL[[#This Row],[CODIGO]], PRODUCTOS[#All], 4, FALSE) * GENERAL[[#This Row],[CANTIDAD]])</f>
        <v>3062.3999999999996</v>
      </c>
      <c r="T469" s="8"/>
    </row>
    <row r="470" spans="2:20" x14ac:dyDescent="0.2">
      <c r="B470" s="11" t="str">
        <f>IF(PRODUCTOS[[#This Row],[CODIGO]]="", "", PRODUCTOS[[#This Row],[CODIGO]])</f>
        <v>HID-EMPAQ-214</v>
      </c>
      <c r="C470" s="6" t="str">
        <f>IF(GENERAL[[#This Row],[CODIGO]]="", "", VLOOKUP(GENERAL[[#This Row],[CODIGO]], PRODUCTOS[#All], 2, FALSE))</f>
        <v>Empaque de 2 1/4"</v>
      </c>
      <c r="D47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470" s="28" t="str">
        <f>IFERROR(IF(GENERAL[[#This Row],[CANTIDAD]]=0, "AGOTADO", IF(GENERAL[[#This Row],[CANTIDAD]]&lt;VLOOKUP(GENERAL[[#This Row],[CODIGO]], PRODUCTOS[#All], 3, FALSE), "MENOR AL MINIMO", "")), "")</f>
        <v>MENOR AL MINIMO</v>
      </c>
      <c r="F470" s="39">
        <f>IF(OR(GENERAL[[#This Row],[CODIGO]]="", GENERAL[[#This Row],[CANTIDAD]]=""), "", VLOOKUP(GENERAL[[#This Row],[CODIGO]], PRODUCTOS[#All], 4, FALSE) * GENERAL[[#This Row],[CANTIDAD]])</f>
        <v>0</v>
      </c>
      <c r="T470" s="8"/>
    </row>
    <row r="471" spans="2:20" x14ac:dyDescent="0.2">
      <c r="B471" s="11" t="str">
        <f>IF(PRODUCTOS[[#This Row],[CODIGO]]="", "", PRODUCTOS[[#This Row],[CODIGO]])</f>
        <v>HID-EMPAQ-3</v>
      </c>
      <c r="C471" s="6" t="str">
        <f>IF(GENERAL[[#This Row],[CODIGO]]="", "", VLOOKUP(GENERAL[[#This Row],[CODIGO]], PRODUCTOS[#All], 2, FALSE))</f>
        <v>Empaque 3"</v>
      </c>
      <c r="D47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23</v>
      </c>
      <c r="E471" s="28" t="str">
        <f>IFERROR(IF(GENERAL[[#This Row],[CANTIDAD]]=0, "AGOTADO", IF(GENERAL[[#This Row],[CANTIDAD]]&lt;VLOOKUP(GENERAL[[#This Row],[CODIGO]], PRODUCTOS[#All], 3, FALSE), "MENOR AL MINIMO", "")), "")</f>
        <v/>
      </c>
      <c r="F471" s="39">
        <f>IF(OR(GENERAL[[#This Row],[CODIGO]]="", GENERAL[[#This Row],[CANTIDAD]]=""), "", VLOOKUP(GENERAL[[#This Row],[CODIGO]], PRODUCTOS[#All], 4, FALSE) * GENERAL[[#This Row],[CANTIDAD]])</f>
        <v>1467.3999999999999</v>
      </c>
      <c r="T471" s="8"/>
    </row>
    <row r="472" spans="2:20" x14ac:dyDescent="0.2">
      <c r="B472" s="11" t="str">
        <f>IF(PRODUCTOS[[#This Row],[CODIGO]]="", "", PRODUCTOS[[#This Row],[CODIGO]])</f>
        <v>HID-EMPAQ-4</v>
      </c>
      <c r="C472" s="6" t="str">
        <f>IF(GENERAL[[#This Row],[CODIGO]]="", "", VLOOKUP(GENERAL[[#This Row],[CODIGO]], PRODUCTOS[#All], 2, FALSE))</f>
        <v>Empaque 4"</v>
      </c>
      <c r="D47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472" s="28" t="str">
        <f>IFERROR(IF(GENERAL[[#This Row],[CANTIDAD]]=0, "AGOTADO", IF(GENERAL[[#This Row],[CANTIDAD]]&lt;VLOOKUP(GENERAL[[#This Row],[CODIGO]], PRODUCTOS[#All], 3, FALSE), "MENOR AL MINIMO", "")), "")</f>
        <v>MENOR AL MINIMO</v>
      </c>
      <c r="F472" s="39">
        <f>IF(OR(GENERAL[[#This Row],[CODIGO]]="", GENERAL[[#This Row],[CANTIDAD]]=""), "", VLOOKUP(GENERAL[[#This Row],[CODIGO]], PRODUCTOS[#All], 4, FALSE) * GENERAL[[#This Row],[CANTIDAD]])</f>
        <v>95.8</v>
      </c>
      <c r="T472" s="8"/>
    </row>
    <row r="473" spans="2:20" x14ac:dyDescent="0.2">
      <c r="B473" s="11" t="str">
        <f>IF(PRODUCTOS[[#This Row],[CODIGO]]="", "", PRODUCTOS[[#This Row],[CODIGO]])</f>
        <v>HID-EMPAQ-6</v>
      </c>
      <c r="C473" s="6" t="str">
        <f>IF(GENERAL[[#This Row],[CODIGO]]="", "", VLOOKUP(GENERAL[[#This Row],[CODIGO]], PRODUCTOS[#All], 2, FALSE))</f>
        <v>Empaque 6"</v>
      </c>
      <c r="D47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473" s="28" t="str">
        <f>IFERROR(IF(GENERAL[[#This Row],[CANTIDAD]]=0, "AGOTADO", IF(GENERAL[[#This Row],[CANTIDAD]]&lt;VLOOKUP(GENERAL[[#This Row],[CODIGO]], PRODUCTOS[#All], 3, FALSE), "MENOR AL MINIMO", "")), "")</f>
        <v>MENOR AL MINIMO</v>
      </c>
      <c r="F473" s="39">
        <f>IF(OR(GENERAL[[#This Row],[CODIGO]]="", GENERAL[[#This Row],[CANTIDAD]]=""), "", VLOOKUP(GENERAL[[#This Row],[CODIGO]], PRODUCTOS[#All], 4, FALSE) * GENERAL[[#This Row],[CANTIDAD]])</f>
        <v>164.46</v>
      </c>
      <c r="T473" s="8"/>
    </row>
    <row r="474" spans="2:20" x14ac:dyDescent="0.2">
      <c r="B474" s="11" t="str">
        <f>IF(PRODUCTOS[[#This Row],[CODIGO]]="", "", PRODUCTOS[[#This Row],[CODIGO]])</f>
        <v>HID-EMPAQ-8</v>
      </c>
      <c r="C474" s="6" t="str">
        <f>IF(GENERAL[[#This Row],[CODIGO]]="", "", VLOOKUP(GENERAL[[#This Row],[CODIGO]], PRODUCTOS[#All], 2, FALSE))</f>
        <v>Empaque 8"</v>
      </c>
      <c r="D47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474" s="28" t="str">
        <f>IFERROR(IF(GENERAL[[#This Row],[CANTIDAD]]=0, "AGOTADO", IF(GENERAL[[#This Row],[CANTIDAD]]&lt;VLOOKUP(GENERAL[[#This Row],[CODIGO]], PRODUCTOS[#All], 3, FALSE), "MENOR AL MINIMO", "")), "")</f>
        <v>MENOR AL MINIMO</v>
      </c>
      <c r="F474" s="39">
        <f>IF(OR(GENERAL[[#This Row],[CODIGO]]="", GENERAL[[#This Row],[CANTIDAD]]=""), "", VLOOKUP(GENERAL[[#This Row],[CODIGO]], PRODUCTOS[#All], 4, FALSE) * GENERAL[[#This Row],[CANTIDAD]])</f>
        <v>104.26</v>
      </c>
      <c r="T474" s="8"/>
    </row>
    <row r="475" spans="2:20" x14ac:dyDescent="0.2">
      <c r="B475" s="11" t="str">
        <f>IF(PRODUCTOS[[#This Row],[CODIGO]]="", "", PRODUCTOS[[#This Row],[CODIGO]])</f>
        <v>HID-MAN-100</v>
      </c>
      <c r="C475" s="6" t="str">
        <f>IF(GENERAL[[#This Row],[CODIGO]]="", "", VLOOKUP(GENERAL[[#This Row],[CODIGO]], PRODUCTOS[#All], 2, FALSE))</f>
        <v>Manómetro 100 psi</v>
      </c>
      <c r="D47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8</v>
      </c>
      <c r="E475" s="28" t="str">
        <f>IFERROR(IF(GENERAL[[#This Row],[CANTIDAD]]=0, "AGOTADO", IF(GENERAL[[#This Row],[CANTIDAD]]&lt;VLOOKUP(GENERAL[[#This Row],[CODIGO]], PRODUCTOS[#All], 3, FALSE), "MENOR AL MINIMO", "")), "")</f>
        <v/>
      </c>
      <c r="F475" s="39">
        <f>IF(OR(GENERAL[[#This Row],[CODIGO]]="", GENERAL[[#This Row],[CANTIDAD]]=""), "", VLOOKUP(GENERAL[[#This Row],[CODIGO]], PRODUCTOS[#All], 4, FALSE) * GENERAL[[#This Row],[CANTIDAD]])</f>
        <v>1760</v>
      </c>
      <c r="T475" s="8"/>
    </row>
    <row r="476" spans="2:20" x14ac:dyDescent="0.2">
      <c r="B476" s="11" t="str">
        <f>IF(PRODUCTOS[[#This Row],[CODIGO]]="", "", PRODUCTOS[[#This Row],[CODIGO]])</f>
        <v>HID-MAN-200</v>
      </c>
      <c r="C476" s="6" t="str">
        <f>IF(GENERAL[[#This Row],[CODIGO]]="", "", VLOOKUP(GENERAL[[#This Row],[CODIGO]], PRODUCTOS[#All], 2, FALSE))</f>
        <v>Manometro 200 psi</v>
      </c>
      <c r="D47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76" s="28" t="str">
        <f>IFERROR(IF(GENERAL[[#This Row],[CANTIDAD]]=0, "AGOTADO", IF(GENERAL[[#This Row],[CANTIDAD]]&lt;VLOOKUP(GENERAL[[#This Row],[CODIGO]], PRODUCTOS[#All], 3, FALSE), "MENOR AL MINIMO", "")), "")</f>
        <v>MENOR AL MINIMO</v>
      </c>
      <c r="F476" s="39">
        <f>IF(OR(GENERAL[[#This Row],[CODIGO]]="", GENERAL[[#This Row],[CANTIDAD]]=""), "", VLOOKUP(GENERAL[[#This Row],[CODIGO]], PRODUCTOS[#All], 4, FALSE) * GENERAL[[#This Row],[CANTIDAD]])</f>
        <v>263</v>
      </c>
      <c r="T476" s="8"/>
    </row>
    <row r="477" spans="2:20" x14ac:dyDescent="0.2">
      <c r="B477" s="11" t="str">
        <f>IF(PRODUCTOS[[#This Row],[CODIGO]]="", "", PRODUCTOS[[#This Row],[CODIGO]])</f>
        <v>HID-NIP3-14</v>
      </c>
      <c r="C477" s="6" t="str">
        <f>IF(GENERAL[[#This Row],[CODIGO]]="", "", VLOOKUP(GENERAL[[#This Row],[CODIGO]], PRODUCTOS[#All], 2, FALSE))</f>
        <v>Niple 3" long 14"</v>
      </c>
      <c r="D47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77" s="28" t="str">
        <f>IFERROR(IF(GENERAL[[#This Row],[CANTIDAD]]=0, "AGOTADO", IF(GENERAL[[#This Row],[CANTIDAD]]&lt;VLOOKUP(GENERAL[[#This Row],[CODIGO]], PRODUCTOS[#All], 3, FALSE), "MENOR AL MINIMO", "")), "")</f>
        <v>MENOR AL MINIMO</v>
      </c>
      <c r="F477" s="39">
        <f>IF(OR(GENERAL[[#This Row],[CODIGO]]="", GENERAL[[#This Row],[CANTIDAD]]=""), "", VLOOKUP(GENERAL[[#This Row],[CODIGO]], PRODUCTOS[#All], 4, FALSE) * GENERAL[[#This Row],[CANTIDAD]])</f>
        <v>0</v>
      </c>
      <c r="T477" s="8"/>
    </row>
    <row r="478" spans="2:20" x14ac:dyDescent="0.2">
      <c r="B478" s="11" t="str">
        <f>IF(PRODUCTOS[[#This Row],[CODIGO]]="", "", PRODUCTOS[[#This Row],[CODIGO]])</f>
        <v>HID-NIP4-11</v>
      </c>
      <c r="C478" s="6" t="str">
        <f>IF(GENERAL[[#This Row],[CODIGO]]="", "", VLOOKUP(GENERAL[[#This Row],[CODIGO]], PRODUCTOS[#All], 2, FALSE))</f>
        <v>Niple 4" long 11"</v>
      </c>
      <c r="D47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78" s="28" t="str">
        <f>IFERROR(IF(GENERAL[[#This Row],[CANTIDAD]]=0, "AGOTADO", IF(GENERAL[[#This Row],[CANTIDAD]]&lt;VLOOKUP(GENERAL[[#This Row],[CODIGO]], PRODUCTOS[#All], 3, FALSE), "MENOR AL MINIMO", "")), "")</f>
        <v>MENOR AL MINIMO</v>
      </c>
      <c r="F478" s="39">
        <f>IF(OR(GENERAL[[#This Row],[CODIGO]]="", GENERAL[[#This Row],[CANTIDAD]]=""), "", VLOOKUP(GENERAL[[#This Row],[CODIGO]], PRODUCTOS[#All], 4, FALSE) * GENERAL[[#This Row],[CANTIDAD]])</f>
        <v>0</v>
      </c>
      <c r="T478" s="8"/>
    </row>
    <row r="479" spans="2:20" x14ac:dyDescent="0.2">
      <c r="B479" s="11" t="str">
        <f>IF(PRODUCTOS[[#This Row],[CODIGO]]="", "", PRODUCTOS[[#This Row],[CODIGO]])</f>
        <v>HID-NIP4-17</v>
      </c>
      <c r="C479" s="6" t="str">
        <f>IF(GENERAL[[#This Row],[CODIGO]]="", "", VLOOKUP(GENERAL[[#This Row],[CODIGO]], PRODUCTOS[#All], 2, FALSE))</f>
        <v>Niple 4" long 17"</v>
      </c>
      <c r="D47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79" s="28" t="str">
        <f>IFERROR(IF(GENERAL[[#This Row],[CANTIDAD]]=0, "AGOTADO", IF(GENERAL[[#This Row],[CANTIDAD]]&lt;VLOOKUP(GENERAL[[#This Row],[CODIGO]], PRODUCTOS[#All], 3, FALSE), "MENOR AL MINIMO", "")), "")</f>
        <v/>
      </c>
      <c r="F479" s="39">
        <f>IF(OR(GENERAL[[#This Row],[CODIGO]]="", GENERAL[[#This Row],[CANTIDAD]]=""), "", VLOOKUP(GENERAL[[#This Row],[CODIGO]], PRODUCTOS[#All], 4, FALSE) * GENERAL[[#This Row],[CANTIDAD]])</f>
        <v>0</v>
      </c>
      <c r="T479" s="8"/>
    </row>
    <row r="480" spans="2:20" x14ac:dyDescent="0.2">
      <c r="B480" s="11" t="str">
        <f>IF(PRODUCTOS[[#This Row],[CODIGO]]="", "", PRODUCTOS[[#This Row],[CODIGO]])</f>
        <v>HID-NIPLE-12</v>
      </c>
      <c r="C480" s="6" t="str">
        <f>IF(GENERAL[[#This Row],[CODIGO]]="", "", VLOOKUP(GENERAL[[#This Row],[CODIGO]], PRODUCTOS[#All], 2, FALSE))</f>
        <v>Niple 1/2"</v>
      </c>
      <c r="D48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80" s="28" t="str">
        <f>IFERROR(IF(GENERAL[[#This Row],[CANTIDAD]]=0, "AGOTADO", IF(GENERAL[[#This Row],[CANTIDAD]]&lt;VLOOKUP(GENERAL[[#This Row],[CODIGO]], PRODUCTOS[#All], 3, FALSE), "MENOR AL MINIMO", "")), "")</f>
        <v/>
      </c>
      <c r="F480" s="39">
        <f>IF(OR(GENERAL[[#This Row],[CODIGO]]="", GENERAL[[#This Row],[CANTIDAD]]=""), "", VLOOKUP(GENERAL[[#This Row],[CODIGO]], PRODUCTOS[#All], 4, FALSE) * GENERAL[[#This Row],[CANTIDAD]])</f>
        <v>0</v>
      </c>
      <c r="T480" s="8"/>
    </row>
    <row r="481" spans="2:20" x14ac:dyDescent="0.2">
      <c r="B481" s="11" t="str">
        <f>IF(PRODUCTOS[[#This Row],[CODIGO]]="", "", PRODUCTOS[[#This Row],[CODIGO]])</f>
        <v>HID-NIPLE-2</v>
      </c>
      <c r="C481" s="6" t="str">
        <f>IF(GENERAL[[#This Row],[CODIGO]]="", "", VLOOKUP(GENERAL[[#This Row],[CODIGO]], PRODUCTOS[#All], 2, FALSE))</f>
        <v>Niple 2"</v>
      </c>
      <c r="D48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481" s="28" t="str">
        <f>IFERROR(IF(GENERAL[[#This Row],[CANTIDAD]]=0, "AGOTADO", IF(GENERAL[[#This Row],[CANTIDAD]]&lt;VLOOKUP(GENERAL[[#This Row],[CODIGO]], PRODUCTOS[#All], 3, FALSE), "MENOR AL MINIMO", "")), "")</f>
        <v/>
      </c>
      <c r="F481" s="39">
        <f>IF(OR(GENERAL[[#This Row],[CODIGO]]="", GENERAL[[#This Row],[CANTIDAD]]=""), "", VLOOKUP(GENERAL[[#This Row],[CODIGO]], PRODUCTOS[#All], 4, FALSE) * GENERAL[[#This Row],[CANTIDAD]])</f>
        <v>0</v>
      </c>
      <c r="T481" s="8"/>
    </row>
    <row r="482" spans="2:20" x14ac:dyDescent="0.2">
      <c r="B482" s="11" t="str">
        <f>IF(PRODUCTOS[[#This Row],[CODIGO]]="", "", PRODUCTOS[[#This Row],[CODIGO]])</f>
        <v>HID-NIPLE-3</v>
      </c>
      <c r="C482" s="6" t="str">
        <f>IF(GENERAL[[#This Row],[CODIGO]]="", "", VLOOKUP(GENERAL[[#This Row],[CODIGO]], PRODUCTOS[#All], 2, FALSE))</f>
        <v>Niple 3"</v>
      </c>
      <c r="D48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482" s="28" t="str">
        <f>IFERROR(IF(GENERAL[[#This Row],[CANTIDAD]]=0, "AGOTADO", IF(GENERAL[[#This Row],[CANTIDAD]]&lt;VLOOKUP(GENERAL[[#This Row],[CODIGO]], PRODUCTOS[#All], 3, FALSE), "MENOR AL MINIMO", "")), "")</f>
        <v/>
      </c>
      <c r="F482" s="39">
        <f>IF(OR(GENERAL[[#This Row],[CODIGO]]="", GENERAL[[#This Row],[CANTIDAD]]=""), "", VLOOKUP(GENERAL[[#This Row],[CODIGO]], PRODUCTOS[#All], 4, FALSE) * GENERAL[[#This Row],[CANTIDAD]])</f>
        <v>0</v>
      </c>
      <c r="T482" s="8"/>
    </row>
    <row r="483" spans="2:20" x14ac:dyDescent="0.2">
      <c r="B483" s="11" t="str">
        <f>IF(PRODUCTOS[[#This Row],[CODIGO]]="", "", PRODUCTOS[[#This Row],[CODIGO]])</f>
        <v>HID-RED212-1</v>
      </c>
      <c r="C483" s="6" t="str">
        <f>IF(GENERAL[[#This Row],[CODIGO]]="", "", VLOOKUP(GENERAL[[#This Row],[CODIGO]], PRODUCTOS[#All], 2, FALSE))</f>
        <v>Reducción para valvula 2 1/2" - 1"</v>
      </c>
      <c r="D48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483" s="28" t="str">
        <f>IFERROR(IF(GENERAL[[#This Row],[CANTIDAD]]=0, "AGOTADO", IF(GENERAL[[#This Row],[CANTIDAD]]&lt;VLOOKUP(GENERAL[[#This Row],[CODIGO]], PRODUCTOS[#All], 3, FALSE), "MENOR AL MINIMO", "")), "")</f>
        <v/>
      </c>
      <c r="F483" s="39">
        <f>IF(OR(GENERAL[[#This Row],[CODIGO]]="", GENERAL[[#This Row],[CANTIDAD]]=""), "", VLOOKUP(GENERAL[[#This Row],[CODIGO]], PRODUCTOS[#All], 4, FALSE) * GENERAL[[#This Row],[CANTIDAD]])</f>
        <v>452</v>
      </c>
      <c r="T483" s="8"/>
    </row>
    <row r="484" spans="2:20" x14ac:dyDescent="0.2">
      <c r="B484" s="11" t="str">
        <f>IF(PRODUCTOS[[#This Row],[CODIGO]]="", "", PRODUCTOS[[#This Row],[CODIGO]])</f>
        <v>HID-RED34-21</v>
      </c>
      <c r="C484" s="6" t="str">
        <f>IF(GENERAL[[#This Row],[CODIGO]]="", "", VLOOKUP(GENERAL[[#This Row],[CODIGO]], PRODUCTOS[#All], 2, FALSE))</f>
        <v>Reducción 3" x 4" long 21 10/16"</v>
      </c>
      <c r="D48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84" s="28" t="str">
        <f>IFERROR(IF(GENERAL[[#This Row],[CANTIDAD]]=0, "AGOTADO", IF(GENERAL[[#This Row],[CANTIDAD]]&lt;VLOOKUP(GENERAL[[#This Row],[CODIGO]], PRODUCTOS[#All], 3, FALSE), "MENOR AL MINIMO", "")), "")</f>
        <v/>
      </c>
      <c r="F484" s="39">
        <f>IF(OR(GENERAL[[#This Row],[CODIGO]]="", GENERAL[[#This Row],[CANTIDAD]]=""), "", VLOOKUP(GENERAL[[#This Row],[CODIGO]], PRODUCTOS[#All], 4, FALSE) * GENERAL[[#This Row],[CANTIDAD]])</f>
        <v>1100</v>
      </c>
      <c r="T484" s="8"/>
    </row>
    <row r="485" spans="2:20" x14ac:dyDescent="0.2">
      <c r="B485" s="11" t="str">
        <f>IF(PRODUCTOS[[#This Row],[CODIGO]]="", "", PRODUCTOS[[#This Row],[CODIGO]])</f>
        <v>HID-RED34-25</v>
      </c>
      <c r="C485" s="6" t="str">
        <f>IF(GENERAL[[#This Row],[CODIGO]]="", "", VLOOKUP(GENERAL[[#This Row],[CODIGO]], PRODUCTOS[#All], 2, FALSE))</f>
        <v>Reducción 3" x 4" long 25 1/4"</v>
      </c>
      <c r="D48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85" s="28" t="str">
        <f>IFERROR(IF(GENERAL[[#This Row],[CANTIDAD]]=0, "AGOTADO", IF(GENERAL[[#This Row],[CANTIDAD]]&lt;VLOOKUP(GENERAL[[#This Row],[CODIGO]], PRODUCTOS[#All], 3, FALSE), "MENOR AL MINIMO", "")), "")</f>
        <v/>
      </c>
      <c r="F485" s="39">
        <f>IF(OR(GENERAL[[#This Row],[CODIGO]]="", GENERAL[[#This Row],[CANTIDAD]]=""), "", VLOOKUP(GENERAL[[#This Row],[CODIGO]], PRODUCTOS[#All], 4, FALSE) * GENERAL[[#This Row],[CANTIDAD]])</f>
        <v>1100</v>
      </c>
      <c r="T485" s="8"/>
    </row>
    <row r="486" spans="2:20" x14ac:dyDescent="0.2">
      <c r="B486" s="11" t="str">
        <f>IF(PRODUCTOS[[#This Row],[CODIGO]]="", "", PRODUCTOS[[#This Row],[CODIGO]])</f>
        <v>HID-RED36-26</v>
      </c>
      <c r="C486" s="6" t="str">
        <f>IF(GENERAL[[#This Row],[CODIGO]]="", "", VLOOKUP(GENERAL[[#This Row],[CODIGO]], PRODUCTOS[#All], 2, FALSE))</f>
        <v>Reducción 3" x 6" long 26"</v>
      </c>
      <c r="D48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86" s="28" t="str">
        <f>IFERROR(IF(GENERAL[[#This Row],[CANTIDAD]]=0, "AGOTADO", IF(GENERAL[[#This Row],[CANTIDAD]]&lt;VLOOKUP(GENERAL[[#This Row],[CODIGO]], PRODUCTOS[#All], 3, FALSE), "MENOR AL MINIMO", "")), "")</f>
        <v/>
      </c>
      <c r="F486" s="39">
        <f>IF(OR(GENERAL[[#This Row],[CODIGO]]="", GENERAL[[#This Row],[CANTIDAD]]=""), "", VLOOKUP(GENERAL[[#This Row],[CODIGO]], PRODUCTOS[#All], 4, FALSE) * GENERAL[[#This Row],[CANTIDAD]])</f>
        <v>0</v>
      </c>
      <c r="T486" s="8"/>
    </row>
    <row r="487" spans="2:20" x14ac:dyDescent="0.2">
      <c r="B487" s="11" t="str">
        <f>IF(PRODUCTOS[[#This Row],[CODIGO]]="", "", PRODUCTOS[[#This Row],[CODIGO]])</f>
        <v>HID-RED45-22</v>
      </c>
      <c r="C487" s="6" t="str">
        <f>IF(GENERAL[[#This Row],[CODIGO]]="", "", VLOOKUP(GENERAL[[#This Row],[CODIGO]], PRODUCTOS[#All], 2, FALSE))</f>
        <v>Reducción 4" x 5" long 22"</v>
      </c>
      <c r="D48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87" s="28" t="str">
        <f>IFERROR(IF(GENERAL[[#This Row],[CANTIDAD]]=0, "AGOTADO", IF(GENERAL[[#This Row],[CANTIDAD]]&lt;VLOOKUP(GENERAL[[#This Row],[CODIGO]], PRODUCTOS[#All], 3, FALSE), "MENOR AL MINIMO", "")), "")</f>
        <v/>
      </c>
      <c r="F487" s="39">
        <f>IF(OR(GENERAL[[#This Row],[CODIGO]]="", GENERAL[[#This Row],[CANTIDAD]]=""), "", VLOOKUP(GENERAL[[#This Row],[CODIGO]], PRODUCTOS[#All], 4, FALSE) * GENERAL[[#This Row],[CANTIDAD]])</f>
        <v>1450</v>
      </c>
      <c r="T487" s="8"/>
    </row>
    <row r="488" spans="2:20" x14ac:dyDescent="0.2">
      <c r="B488" s="11" t="str">
        <f>IF(PRODUCTOS[[#This Row],[CODIGO]]="", "", PRODUCTOS[[#This Row],[CODIGO]])</f>
        <v>HID-RED46-20</v>
      </c>
      <c r="C488" s="6" t="str">
        <f>IF(GENERAL[[#This Row],[CODIGO]]="", "", VLOOKUP(GENERAL[[#This Row],[CODIGO]], PRODUCTOS[#All], 2, FALSE))</f>
        <v>Reducción 4" x 6" long 20 1/4"</v>
      </c>
      <c r="D48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88" s="28" t="str">
        <f>IFERROR(IF(GENERAL[[#This Row],[CANTIDAD]]=0, "AGOTADO", IF(GENERAL[[#This Row],[CANTIDAD]]&lt;VLOOKUP(GENERAL[[#This Row],[CODIGO]], PRODUCTOS[#All], 3, FALSE), "MENOR AL MINIMO", "")), "")</f>
        <v/>
      </c>
      <c r="F488" s="39">
        <f>IF(OR(GENERAL[[#This Row],[CODIGO]]="", GENERAL[[#This Row],[CANTIDAD]]=""), "", VLOOKUP(GENERAL[[#This Row],[CODIGO]], PRODUCTOS[#All], 4, FALSE) * GENERAL[[#This Row],[CANTIDAD]])</f>
        <v>1600</v>
      </c>
      <c r="T488" s="8"/>
    </row>
    <row r="489" spans="2:20" x14ac:dyDescent="0.2">
      <c r="B489" s="11" t="str">
        <f>IF(PRODUCTOS[[#This Row],[CODIGO]]="", "", PRODUCTOS[[#This Row],[CODIGO]])</f>
        <v>HID-RED46-27</v>
      </c>
      <c r="C489" s="6" t="str">
        <f>IF(GENERAL[[#This Row],[CODIGO]]="", "", VLOOKUP(GENERAL[[#This Row],[CODIGO]], PRODUCTOS[#All], 2, FALSE))</f>
        <v>Reducción 4" x 6" long 27"</v>
      </c>
      <c r="D48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489" s="28" t="str">
        <f>IFERROR(IF(GENERAL[[#This Row],[CANTIDAD]]=0, "AGOTADO", IF(GENERAL[[#This Row],[CANTIDAD]]&lt;VLOOKUP(GENERAL[[#This Row],[CODIGO]], PRODUCTOS[#All], 3, FALSE), "MENOR AL MINIMO", "")), "")</f>
        <v/>
      </c>
      <c r="F489" s="39">
        <f>IF(OR(GENERAL[[#This Row],[CODIGO]]="", GENERAL[[#This Row],[CANTIDAD]]=""), "", VLOOKUP(GENERAL[[#This Row],[CODIGO]], PRODUCTOS[#All], 4, FALSE) * GENERAL[[#This Row],[CANTIDAD]])</f>
        <v>3200</v>
      </c>
      <c r="T489" s="8"/>
    </row>
    <row r="490" spans="2:20" x14ac:dyDescent="0.2">
      <c r="B490" s="11" t="str">
        <f>IF(PRODUCTOS[[#This Row],[CODIGO]]="", "", PRODUCTOS[[#This Row],[CODIGO]])</f>
        <v>HID-RED56-25</v>
      </c>
      <c r="C490" s="6" t="str">
        <f>IF(GENERAL[[#This Row],[CODIGO]]="", "", VLOOKUP(GENERAL[[#This Row],[CODIGO]], PRODUCTOS[#All], 2, FALSE))</f>
        <v>Reducción 5" x 6" long 25 1/4"</v>
      </c>
      <c r="D49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90" s="28" t="str">
        <f>IFERROR(IF(GENERAL[[#This Row],[CANTIDAD]]=0, "AGOTADO", IF(GENERAL[[#This Row],[CANTIDAD]]&lt;VLOOKUP(GENERAL[[#This Row],[CODIGO]], PRODUCTOS[#All], 3, FALSE), "MENOR AL MINIMO", "")), "")</f>
        <v/>
      </c>
      <c r="F490" s="39">
        <f>IF(OR(GENERAL[[#This Row],[CODIGO]]="", GENERAL[[#This Row],[CANTIDAD]]=""), "", VLOOKUP(GENERAL[[#This Row],[CODIGO]], PRODUCTOS[#All], 4, FALSE) * GENERAL[[#This Row],[CANTIDAD]])</f>
        <v>1750</v>
      </c>
      <c r="T490" s="8"/>
    </row>
    <row r="491" spans="2:20" x14ac:dyDescent="0.2">
      <c r="B491" s="11" t="str">
        <f>IF(PRODUCTOS[[#This Row],[CODIGO]]="", "", PRODUCTOS[[#This Row],[CODIGO]])</f>
        <v>HID-RED68-19</v>
      </c>
      <c r="C491" s="6" t="str">
        <f>IF(GENERAL[[#This Row],[CODIGO]]="", "", VLOOKUP(GENERAL[[#This Row],[CODIGO]], PRODUCTOS[#All], 2, FALSE))</f>
        <v>Reducción 6" x 8" long 19"</v>
      </c>
      <c r="D49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491" s="28" t="str">
        <f>IFERROR(IF(GENERAL[[#This Row],[CANTIDAD]]=0, "AGOTADO", IF(GENERAL[[#This Row],[CANTIDAD]]&lt;VLOOKUP(GENERAL[[#This Row],[CODIGO]], PRODUCTOS[#All], 3, FALSE), "MENOR AL MINIMO", "")), "")</f>
        <v>AGOTADO</v>
      </c>
      <c r="F491" s="39">
        <f>IF(OR(GENERAL[[#This Row],[CODIGO]]="", GENERAL[[#This Row],[CANTIDAD]]=""), "", VLOOKUP(GENERAL[[#This Row],[CODIGO]], PRODUCTOS[#All], 4, FALSE) * GENERAL[[#This Row],[CANTIDAD]])</f>
        <v>0</v>
      </c>
      <c r="T491" s="8"/>
    </row>
    <row r="492" spans="2:20" x14ac:dyDescent="0.2">
      <c r="B492" s="11" t="str">
        <f>IF(PRODUCTOS[[#This Row],[CODIGO]]="", "", PRODUCTOS[[#This Row],[CODIGO]])</f>
        <v>HID-RED68-23</v>
      </c>
      <c r="C492" s="6" t="str">
        <f>IF(GENERAL[[#This Row],[CODIGO]]="", "", VLOOKUP(GENERAL[[#This Row],[CODIGO]], PRODUCTOS[#All], 2, FALSE))</f>
        <v>Reducción 6" x 8" long 23"</v>
      </c>
      <c r="D49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92" s="28" t="str">
        <f>IFERROR(IF(GENERAL[[#This Row],[CANTIDAD]]=0, "AGOTADO", IF(GENERAL[[#This Row],[CANTIDAD]]&lt;VLOOKUP(GENERAL[[#This Row],[CODIGO]], PRODUCTOS[#All], 3, FALSE), "MENOR AL MINIMO", "")), "")</f>
        <v/>
      </c>
      <c r="F492" s="39">
        <f>IF(OR(GENERAL[[#This Row],[CODIGO]]="", GENERAL[[#This Row],[CANTIDAD]]=""), "", VLOOKUP(GENERAL[[#This Row],[CODIGO]], PRODUCTOS[#All], 4, FALSE) * GENERAL[[#This Row],[CANTIDAD]])</f>
        <v>0</v>
      </c>
      <c r="T492" s="8"/>
    </row>
    <row r="493" spans="2:20" x14ac:dyDescent="0.2">
      <c r="B493" s="11" t="str">
        <f>IF(PRODUCTOS[[#This Row],[CODIGO]]="", "", PRODUCTOS[[#This Row],[CODIGO]])</f>
        <v>HID-RED68-24</v>
      </c>
      <c r="C493" s="6" t="str">
        <f>IF(GENERAL[[#This Row],[CODIGO]]="", "", VLOOKUP(GENERAL[[#This Row],[CODIGO]], PRODUCTOS[#All], 2, FALSE))</f>
        <v>Reducción 6" x 8" long 24"</v>
      </c>
      <c r="D49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93" s="28" t="str">
        <f>IFERROR(IF(GENERAL[[#This Row],[CANTIDAD]]=0, "AGOTADO", IF(GENERAL[[#This Row],[CANTIDAD]]&lt;VLOOKUP(GENERAL[[#This Row],[CODIGO]], PRODUCTOS[#All], 3, FALSE), "MENOR AL MINIMO", "")), "")</f>
        <v/>
      </c>
      <c r="F493" s="39">
        <f>IF(OR(GENERAL[[#This Row],[CODIGO]]="", GENERAL[[#This Row],[CANTIDAD]]=""), "", VLOOKUP(GENERAL[[#This Row],[CODIGO]], PRODUCTOS[#All], 4, FALSE) * GENERAL[[#This Row],[CANTIDAD]])</f>
        <v>0</v>
      </c>
      <c r="T493" s="8"/>
    </row>
    <row r="494" spans="2:20" x14ac:dyDescent="0.2">
      <c r="B494" s="11" t="str">
        <f>IF(PRODUCTOS[[#This Row],[CODIGO]]="", "", PRODUCTOS[[#This Row],[CODIGO]])</f>
        <v>HID-TUMH6 -17</v>
      </c>
      <c r="C494" s="6" t="str">
        <f>IF(GENERAL[[#This Row],[CODIGO]]="", "", VLOOKUP(GENERAL[[#This Row],[CODIGO]], PRODUCTOS[#All], 2, FALSE))</f>
        <v>Tubo macho hembra 6" long 17"</v>
      </c>
      <c r="D49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494" s="28" t="str">
        <f>IFERROR(IF(GENERAL[[#This Row],[CANTIDAD]]=0, "AGOTADO", IF(GENERAL[[#This Row],[CANTIDAD]]&lt;VLOOKUP(GENERAL[[#This Row],[CODIGO]], PRODUCTOS[#All], 3, FALSE), "MENOR AL MINIMO", "")), "")</f>
        <v/>
      </c>
      <c r="F494" s="39">
        <f>IF(OR(GENERAL[[#This Row],[CODIGO]]="", GENERAL[[#This Row],[CANTIDAD]]=""), "", VLOOKUP(GENERAL[[#This Row],[CODIGO]], PRODUCTOS[#All], 4, FALSE) * GENERAL[[#This Row],[CANTIDAD]])</f>
        <v>0</v>
      </c>
      <c r="T494" s="8"/>
    </row>
    <row r="495" spans="2:20" x14ac:dyDescent="0.2">
      <c r="B495" s="11" t="str">
        <f>IF(PRODUCTOS[[#This Row],[CODIGO]]="", "", PRODUCTOS[[#This Row],[CODIGO]])</f>
        <v>HID-VADEX-001</v>
      </c>
      <c r="C495" s="6" t="str">
        <f>IF(GENERAL[[#This Row],[CODIGO]]="", "", VLOOKUP(GENERAL[[#This Row],[CODIGO]], PRODUCTOS[#All], 2, FALSE))</f>
        <v xml:space="preserve">Válvula de admisión y expulsión de aire aluminio </v>
      </c>
      <c r="D49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495" s="28" t="str">
        <f>IFERROR(IF(GENERAL[[#This Row],[CANTIDAD]]=0, "AGOTADO", IF(GENERAL[[#This Row],[CANTIDAD]]&lt;VLOOKUP(GENERAL[[#This Row],[CODIGO]], PRODUCTOS[#All], 3, FALSE), "MENOR AL MINIMO", "")), "")</f>
        <v/>
      </c>
      <c r="F495" s="39">
        <f>IF(OR(GENERAL[[#This Row],[CODIGO]]="", GENERAL[[#This Row],[CANTIDAD]]=""), "", VLOOKUP(GENERAL[[#This Row],[CODIGO]], PRODUCTOS[#All], 4, FALSE) * GENERAL[[#This Row],[CANTIDAD]])</f>
        <v>1550</v>
      </c>
      <c r="T495" s="8"/>
    </row>
    <row r="496" spans="2:20" x14ac:dyDescent="0.2">
      <c r="B496" s="11" t="str">
        <f>IF(PRODUCTOS[[#This Row],[CODIGO]]="", "", PRODUCTOS[[#This Row],[CODIGO]])</f>
        <v>HID-VADEX2-002</v>
      </c>
      <c r="C496" s="6" t="str">
        <f>IF(GENERAL[[#This Row],[CODIGO]]="", "", VLOOKUP(GENERAL[[#This Row],[CODIGO]], PRODUCTOS[#All], 2, FALSE))</f>
        <v xml:space="preserve">Válvula de admisón y expulsión 2"  sigma </v>
      </c>
      <c r="D49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</v>
      </c>
      <c r="E496" s="28" t="str">
        <f>IFERROR(IF(GENERAL[[#This Row],[CANTIDAD]]=0, "AGOTADO", IF(GENERAL[[#This Row],[CANTIDAD]]&lt;VLOOKUP(GENERAL[[#This Row],[CODIGO]], PRODUCTOS[#All], 3, FALSE), "MENOR AL MINIMO", "")), "")</f>
        <v/>
      </c>
      <c r="F496" s="39">
        <f>IF(OR(GENERAL[[#This Row],[CODIGO]]="", GENERAL[[#This Row],[CANTIDAD]]=""), "", VLOOKUP(GENERAL[[#This Row],[CODIGO]], PRODUCTOS[#All], 4, FALSE) * GENERAL[[#This Row],[CANTIDAD]])</f>
        <v>12000</v>
      </c>
      <c r="T496" s="8"/>
    </row>
    <row r="497" spans="2:20" x14ac:dyDescent="0.2">
      <c r="B497" s="11" t="str">
        <f>IF(PRODUCTOS[[#This Row],[CODIGO]]="", "", PRODUCTOS[[#This Row],[CODIGO]])</f>
        <v>HID-VCC40-4</v>
      </c>
      <c r="C497" s="6" t="str">
        <f>IF(GENERAL[[#This Row],[CODIGO]]="", "", VLOOKUP(GENERAL[[#This Row],[CODIGO]], PRODUCTOS[#All], 2, FALSE))</f>
        <v>4" ced. 40</v>
      </c>
      <c r="D49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497" s="28" t="str">
        <f>IFERROR(IF(GENERAL[[#This Row],[CANTIDAD]]=0, "AGOTADO", IF(GENERAL[[#This Row],[CANTIDAD]]&lt;VLOOKUP(GENERAL[[#This Row],[CODIGO]], PRODUCTOS[#All], 3, FALSE), "MENOR AL MINIMO", "")), "")</f>
        <v/>
      </c>
      <c r="F497" s="39">
        <f>IF(OR(GENERAL[[#This Row],[CODIGO]]="", GENERAL[[#This Row],[CANTIDAD]]=""), "", VLOOKUP(GENERAL[[#This Row],[CODIGO]], PRODUCTOS[#All], 4, FALSE) * GENERAL[[#This Row],[CANTIDAD]])</f>
        <v>20500</v>
      </c>
      <c r="T497" s="8"/>
    </row>
    <row r="498" spans="2:20" x14ac:dyDescent="0.2">
      <c r="B498" s="11" t="str">
        <f>IF(PRODUCTOS[[#This Row],[CODIGO]]="", "", PRODUCTOS[[#This Row],[CODIGO]])</f>
        <v>HID-VCC40-6</v>
      </c>
      <c r="C498" s="6" t="str">
        <f>IF(GENERAL[[#This Row],[CODIGO]]="", "", VLOOKUP(GENERAL[[#This Row],[CODIGO]], PRODUCTOS[#All], 2, FALSE))</f>
        <v>6" ced. 40</v>
      </c>
      <c r="D49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498" s="28" t="str">
        <f>IFERROR(IF(GENERAL[[#This Row],[CANTIDAD]]=0, "AGOTADO", IF(GENERAL[[#This Row],[CANTIDAD]]&lt;VLOOKUP(GENERAL[[#This Row],[CODIGO]], PRODUCTOS[#All], 3, FALSE), "MENOR AL MINIMO", "")), "")</f>
        <v/>
      </c>
      <c r="F498" s="39">
        <f>IF(OR(GENERAL[[#This Row],[CODIGO]]="", GENERAL[[#This Row],[CANTIDAD]]=""), "", VLOOKUP(GENERAL[[#This Row],[CODIGO]], PRODUCTOS[#All], 4, FALSE) * GENERAL[[#This Row],[CANTIDAD]])</f>
        <v>0</v>
      </c>
      <c r="T498" s="8"/>
    </row>
    <row r="499" spans="2:20" x14ac:dyDescent="0.2">
      <c r="B499" s="11" t="str">
        <f>IF(PRODUCTOS[[#This Row],[CODIGO]]="", "", PRODUCTOS[[#This Row],[CODIGO]])</f>
        <v>HID-VCC40-8</v>
      </c>
      <c r="C499" s="6" t="str">
        <f>IF(GENERAL[[#This Row],[CODIGO]]="", "", VLOOKUP(GENERAL[[#This Row],[CODIGO]], PRODUCTOS[#All], 2, FALSE))</f>
        <v>8" ced. 40</v>
      </c>
      <c r="D49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499" s="28" t="str">
        <f>IFERROR(IF(GENERAL[[#This Row],[CANTIDAD]]=0, "AGOTADO", IF(GENERAL[[#This Row],[CANTIDAD]]&lt;VLOOKUP(GENERAL[[#This Row],[CODIGO]], PRODUCTOS[#All], 3, FALSE), "MENOR AL MINIMO", "")), "")</f>
        <v>MENOR AL MINIMO</v>
      </c>
      <c r="F499" s="39">
        <f>IF(OR(GENERAL[[#This Row],[CODIGO]]="", GENERAL[[#This Row],[CANTIDAD]]=""), "", VLOOKUP(GENERAL[[#This Row],[CODIGO]], PRODUCTOS[#All], 4, FALSE) * GENERAL[[#This Row],[CANTIDAD]])</f>
        <v>16400</v>
      </c>
      <c r="T499" s="8"/>
    </row>
    <row r="500" spans="2:20" x14ac:dyDescent="0.2">
      <c r="B500" s="11" t="str">
        <f>IF(PRODUCTOS[[#This Row],[CODIGO]]="", "", PRODUCTOS[[#This Row],[CODIGO]])</f>
        <v>HID-VCFLO-3</v>
      </c>
      <c r="C500" s="6" t="str">
        <f>IF(GENERAL[[#This Row],[CODIGO]]="", "", VLOOKUP(GENERAL[[#This Row],[CODIGO]], PRODUCTOS[#All], 2, FALSE))</f>
        <v>3" flomatic</v>
      </c>
      <c r="D50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500" s="28" t="str">
        <f>IFERROR(IF(GENERAL[[#This Row],[CANTIDAD]]=0, "AGOTADO", IF(GENERAL[[#This Row],[CANTIDAD]]&lt;VLOOKUP(GENERAL[[#This Row],[CODIGO]], PRODUCTOS[#All], 3, FALSE), "MENOR AL MINIMO", "")), "")</f>
        <v>MENOR AL MINIMO</v>
      </c>
      <c r="F500" s="39">
        <f>IF(OR(GENERAL[[#This Row],[CODIGO]]="", GENERAL[[#This Row],[CANTIDAD]]=""), "", VLOOKUP(GENERAL[[#This Row],[CODIGO]], PRODUCTOS[#All], 4, FALSE) * GENERAL[[#This Row],[CANTIDAD]])</f>
        <v>16210.825999999999</v>
      </c>
      <c r="T500" s="8"/>
    </row>
    <row r="501" spans="2:20" x14ac:dyDescent="0.2">
      <c r="B501" s="11" t="str">
        <f>IF(PRODUCTOS[[#This Row],[CODIGO]]="", "", PRODUCTOS[[#This Row],[CODIGO]])</f>
        <v>HID-VCFLO-4</v>
      </c>
      <c r="C501" s="6" t="str">
        <f>IF(GENERAL[[#This Row],[CODIGO]]="", "", VLOOKUP(GENERAL[[#This Row],[CODIGO]], PRODUCTOS[#All], 2, FALSE))</f>
        <v>4" flomatic</v>
      </c>
      <c r="D50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501" s="28" t="str">
        <f>IFERROR(IF(GENERAL[[#This Row],[CANTIDAD]]=0, "AGOTADO", IF(GENERAL[[#This Row],[CANTIDAD]]&lt;VLOOKUP(GENERAL[[#This Row],[CODIGO]], PRODUCTOS[#All], 3, FALSE), "MENOR AL MINIMO", "")), "")</f>
        <v>MENOR AL MINIMO</v>
      </c>
      <c r="F501" s="39">
        <f>IF(OR(GENERAL[[#This Row],[CODIGO]]="", GENERAL[[#This Row],[CANTIDAD]]=""), "", VLOOKUP(GENERAL[[#This Row],[CODIGO]], PRODUCTOS[#All], 4, FALSE) * GENERAL[[#This Row],[CANTIDAD]])</f>
        <v>49822.858399999997</v>
      </c>
      <c r="T501" s="8"/>
    </row>
    <row r="502" spans="2:20" x14ac:dyDescent="0.2">
      <c r="B502" s="11" t="str">
        <f>IF(PRODUCTOS[[#This Row],[CODIGO]]="", "", PRODUCTOS[[#This Row],[CODIGO]])</f>
        <v>HID-VCFLO-6</v>
      </c>
      <c r="C502" s="6" t="str">
        <f>IF(GENERAL[[#This Row],[CODIGO]]="", "", VLOOKUP(GENERAL[[#This Row],[CODIGO]], PRODUCTOS[#All], 2, FALSE))</f>
        <v>6" flomatic</v>
      </c>
      <c r="D50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502" s="28" t="str">
        <f>IFERROR(IF(GENERAL[[#This Row],[CANTIDAD]]=0, "AGOTADO", IF(GENERAL[[#This Row],[CANTIDAD]]&lt;VLOOKUP(GENERAL[[#This Row],[CODIGO]], PRODUCTOS[#All], 3, FALSE), "MENOR AL MINIMO", "")), "")</f>
        <v/>
      </c>
      <c r="F502" s="39">
        <f>IF(OR(GENERAL[[#This Row],[CODIGO]]="", GENERAL[[#This Row],[CANTIDAD]]=""), "", VLOOKUP(GENERAL[[#This Row],[CODIGO]], PRODUCTOS[#All], 4, FALSE) * GENERAL[[#This Row],[CANTIDAD]])</f>
        <v>0</v>
      </c>
      <c r="T502" s="8"/>
    </row>
    <row r="503" spans="2:20" x14ac:dyDescent="0.2">
      <c r="B503" s="11" t="str">
        <f>IF(PRODUCTOS[[#This Row],[CODIGO]]="", "", PRODUCTOS[[#This Row],[CODIGO]])</f>
        <v>HID-VCGOU-3</v>
      </c>
      <c r="C503" s="6" t="str">
        <f>IF(GENERAL[[#This Row],[CODIGO]]="", "", VLOOKUP(GENERAL[[#This Row],[CODIGO]], PRODUCTOS[#All], 2, FALSE))</f>
        <v>3" Goulds</v>
      </c>
      <c r="D50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503" s="28" t="str">
        <f>IFERROR(IF(GENERAL[[#This Row],[CANTIDAD]]=0, "AGOTADO", IF(GENERAL[[#This Row],[CANTIDAD]]&lt;VLOOKUP(GENERAL[[#This Row],[CODIGO]], PRODUCTOS[#All], 3, FALSE), "MENOR AL MINIMO", "")), "")</f>
        <v/>
      </c>
      <c r="F503" s="39">
        <f>IF(OR(GENERAL[[#This Row],[CODIGO]]="", GENERAL[[#This Row],[CANTIDAD]]=""), "", VLOOKUP(GENERAL[[#This Row],[CODIGO]], PRODUCTOS[#All], 4, FALSE) * GENERAL[[#This Row],[CANTIDAD]])</f>
        <v>29585.8</v>
      </c>
      <c r="T503" s="8"/>
    </row>
    <row r="504" spans="2:20" x14ac:dyDescent="0.2">
      <c r="B504" s="11" t="str">
        <f>IF(PRODUCTOS[[#This Row],[CODIGO]]="", "", PRODUCTOS[[#This Row],[CODIGO]])</f>
        <v>HID-VCGOU-4</v>
      </c>
      <c r="C504" s="6" t="str">
        <f>IF(GENERAL[[#This Row],[CODIGO]]="", "", VLOOKUP(GENERAL[[#This Row],[CODIGO]], PRODUCTOS[#All], 2, FALSE))</f>
        <v xml:space="preserve">4" Goulds </v>
      </c>
      <c r="D50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504" s="28" t="str">
        <f>IFERROR(IF(GENERAL[[#This Row],[CANTIDAD]]=0, "AGOTADO", IF(GENERAL[[#This Row],[CANTIDAD]]&lt;VLOOKUP(GENERAL[[#This Row],[CODIGO]], PRODUCTOS[#All], 3, FALSE), "MENOR AL MINIMO", "")), "")</f>
        <v/>
      </c>
      <c r="F504" s="39">
        <f>IF(OR(GENERAL[[#This Row],[CODIGO]]="", GENERAL[[#This Row],[CANTIDAD]]=""), "", VLOOKUP(GENERAL[[#This Row],[CODIGO]], PRODUCTOS[#All], 4, FALSE) * GENERAL[[#This Row],[CANTIDAD]])</f>
        <v>0</v>
      </c>
      <c r="T504" s="8"/>
    </row>
    <row r="505" spans="2:20" x14ac:dyDescent="0.2">
      <c r="B505" s="11" t="str">
        <f>IF(PRODUCTOS[[#This Row],[CODIGO]]="", "", PRODUCTOS[[#This Row],[CODIGO]])</f>
        <v>LIM-CLOR-005</v>
      </c>
      <c r="C505" s="6" t="str">
        <f>IF(GENERAL[[#This Row],[CODIGO]]="", "", VLOOKUP(GENERAL[[#This Row],[CODIGO]], PRODUCTOS[#All], 2, FALSE))</f>
        <v>Cloro estabilizado y concentrado para piscinas 21k</v>
      </c>
      <c r="D50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05" s="28" t="str">
        <f>IFERROR(IF(GENERAL[[#This Row],[CANTIDAD]]=0, "AGOTADO", IF(GENERAL[[#This Row],[CANTIDAD]]&lt;VLOOKUP(GENERAL[[#This Row],[CODIGO]], PRODUCTOS[#All], 3, FALSE), "MENOR AL MINIMO", "")), "")</f>
        <v>AGOTADO</v>
      </c>
      <c r="F505" s="39">
        <f>IF(OR(GENERAL[[#This Row],[CODIGO]]="", GENERAL[[#This Row],[CANTIDAD]]=""), "", VLOOKUP(GENERAL[[#This Row],[CODIGO]], PRODUCTOS[#All], 4, FALSE) * GENERAL[[#This Row],[CANTIDAD]])</f>
        <v>0</v>
      </c>
      <c r="T505" s="8"/>
    </row>
    <row r="506" spans="2:20" x14ac:dyDescent="0.2">
      <c r="B506" s="11" t="str">
        <f>IF(PRODUCTOS[[#This Row],[CODIGO]]="", "", PRODUCTOS[[#This Row],[CODIGO]])</f>
        <v>LIM-DIES-006</v>
      </c>
      <c r="C506" s="6" t="str">
        <f>IF(GENERAL[[#This Row],[CODIGO]]="", "", VLOOKUP(GENERAL[[#This Row],[CODIGO]], PRODUCTOS[#All], 2, FALSE))</f>
        <v>Diesel (bidones)</v>
      </c>
      <c r="D50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06" s="28" t="str">
        <f>IFERROR(IF(GENERAL[[#This Row],[CANTIDAD]]=0, "AGOTADO", IF(GENERAL[[#This Row],[CANTIDAD]]&lt;VLOOKUP(GENERAL[[#This Row],[CODIGO]], PRODUCTOS[#All], 3, FALSE), "MENOR AL MINIMO", "")), "")</f>
        <v>AGOTADO</v>
      </c>
      <c r="F506" s="39">
        <f>IF(OR(GENERAL[[#This Row],[CODIGO]]="", GENERAL[[#This Row],[CANTIDAD]]=""), "", VLOOKUP(GENERAL[[#This Row],[CODIGO]], PRODUCTOS[#All], 4, FALSE) * GENERAL[[#This Row],[CANTIDAD]])</f>
        <v>0</v>
      </c>
      <c r="T506" s="8"/>
    </row>
    <row r="507" spans="2:20" x14ac:dyDescent="0.2">
      <c r="B507" s="11" t="str">
        <f>IF(PRODUCTOS[[#This Row],[CODIGO]]="", "", PRODUCTOS[[#This Row],[CODIGO]])</f>
        <v>LIM-DIES-007</v>
      </c>
      <c r="C507" s="6" t="str">
        <f>IF(GENERAL[[#This Row],[CODIGO]]="", "", VLOOKUP(GENERAL[[#This Row],[CODIGO]], PRODUCTOS[#All], 2, FALSE))</f>
        <v>Diesel p/limpieza de pzs. (bidones)</v>
      </c>
      <c r="D50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07" s="28" t="str">
        <f>IFERROR(IF(GENERAL[[#This Row],[CANTIDAD]]=0, "AGOTADO", IF(GENERAL[[#This Row],[CANTIDAD]]&lt;VLOOKUP(GENERAL[[#This Row],[CODIGO]], PRODUCTOS[#All], 3, FALSE), "MENOR AL MINIMO", "")), "")</f>
        <v>AGOTADO</v>
      </c>
      <c r="F507" s="39">
        <f>IF(OR(GENERAL[[#This Row],[CODIGO]]="", GENERAL[[#This Row],[CANTIDAD]]=""), "", VLOOKUP(GENERAL[[#This Row],[CODIGO]], PRODUCTOS[#All], 4, FALSE) * GENERAL[[#This Row],[CANTIDAD]])</f>
        <v>0</v>
      </c>
      <c r="T507" s="8"/>
    </row>
    <row r="508" spans="2:20" x14ac:dyDescent="0.2">
      <c r="B508" s="11" t="str">
        <f>IF(PRODUCTOS[[#This Row],[CODIGO]]="", "", PRODUCTOS[[#This Row],[CODIGO]])</f>
        <v>LIM-GASBL-010</v>
      </c>
      <c r="C508" s="6" t="str">
        <f>IF(GENERAL[[#This Row],[CODIGO]]="", "", VLOOKUP(GENERAL[[#This Row],[CODIGO]], PRODUCTOS[#All], 2, FALSE))</f>
        <v>Gasolina blanca (l)</v>
      </c>
      <c r="D50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08" s="28" t="str">
        <f>IFERROR(IF(GENERAL[[#This Row],[CANTIDAD]]=0, "AGOTADO", IF(GENERAL[[#This Row],[CANTIDAD]]&lt;VLOOKUP(GENERAL[[#This Row],[CODIGO]], PRODUCTOS[#All], 3, FALSE), "MENOR AL MINIMO", "")), "")</f>
        <v>AGOTADO</v>
      </c>
      <c r="F508" s="39">
        <f>IF(OR(GENERAL[[#This Row],[CODIGO]]="", GENERAL[[#This Row],[CANTIDAD]]=""), "", VLOOKUP(GENERAL[[#This Row],[CODIGO]], PRODUCTOS[#All], 4, FALSE) * GENERAL[[#This Row],[CANTIDAD]])</f>
        <v>0</v>
      </c>
      <c r="T508" s="8"/>
    </row>
    <row r="509" spans="2:20" x14ac:dyDescent="0.2">
      <c r="B509" s="11" t="str">
        <f>IF(PRODUCTOS[[#This Row],[CODIGO]]="", "", PRODUCTOS[[#This Row],[CODIGO]])</f>
        <v>LIM-GASO-008</v>
      </c>
      <c r="C509" s="6" t="str">
        <f>IF(GENERAL[[#This Row],[CODIGO]]="", "", VLOOKUP(GENERAL[[#This Row],[CODIGO]], PRODUCTOS[#All], 2, FALSE))</f>
        <v>Gasolina</v>
      </c>
      <c r="D50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09" s="28" t="str">
        <f>IFERROR(IF(GENERAL[[#This Row],[CANTIDAD]]=0, "AGOTADO", IF(GENERAL[[#This Row],[CANTIDAD]]&lt;VLOOKUP(GENERAL[[#This Row],[CODIGO]], PRODUCTOS[#All], 3, FALSE), "MENOR AL MINIMO", "")), "")</f>
        <v>AGOTADO</v>
      </c>
      <c r="F509" s="39">
        <f>IF(OR(GENERAL[[#This Row],[CODIGO]]="", GENERAL[[#This Row],[CANTIDAD]]=""), "", VLOOKUP(GENERAL[[#This Row],[CODIGO]], PRODUCTOS[#All], 4, FALSE) * GENERAL[[#This Row],[CANTIDAD]])</f>
        <v>0</v>
      </c>
      <c r="T509" s="8"/>
    </row>
    <row r="510" spans="2:20" x14ac:dyDescent="0.2">
      <c r="B510" s="11" t="str">
        <f>IF(PRODUCTOS[[#This Row],[CODIGO]]="", "", PRODUCTOS[[#This Row],[CODIGO]])</f>
        <v>LIM-GRAS-009</v>
      </c>
      <c r="C510" s="6" t="str">
        <f>IF(GENERAL[[#This Row],[CODIGO]]="", "", VLOOKUP(GENERAL[[#This Row],[CODIGO]], PRODUCTOS[#All], 2, FALSE))</f>
        <v>Grasa (kg)</v>
      </c>
      <c r="D51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10" s="28" t="str">
        <f>IFERROR(IF(GENERAL[[#This Row],[CANTIDAD]]=0, "AGOTADO", IF(GENERAL[[#This Row],[CANTIDAD]]&lt;VLOOKUP(GENERAL[[#This Row],[CODIGO]], PRODUCTOS[#All], 3, FALSE), "MENOR AL MINIMO", "")), "")</f>
        <v>AGOTADO</v>
      </c>
      <c r="F510" s="39">
        <f>IF(OR(GENERAL[[#This Row],[CODIGO]]="", GENERAL[[#This Row],[CANTIDAD]]=""), "", VLOOKUP(GENERAL[[#This Row],[CODIGO]], PRODUCTOS[#All], 4, FALSE) * GENERAL[[#This Row],[CANTIDAD]])</f>
        <v>0</v>
      </c>
      <c r="T510" s="8"/>
    </row>
    <row r="511" spans="2:20" x14ac:dyDescent="0.2">
      <c r="B511" s="11" t="str">
        <f>IF(PRODUCTOS[[#This Row],[CODIGO]]="", "", PRODUCTOS[[#This Row],[CODIGO]])</f>
        <v>LIM-JAAZ-004</v>
      </c>
      <c r="C511" s="6" t="str">
        <f>IF(GENERAL[[#This Row],[CODIGO]]="", "", VLOOKUP(GENERAL[[#This Row],[CODIGO]], PRODUCTOS[#All], 2, FALSE))</f>
        <v>Jabon azul (bidones)</v>
      </c>
      <c r="D51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11" s="28" t="str">
        <f>IFERROR(IF(GENERAL[[#This Row],[CANTIDAD]]=0, "AGOTADO", IF(GENERAL[[#This Row],[CANTIDAD]]&lt;VLOOKUP(GENERAL[[#This Row],[CODIGO]], PRODUCTOS[#All], 3, FALSE), "MENOR AL MINIMO", "")), "")</f>
        <v>AGOTADO</v>
      </c>
      <c r="F511" s="39">
        <f>IF(OR(GENERAL[[#This Row],[CODIGO]]="", GENERAL[[#This Row],[CANTIDAD]]=""), "", VLOOKUP(GENERAL[[#This Row],[CODIGO]], PRODUCTOS[#All], 4, FALSE) * GENERAL[[#This Row],[CANTIDAD]])</f>
        <v>0</v>
      </c>
      <c r="T511" s="8"/>
    </row>
    <row r="512" spans="2:20" x14ac:dyDescent="0.2">
      <c r="B512" s="11" t="str">
        <f>IF(PRODUCTOS[[#This Row],[CODIGO]]="", "", PRODUCTOS[[#This Row],[CODIGO]])</f>
        <v>LIM-LIDES-002</v>
      </c>
      <c r="C512" s="6" t="str">
        <f>IF(GENERAL[[#This Row],[CODIGO]]="", "", VLOOKUP(GENERAL[[#This Row],[CODIGO]], PRODUCTOS[#All], 2, FALSE))</f>
        <v>Químico liquid acid descaler (bidones)</v>
      </c>
      <c r="D51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12" s="28" t="str">
        <f>IFERROR(IF(GENERAL[[#This Row],[CANTIDAD]]=0, "AGOTADO", IF(GENERAL[[#This Row],[CANTIDAD]]&lt;VLOOKUP(GENERAL[[#This Row],[CODIGO]], PRODUCTOS[#All], 3, FALSE), "MENOR AL MINIMO", "")), "")</f>
        <v>AGOTADO</v>
      </c>
      <c r="F512" s="39">
        <f>IF(OR(GENERAL[[#This Row],[CODIGO]]="", GENERAL[[#This Row],[CANTIDAD]]=""), "", VLOOKUP(GENERAL[[#This Row],[CODIGO]], PRODUCTOS[#All], 4, FALSE) * GENERAL[[#This Row],[CANTIDAD]])</f>
        <v>0</v>
      </c>
      <c r="T512" s="8"/>
    </row>
    <row r="513" spans="2:20" x14ac:dyDescent="0.2">
      <c r="B513" s="11" t="str">
        <f>IF(PRODUCTOS[[#This Row],[CODIGO]]="", "", PRODUCTOS[[#This Row],[CODIGO]])</f>
        <v>LIM-QAQCL-003</v>
      </c>
      <c r="C513" s="6" t="str">
        <f>IF(GENERAL[[#This Row],[CODIGO]]="", "", VLOOKUP(GENERAL[[#This Row],[CODIGO]], PRODUCTOS[#All], 2, FALSE))</f>
        <v>Químico aqua clear (bidones)</v>
      </c>
      <c r="D51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13" s="28" t="str">
        <f>IFERROR(IF(GENERAL[[#This Row],[CANTIDAD]]=0, "AGOTADO", IF(GENERAL[[#This Row],[CANTIDAD]]&lt;VLOOKUP(GENERAL[[#This Row],[CODIGO]], PRODUCTOS[#All], 3, FALSE), "MENOR AL MINIMO", "")), "")</f>
        <v>AGOTADO</v>
      </c>
      <c r="F513" s="39">
        <f>IF(OR(GENERAL[[#This Row],[CODIGO]]="", GENERAL[[#This Row],[CANTIDAD]]=""), "", VLOOKUP(GENERAL[[#This Row],[CODIGO]], PRODUCTOS[#All], 4, FALSE) * GENERAL[[#This Row],[CANTIDAD]])</f>
        <v>0</v>
      </c>
      <c r="T513" s="8"/>
    </row>
    <row r="514" spans="2:20" x14ac:dyDescent="0.2">
      <c r="B514" s="11" t="str">
        <f>IF(PRODUCTOS[[#This Row],[CODIGO]]="", "", PRODUCTOS[[#This Row],[CODIGO]])</f>
        <v>LIM-QDIS-001</v>
      </c>
      <c r="C514" s="6" t="str">
        <f>IF(GENERAL[[#This Row],[CODIGO]]="", "", VLOOKUP(GENERAL[[#This Row],[CODIGO]], PRODUCTOS[#All], 2, FALSE))</f>
        <v>Químico dispersante (bidones)</v>
      </c>
      <c r="D51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14" s="28" t="str">
        <f>IFERROR(IF(GENERAL[[#This Row],[CANTIDAD]]=0, "AGOTADO", IF(GENERAL[[#This Row],[CANTIDAD]]&lt;VLOOKUP(GENERAL[[#This Row],[CODIGO]], PRODUCTOS[#All], 3, FALSE), "MENOR AL MINIMO", "")), "")</f>
        <v>AGOTADO</v>
      </c>
      <c r="F514" s="39">
        <f>IF(OR(GENERAL[[#This Row],[CODIGO]]="", GENERAL[[#This Row],[CANTIDAD]]=""), "", VLOOKUP(GENERAL[[#This Row],[CODIGO]], PRODUCTOS[#All], 4, FALSE) * GENERAL[[#This Row],[CANTIDAD]])</f>
        <v>0</v>
      </c>
      <c r="T514" s="8"/>
    </row>
    <row r="515" spans="2:20" x14ac:dyDescent="0.2">
      <c r="B515" s="11" t="str">
        <f>IF(PRODUCTOS[[#This Row],[CODIGO]]="", "", PRODUCTOS[[#This Row],[CODIGO]])</f>
        <v>LIM-TIN-011</v>
      </c>
      <c r="C515" s="6" t="str">
        <f>IF(GENERAL[[#This Row],[CODIGO]]="", "", VLOOKUP(GENERAL[[#This Row],[CODIGO]], PRODUCTOS[#All], 2, FALSE))</f>
        <v xml:space="preserve">Tiner </v>
      </c>
      <c r="D51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15" s="28" t="str">
        <f>IFERROR(IF(GENERAL[[#This Row],[CANTIDAD]]=0, "AGOTADO", IF(GENERAL[[#This Row],[CANTIDAD]]&lt;VLOOKUP(GENERAL[[#This Row],[CODIGO]], PRODUCTOS[#All], 3, FALSE), "MENOR AL MINIMO", "")), "")</f>
        <v>AGOTADO</v>
      </c>
      <c r="F515" s="39">
        <f>IF(OR(GENERAL[[#This Row],[CODIGO]]="", GENERAL[[#This Row],[CANTIDAD]]=""), "", VLOOKUP(GENERAL[[#This Row],[CODIGO]], PRODUCTOS[#All], 4, FALSE) * GENERAL[[#This Row],[CANTIDAD]])</f>
        <v>0</v>
      </c>
      <c r="T515" s="8"/>
    </row>
    <row r="516" spans="2:20" x14ac:dyDescent="0.2">
      <c r="B516" s="11" t="str">
        <f>IF(PRODUCTOS[[#This Row],[CODIGO]]="", "", PRODUCTOS[[#This Row],[CODIGO]])</f>
        <v>MACO-4TIEM-065</v>
      </c>
      <c r="C516" s="6" t="str">
        <f>IF(GENERAL[[#This Row],[CODIGO]]="", "", VLOOKUP(GENERAL[[#This Row],[CODIGO]], PRODUCTOS[#All], 2, FALSE))</f>
        <v>4 Tiempos truper 1lt</v>
      </c>
      <c r="D51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16" s="28" t="str">
        <f>IFERROR(IF(GENERAL[[#This Row],[CANTIDAD]]=0, "AGOTADO", IF(GENERAL[[#This Row],[CANTIDAD]]&lt;VLOOKUP(GENERAL[[#This Row],[CODIGO]], PRODUCTOS[#All], 3, FALSE), "MENOR AL MINIMO", "")), "")</f>
        <v>AGOTADO</v>
      </c>
      <c r="F516" s="39">
        <f>IF(OR(GENERAL[[#This Row],[CODIGO]]="", GENERAL[[#This Row],[CANTIDAD]]=""), "", VLOOKUP(GENERAL[[#This Row],[CODIGO]], PRODUCTOS[#All], 4, FALSE) * GENERAL[[#This Row],[CANTIDAD]])</f>
        <v>0</v>
      </c>
      <c r="T516" s="8"/>
    </row>
    <row r="517" spans="2:20" x14ac:dyDescent="0.2">
      <c r="B517" s="11" t="str">
        <f>IF(PRODUCTOS[[#This Row],[CODIGO]]="", "", PRODUCTOS[[#This Row],[CODIGO]])</f>
        <v>MACO-ABRA-712</v>
      </c>
      <c r="C517" s="6" t="str">
        <f>IF(GENERAL[[#This Row],[CODIGO]]="", "", VLOOKUP(GENERAL[[#This Row],[CODIGO]], PRODUCTOS[#All], 2, FALSE))</f>
        <v>abrazadera 7 1/2"</v>
      </c>
      <c r="D51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17" s="28" t="str">
        <f>IFERROR(IF(GENERAL[[#This Row],[CANTIDAD]]=0, "AGOTADO", IF(GENERAL[[#This Row],[CANTIDAD]]&lt;VLOOKUP(GENERAL[[#This Row],[CODIGO]], PRODUCTOS[#All], 3, FALSE), "MENOR AL MINIMO", "")), "")</f>
        <v>AGOTADO</v>
      </c>
      <c r="F517" s="39">
        <f>IF(OR(GENERAL[[#This Row],[CODIGO]]="", GENERAL[[#This Row],[CANTIDAD]]=""), "", VLOOKUP(GENERAL[[#This Row],[CODIGO]], PRODUCTOS[#All], 4, FALSE) * GENERAL[[#This Row],[CANTIDAD]])</f>
        <v>0</v>
      </c>
      <c r="T517" s="8"/>
    </row>
    <row r="518" spans="2:20" x14ac:dyDescent="0.2">
      <c r="B518" s="11" t="str">
        <f>IF(PRODUCTOS[[#This Row],[CODIGO]]="", "", PRODUCTOS[[#This Row],[CODIGO]])</f>
        <v>MACO-ABRAZ-112</v>
      </c>
      <c r="C518" s="6" t="str">
        <f>IF(GENERAL[[#This Row],[CODIGO]]="", "", VLOOKUP(GENERAL[[#This Row],[CODIGO]], PRODUCTOS[#All], 2, FALSE))</f>
        <v>Abarazadera 1 1/2"</v>
      </c>
      <c r="D51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18" s="28" t="str">
        <f>IFERROR(IF(GENERAL[[#This Row],[CANTIDAD]]=0, "AGOTADO", IF(GENERAL[[#This Row],[CANTIDAD]]&lt;VLOOKUP(GENERAL[[#This Row],[CODIGO]], PRODUCTOS[#All], 3, FALSE), "MENOR AL MINIMO", "")), "")</f>
        <v>AGOTADO</v>
      </c>
      <c r="F518" s="39">
        <f>IF(OR(GENERAL[[#This Row],[CODIGO]]="", GENERAL[[#This Row],[CANTIDAD]]=""), "", VLOOKUP(GENERAL[[#This Row],[CODIGO]], PRODUCTOS[#All], 4, FALSE) * GENERAL[[#This Row],[CANTIDAD]])</f>
        <v>0</v>
      </c>
      <c r="T518" s="8"/>
    </row>
    <row r="519" spans="2:20" x14ac:dyDescent="0.2">
      <c r="B519" s="11" t="str">
        <f>IF(PRODUCTOS[[#This Row],[CODIGO]]="", "", PRODUCTOS[[#This Row],[CODIGO]])</f>
        <v>MACO-ABRAZ-14</v>
      </c>
      <c r="C519" s="6" t="str">
        <f>IF(GENERAL[[#This Row],[CODIGO]]="", "", VLOOKUP(GENERAL[[#This Row],[CODIGO]], PRODUCTOS[#All], 2, FALSE))</f>
        <v>Abrazadera 1/4"</v>
      </c>
      <c r="D51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19" s="28" t="str">
        <f>IFERROR(IF(GENERAL[[#This Row],[CANTIDAD]]=0, "AGOTADO", IF(GENERAL[[#This Row],[CANTIDAD]]&lt;VLOOKUP(GENERAL[[#This Row],[CODIGO]], PRODUCTOS[#All], 3, FALSE), "MENOR AL MINIMO", "")), "")</f>
        <v>AGOTADO</v>
      </c>
      <c r="F519" s="39">
        <f>IF(OR(GENERAL[[#This Row],[CODIGO]]="", GENERAL[[#This Row],[CANTIDAD]]=""), "", VLOOKUP(GENERAL[[#This Row],[CODIGO]], PRODUCTOS[#All], 4, FALSE) * GENERAL[[#This Row],[CANTIDAD]])</f>
        <v>0</v>
      </c>
      <c r="T519" s="8"/>
    </row>
    <row r="520" spans="2:20" x14ac:dyDescent="0.2">
      <c r="B520" s="11" t="str">
        <f>IF(PRODUCTOS[[#This Row],[CODIGO]]="", "", PRODUCTOS[[#This Row],[CODIGO]])</f>
        <v>MACO-ABRAZ19-27</v>
      </c>
      <c r="C520" s="6" t="str">
        <f>IF(GENERAL[[#This Row],[CODIGO]]="", "", VLOOKUP(GENERAL[[#This Row],[CODIGO]], PRODUCTOS[#All], 2, FALSE))</f>
        <v>Abrazadera 19 - 27mm</v>
      </c>
      <c r="D52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20" s="28" t="str">
        <f>IFERROR(IF(GENERAL[[#This Row],[CANTIDAD]]=0, "AGOTADO", IF(GENERAL[[#This Row],[CANTIDAD]]&lt;VLOOKUP(GENERAL[[#This Row],[CODIGO]], PRODUCTOS[#All], 3, FALSE), "MENOR AL MINIMO", "")), "")</f>
        <v>AGOTADO</v>
      </c>
      <c r="F520" s="39">
        <f>IF(OR(GENERAL[[#This Row],[CODIGO]]="", GENERAL[[#This Row],[CANTIDAD]]=""), "", VLOOKUP(GENERAL[[#This Row],[CODIGO]], PRODUCTOS[#All], 4, FALSE) * GENERAL[[#This Row],[CANTIDAD]])</f>
        <v>0</v>
      </c>
      <c r="T520" s="8"/>
    </row>
    <row r="521" spans="2:20" x14ac:dyDescent="0.2">
      <c r="B521" s="11" t="str">
        <f>IF(PRODUCTOS[[#This Row],[CODIGO]]="", "", PRODUCTOS[[#This Row],[CODIGO]])</f>
        <v>MACO-ABRAZ-4</v>
      </c>
      <c r="C521" s="6" t="str">
        <f>IF(GENERAL[[#This Row],[CODIGO]]="", "", VLOOKUP(GENERAL[[#This Row],[CODIGO]], PRODUCTOS[#All], 2, FALSE))</f>
        <v>abrazaderas 4"</v>
      </c>
      <c r="D52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21" s="28" t="str">
        <f>IFERROR(IF(GENERAL[[#This Row],[CANTIDAD]]=0, "AGOTADO", IF(GENERAL[[#This Row],[CANTIDAD]]&lt;VLOOKUP(GENERAL[[#This Row],[CODIGO]], PRODUCTOS[#All], 3, FALSE), "MENOR AL MINIMO", "")), "")</f>
        <v>AGOTADO</v>
      </c>
      <c r="F521" s="39">
        <f>IF(OR(GENERAL[[#This Row],[CODIGO]]="", GENERAL[[#This Row],[CANTIDAD]]=""), "", VLOOKUP(GENERAL[[#This Row],[CODIGO]], PRODUCTOS[#All], 4, FALSE) * GENERAL[[#This Row],[CANTIDAD]])</f>
        <v>0</v>
      </c>
      <c r="T521" s="8"/>
    </row>
    <row r="522" spans="2:20" x14ac:dyDescent="0.2">
      <c r="B522" s="11" t="str">
        <f>IF(PRODUCTOS[[#This Row],[CODIGO]]="", "", PRODUCTOS[[#This Row],[CODIGO]])</f>
        <v>MACO-ABRAZ-85</v>
      </c>
      <c r="C522" s="6" t="str">
        <f>IF(GENERAL[[#This Row],[CODIGO]]="", "", VLOOKUP(GENERAL[[#This Row],[CODIGO]], PRODUCTOS[#All], 2, FALSE))</f>
        <v xml:space="preserve">Abrazaderas 8.5" </v>
      </c>
      <c r="D52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22" s="28" t="str">
        <f>IFERROR(IF(GENERAL[[#This Row],[CANTIDAD]]=0, "AGOTADO", IF(GENERAL[[#This Row],[CANTIDAD]]&lt;VLOOKUP(GENERAL[[#This Row],[CODIGO]], PRODUCTOS[#All], 3, FALSE), "MENOR AL MINIMO", "")), "")</f>
        <v>AGOTADO</v>
      </c>
      <c r="F522" s="39">
        <f>IF(OR(GENERAL[[#This Row],[CODIGO]]="", GENERAL[[#This Row],[CANTIDAD]]=""), "", VLOOKUP(GENERAL[[#This Row],[CODIGO]], PRODUCTOS[#All], 4, FALSE) * GENERAL[[#This Row],[CANTIDAD]])</f>
        <v>0</v>
      </c>
      <c r="T522" s="8"/>
    </row>
    <row r="523" spans="2:20" x14ac:dyDescent="0.2">
      <c r="B523" s="11" t="str">
        <f>IF(PRODUCTOS[[#This Row],[CODIGO]]="", "", PRODUCTOS[[#This Row],[CODIGO]])</f>
        <v>MACO-ABRSO-085</v>
      </c>
      <c r="C523" s="6" t="str">
        <f>IF(GENERAL[[#This Row],[CODIGO]]="", "", VLOOKUP(GENERAL[[#This Row],[CODIGO]], PRODUCTOS[#All], 2, FALSE))</f>
        <v xml:space="preserve">Abrazadera de suspensión con ojo </v>
      </c>
      <c r="D52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23" s="28" t="str">
        <f>IFERROR(IF(GENERAL[[#This Row],[CANTIDAD]]=0, "AGOTADO", IF(GENERAL[[#This Row],[CANTIDAD]]&lt;VLOOKUP(GENERAL[[#This Row],[CODIGO]], PRODUCTOS[#All], 3, FALSE), "MENOR AL MINIMO", "")), "")</f>
        <v>AGOTADO</v>
      </c>
      <c r="F523" s="39">
        <f>IF(OR(GENERAL[[#This Row],[CODIGO]]="", GENERAL[[#This Row],[CANTIDAD]]=""), "", VLOOKUP(GENERAL[[#This Row],[CODIGO]], PRODUCTOS[#All], 4, FALSE) * GENERAL[[#This Row],[CANTIDAD]])</f>
        <v>0</v>
      </c>
      <c r="T523" s="8"/>
    </row>
    <row r="524" spans="2:20" x14ac:dyDescent="0.2">
      <c r="B524" s="11" t="str">
        <f>IF(PRODUCTOS[[#This Row],[CODIGO]]="", "", PRODUCTOS[[#This Row],[CODIGO]])</f>
        <v>MACO-ACE4T-059</v>
      </c>
      <c r="C524" s="6" t="str">
        <f>IF(GENERAL[[#This Row],[CODIGO]]="", "", VLOOKUP(GENERAL[[#This Row],[CODIGO]], PRODUCTOS[#All], 2, FALSE))</f>
        <v>Aceite 4 tiempos kawashima 900ml</v>
      </c>
      <c r="D52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24" s="28" t="str">
        <f>IFERROR(IF(GENERAL[[#This Row],[CANTIDAD]]=0, "AGOTADO", IF(GENERAL[[#This Row],[CANTIDAD]]&lt;VLOOKUP(GENERAL[[#This Row],[CODIGO]], PRODUCTOS[#All], 3, FALSE), "MENOR AL MINIMO", "")), "")</f>
        <v>AGOTADO</v>
      </c>
      <c r="F524" s="39">
        <f>IF(OR(GENERAL[[#This Row],[CODIGO]]="", GENERAL[[#This Row],[CANTIDAD]]=""), "", VLOOKUP(GENERAL[[#This Row],[CODIGO]], PRODUCTOS[#All], 4, FALSE) * GENERAL[[#This Row],[CANTIDAD]])</f>
        <v>0</v>
      </c>
      <c r="T524" s="8"/>
    </row>
    <row r="525" spans="2:20" x14ac:dyDescent="0.2">
      <c r="B525" s="11" t="str">
        <f>IF(PRODUCTOS[[#This Row],[CODIGO]]="", "", PRODUCTOS[[#This Row],[CODIGO]])</f>
        <v>MACO-ACEGR-017</v>
      </c>
      <c r="C525" s="6" t="str">
        <f>IF(GENERAL[[#This Row],[CODIGO]]="", "", VLOOKUP(GENERAL[[#This Row],[CODIGO]], PRODUCTOS[#All], 2, FALSE))</f>
        <v>Aceite grua  17 lts</v>
      </c>
      <c r="D52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25" s="28" t="str">
        <f>IFERROR(IF(GENERAL[[#This Row],[CANTIDAD]]=0, "AGOTADO", IF(GENERAL[[#This Row],[CANTIDAD]]&lt;VLOOKUP(GENERAL[[#This Row],[CODIGO]], PRODUCTOS[#All], 3, FALSE), "MENOR AL MINIMO", "")), "")</f>
        <v>AGOTADO</v>
      </c>
      <c r="F525" s="39">
        <f>IF(OR(GENERAL[[#This Row],[CODIGO]]="", GENERAL[[#This Row],[CANTIDAD]]=""), "", VLOOKUP(GENERAL[[#This Row],[CODIGO]], PRODUCTOS[#All], 4, FALSE) * GENERAL[[#This Row],[CANTIDAD]])</f>
        <v>0</v>
      </c>
      <c r="T525" s="8"/>
    </row>
    <row r="526" spans="2:20" x14ac:dyDescent="0.2">
      <c r="B526" s="11" t="str">
        <f>IF(PRODUCTOS[[#This Row],[CODIGO]]="", "", PRODUCTOS[[#This Row],[CODIGO]])</f>
        <v>MACO-ACEHIDG-055</v>
      </c>
      <c r="C526" s="6" t="str">
        <f>IF(GENERAL[[#This Row],[CODIGO]]="", "", VLOOKUP(GENERAL[[#This Row],[CODIGO]], PRODUCTOS[#All], 2, FALSE))</f>
        <v>Aceite hidráulico para grua cubeta 19L</v>
      </c>
      <c r="D52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26" s="28" t="str">
        <f>IFERROR(IF(GENERAL[[#This Row],[CANTIDAD]]=0, "AGOTADO", IF(GENERAL[[#This Row],[CANTIDAD]]&lt;VLOOKUP(GENERAL[[#This Row],[CODIGO]], PRODUCTOS[#All], 3, FALSE), "MENOR AL MINIMO", "")), "")</f>
        <v>AGOTADO</v>
      </c>
      <c r="F526" s="39">
        <f>IF(OR(GENERAL[[#This Row],[CODIGO]]="", GENERAL[[#This Row],[CANTIDAD]]=""), "", VLOOKUP(GENERAL[[#This Row],[CODIGO]], PRODUCTOS[#All], 4, FALSE) * GENERAL[[#This Row],[CANTIDAD]])</f>
        <v>0</v>
      </c>
      <c r="T526" s="8"/>
    </row>
    <row r="527" spans="2:20" x14ac:dyDescent="0.2">
      <c r="B527" s="11" t="str">
        <f>IF(PRODUCTOS[[#This Row],[CODIGO]]="", "", PRODUCTOS[[#This Row],[CODIGO]])</f>
        <v>MACO-ACEM4T-063</v>
      </c>
      <c r="C527" s="6" t="str">
        <f>IF(GENERAL[[#This Row],[CODIGO]]="", "", VLOOKUP(GENERAL[[#This Row],[CODIGO]], PRODUCTOS[#All], 2, FALSE))</f>
        <v>Aceite para motor 4 tiempos lth 900ml</v>
      </c>
      <c r="D52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27" s="28" t="str">
        <f>IFERROR(IF(GENERAL[[#This Row],[CANTIDAD]]=0, "AGOTADO", IF(GENERAL[[#This Row],[CANTIDAD]]&lt;VLOOKUP(GENERAL[[#This Row],[CODIGO]], PRODUCTOS[#All], 3, FALSE), "MENOR AL MINIMO", "")), "")</f>
        <v>AGOTADO</v>
      </c>
      <c r="F527" s="39">
        <f>IF(OR(GENERAL[[#This Row],[CODIGO]]="", GENERAL[[#This Row],[CANTIDAD]]=""), "", VLOOKUP(GENERAL[[#This Row],[CODIGO]], PRODUCTOS[#All], 4, FALSE) * GENERAL[[#This Row],[CANTIDAD]])</f>
        <v>0</v>
      </c>
      <c r="T527" s="8"/>
    </row>
    <row r="528" spans="2:20" x14ac:dyDescent="0.2">
      <c r="B528" s="11" t="str">
        <f>IF(PRODUCTOS[[#This Row],[CODIGO]]="", "", PRODUCTOS[[#This Row],[CODIGO]])</f>
        <v>MACO-ACEMDIE-054</v>
      </c>
      <c r="C528" s="6" t="str">
        <f>IF(GENERAL[[#This Row],[CODIGO]]="", "", VLOOKUP(GENERAL[[#This Row],[CODIGO]], PRODUCTOS[#All], 2, FALSE))</f>
        <v>Aceite para motor diesel 15w-40 (8L)</v>
      </c>
      <c r="D52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28" s="28" t="str">
        <f>IFERROR(IF(GENERAL[[#This Row],[CANTIDAD]]=0, "AGOTADO", IF(GENERAL[[#This Row],[CANTIDAD]]&lt;VLOOKUP(GENERAL[[#This Row],[CODIGO]], PRODUCTOS[#All], 3, FALSE), "MENOR AL MINIMO", "")), "")</f>
        <v>AGOTADO</v>
      </c>
      <c r="F528" s="39">
        <f>IF(OR(GENERAL[[#This Row],[CODIGO]]="", GENERAL[[#This Row],[CANTIDAD]]=""), "", VLOOKUP(GENERAL[[#This Row],[CODIGO]], PRODUCTOS[#All], 4, FALSE) * GENERAL[[#This Row],[CANTIDAD]])</f>
        <v>0</v>
      </c>
      <c r="T528" s="8"/>
    </row>
    <row r="529" spans="2:20" x14ac:dyDescent="0.2">
      <c r="B529" s="11" t="str">
        <f>IF(PRODUCTOS[[#This Row],[CODIGO]]="", "", PRODUCTOS[[#This Row],[CODIGO]])</f>
        <v>MACO-ACEMIN-060</v>
      </c>
      <c r="C529" s="6" t="str">
        <f>IF(GENERAL[[#This Row],[CODIGO]]="", "", VLOOKUP(GENERAL[[#This Row],[CODIGO]], PRODUCTOS[#All], 2, FALSE))</f>
        <v>Aceite mineral compresor 900ml</v>
      </c>
      <c r="D52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29" s="28" t="str">
        <f>IFERROR(IF(GENERAL[[#This Row],[CANTIDAD]]=0, "AGOTADO", IF(GENERAL[[#This Row],[CANTIDAD]]&lt;VLOOKUP(GENERAL[[#This Row],[CODIGO]], PRODUCTOS[#All], 3, FALSE), "MENOR AL MINIMO", "")), "")</f>
        <v>AGOTADO</v>
      </c>
      <c r="F529" s="39">
        <f>IF(OR(GENERAL[[#This Row],[CODIGO]]="", GENERAL[[#This Row],[CANTIDAD]]=""), "", VLOOKUP(GENERAL[[#This Row],[CODIGO]], PRODUCTOS[#All], 4, FALSE) * GENERAL[[#This Row],[CANTIDAD]])</f>
        <v>0</v>
      </c>
      <c r="T529" s="8"/>
    </row>
    <row r="530" spans="2:20" x14ac:dyDescent="0.2">
      <c r="B530" s="11" t="str">
        <f>IF(PRODUCTOS[[#This Row],[CODIGO]]="", "", PRODUCTOS[[#This Row],[CODIGO]])</f>
        <v>MACO-ACEMOGA-058</v>
      </c>
      <c r="C530" s="6" t="str">
        <f>IF(GENERAL[[#This Row],[CODIGO]]="", "", VLOOKUP(GENERAL[[#This Row],[CODIGO]], PRODUCTOS[#All], 2, FALSE))</f>
        <v>Aceite para motor gasolina movil</v>
      </c>
      <c r="D53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30" s="28" t="str">
        <f>IFERROR(IF(GENERAL[[#This Row],[CANTIDAD]]=0, "AGOTADO", IF(GENERAL[[#This Row],[CANTIDAD]]&lt;VLOOKUP(GENERAL[[#This Row],[CODIGO]], PRODUCTOS[#All], 3, FALSE), "MENOR AL MINIMO", "")), "")</f>
        <v>AGOTADO</v>
      </c>
      <c r="F530" s="39">
        <f>IF(OR(GENERAL[[#This Row],[CODIGO]]="", GENERAL[[#This Row],[CANTIDAD]]=""), "", VLOOKUP(GENERAL[[#This Row],[CODIGO]], PRODUCTOS[#All], 4, FALSE) * GENERAL[[#This Row],[CANTIDAD]])</f>
        <v>0</v>
      </c>
      <c r="T530" s="8"/>
    </row>
    <row r="531" spans="2:20" x14ac:dyDescent="0.2">
      <c r="B531" s="11" t="str">
        <f>IF(PRODUCTOS[[#This Row],[CODIGO]]="", "", PRODUCTOS[[#This Row],[CODIGO]])</f>
        <v>MACO-ACEMON-053</v>
      </c>
      <c r="C531" s="6" t="str">
        <f>IF(GENERAL[[#This Row],[CODIGO]]="", "", VLOOKUP(GENERAL[[#This Row],[CODIGO]], PRODUCTOS[#All], 2, FALSE))</f>
        <v>Aceite monogrado para motores y gasolina 100ml</v>
      </c>
      <c r="D53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31" s="28" t="str">
        <f>IFERROR(IF(GENERAL[[#This Row],[CANTIDAD]]=0, "AGOTADO", IF(GENERAL[[#This Row],[CANTIDAD]]&lt;VLOOKUP(GENERAL[[#This Row],[CODIGO]], PRODUCTOS[#All], 3, FALSE), "MENOR AL MINIMO", "")), "")</f>
        <v>AGOTADO</v>
      </c>
      <c r="F531" s="39">
        <f>IF(OR(GENERAL[[#This Row],[CODIGO]]="", GENERAL[[#This Row],[CANTIDAD]]=""), "", VLOOKUP(GENERAL[[#This Row],[CODIGO]], PRODUCTOS[#All], 4, FALSE) * GENERAL[[#This Row],[CANTIDAD]])</f>
        <v>0</v>
      </c>
      <c r="T531" s="8"/>
    </row>
    <row r="532" spans="2:20" x14ac:dyDescent="0.2">
      <c r="B532" s="11" t="str">
        <f>IF(PRODUCTOS[[#This Row],[CODIGO]]="", "", PRODUCTOS[[#This Row],[CODIGO]])</f>
        <v>MACO-ACEQUA-061</v>
      </c>
      <c r="C532" s="6" t="str">
        <f>IF(GENERAL[[#This Row],[CODIGO]]="", "", VLOOKUP(GENERAL[[#This Row],[CODIGO]], PRODUCTOS[#All], 2, FALSE))</f>
        <v>Aceite quaker state motor gasolina 1L</v>
      </c>
      <c r="D53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32" s="28" t="str">
        <f>IFERROR(IF(GENERAL[[#This Row],[CANTIDAD]]=0, "AGOTADO", IF(GENERAL[[#This Row],[CANTIDAD]]&lt;VLOOKUP(GENERAL[[#This Row],[CODIGO]], PRODUCTOS[#All], 3, FALSE), "MENOR AL MINIMO", "")), "")</f>
        <v>AGOTADO</v>
      </c>
      <c r="F532" s="39">
        <f>IF(OR(GENERAL[[#This Row],[CODIGO]]="", GENERAL[[#This Row],[CANTIDAD]]=""), "", VLOOKUP(GENERAL[[#This Row],[CODIGO]], PRODUCTOS[#All], 4, FALSE) * GENERAL[[#This Row],[CANTIDAD]])</f>
        <v>0</v>
      </c>
      <c r="T532" s="8"/>
    </row>
    <row r="533" spans="2:20" x14ac:dyDescent="0.2">
      <c r="B533" s="11" t="str">
        <f>IF(PRODUCTOS[[#This Row],[CODIGO]]="", "", PRODUCTOS[[#This Row],[CODIGO]])</f>
        <v>MACO-ACESISHI-057</v>
      </c>
      <c r="C533" s="6" t="str">
        <f>IF(GENERAL[[#This Row],[CODIGO]]="", "", VLOOKUP(GENERAL[[#This Row],[CODIGO]], PRODUCTOS[#All], 2, FALSE))</f>
        <v>Aceite para sistema hidráulico 3L</v>
      </c>
      <c r="D53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33" s="28" t="str">
        <f>IFERROR(IF(GENERAL[[#This Row],[CANTIDAD]]=0, "AGOTADO", IF(GENERAL[[#This Row],[CANTIDAD]]&lt;VLOOKUP(GENERAL[[#This Row],[CODIGO]], PRODUCTOS[#All], 3, FALSE), "MENOR AL MINIMO", "")), "")</f>
        <v>AGOTADO</v>
      </c>
      <c r="F533" s="39">
        <f>IF(OR(GENERAL[[#This Row],[CODIGO]]="", GENERAL[[#This Row],[CANTIDAD]]=""), "", VLOOKUP(GENERAL[[#This Row],[CODIGO]], PRODUCTOS[#All], 4, FALSE) * GENERAL[[#This Row],[CANTIDAD]])</f>
        <v>0</v>
      </c>
      <c r="T533" s="8"/>
    </row>
    <row r="534" spans="2:20" x14ac:dyDescent="0.2">
      <c r="B534" s="11" t="str">
        <f>IF(PRODUCTOS[[#This Row],[CODIGO]]="", "", PRODUCTOS[[#This Row],[CODIGO]])</f>
        <v>MACO-ACESISMG-064</v>
      </c>
      <c r="C534" s="6" t="str">
        <f>IF(GENERAL[[#This Row],[CODIGO]]="", "", VLOOKUP(GENERAL[[#This Row],[CODIGO]], PRODUCTOS[#All], 2, FALSE))</f>
        <v>Aceite semisintetico para motor gasolina</v>
      </c>
      <c r="D53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34" s="28" t="str">
        <f>IFERROR(IF(GENERAL[[#This Row],[CANTIDAD]]=0, "AGOTADO", IF(GENERAL[[#This Row],[CANTIDAD]]&lt;VLOOKUP(GENERAL[[#This Row],[CODIGO]], PRODUCTOS[#All], 3, FALSE), "MENOR AL MINIMO", "")), "")</f>
        <v>AGOTADO</v>
      </c>
      <c r="F534" s="39">
        <f>IF(OR(GENERAL[[#This Row],[CODIGO]]="", GENERAL[[#This Row],[CANTIDAD]]=""), "", VLOOKUP(GENERAL[[#This Row],[CODIGO]], PRODUCTOS[#All], 4, FALSE) * GENERAL[[#This Row],[CANTIDAD]])</f>
        <v>0</v>
      </c>
      <c r="T534" s="8"/>
    </row>
    <row r="535" spans="2:20" x14ac:dyDescent="0.2">
      <c r="B535" s="11" t="str">
        <f>IF(PRODUCTOS[[#This Row],[CODIGO]]="", "", PRODUCTOS[[#This Row],[CODIGO]])</f>
        <v>MACO-ACETRAN-056</v>
      </c>
      <c r="C535" s="6" t="str">
        <f>IF(GENERAL[[#This Row],[CODIGO]]="", "", VLOOKUP(GENERAL[[#This Row],[CODIGO]], PRODUCTOS[#All], 2, FALSE))</f>
        <v>Aceite para transmisión STD 5L</v>
      </c>
      <c r="D53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35" s="28" t="str">
        <f>IFERROR(IF(GENERAL[[#This Row],[CANTIDAD]]=0, "AGOTADO", IF(GENERAL[[#This Row],[CANTIDAD]]&lt;VLOOKUP(GENERAL[[#This Row],[CODIGO]], PRODUCTOS[#All], 3, FALSE), "MENOR AL MINIMO", "")), "")</f>
        <v>AGOTADO</v>
      </c>
      <c r="F535" s="39">
        <f>IF(OR(GENERAL[[#This Row],[CODIGO]]="", GENERAL[[#This Row],[CANTIDAD]]=""), "", VLOOKUP(GENERAL[[#This Row],[CODIGO]], PRODUCTOS[#All], 4, FALSE) * GENERAL[[#This Row],[CANTIDAD]])</f>
        <v>0</v>
      </c>
      <c r="T535" s="8"/>
    </row>
    <row r="536" spans="2:20" x14ac:dyDescent="0.2">
      <c r="B536" s="11" t="str">
        <f>IF(PRODUCTOS[[#This Row],[CODIGO]]="", "", PRODUCTOS[[#This Row],[CODIGO]])</f>
        <v>MACO-AEROAZ-025</v>
      </c>
      <c r="C536" s="6" t="str">
        <f>IF(GENERAL[[#This Row],[CODIGO]]="", "", VLOOKUP(GENERAL[[#This Row],[CODIGO]], PRODUCTOS[#All], 2, FALSE))</f>
        <v>Aerosol lata azul</v>
      </c>
      <c r="D53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36" s="28" t="str">
        <f>IFERROR(IF(GENERAL[[#This Row],[CANTIDAD]]=0, "AGOTADO", IF(GENERAL[[#This Row],[CANTIDAD]]&lt;VLOOKUP(GENERAL[[#This Row],[CODIGO]], PRODUCTOS[#All], 3, FALSE), "MENOR AL MINIMO", "")), "")</f>
        <v>AGOTADO</v>
      </c>
      <c r="F536" s="39">
        <f>IF(OR(GENERAL[[#This Row],[CODIGO]]="", GENERAL[[#This Row],[CANTIDAD]]=""), "", VLOOKUP(GENERAL[[#This Row],[CODIGO]], PRODUCTOS[#All], 4, FALSE) * GENERAL[[#This Row],[CANTIDAD]])</f>
        <v>0</v>
      </c>
      <c r="T536" s="8"/>
    </row>
    <row r="537" spans="2:20" x14ac:dyDescent="0.2">
      <c r="B537" s="11" t="str">
        <f>IF(PRODUCTOS[[#This Row],[CODIGO]]="", "", PRODUCTOS[[#This Row],[CODIGO]])</f>
        <v>MACO-AERONA-026</v>
      </c>
      <c r="C537" s="6" t="str">
        <f>IF(GENERAL[[#This Row],[CODIGO]]="", "", VLOOKUP(GENERAL[[#This Row],[CODIGO]], PRODUCTOS[#All], 2, FALSE))</f>
        <v xml:space="preserve">Aerosol lata naranja </v>
      </c>
      <c r="D53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37" s="28" t="str">
        <f>IFERROR(IF(GENERAL[[#This Row],[CANTIDAD]]=0, "AGOTADO", IF(GENERAL[[#This Row],[CANTIDAD]]&lt;VLOOKUP(GENERAL[[#This Row],[CODIGO]], PRODUCTOS[#All], 3, FALSE), "MENOR AL MINIMO", "")), "")</f>
        <v>AGOTADO</v>
      </c>
      <c r="F537" s="39">
        <f>IF(OR(GENERAL[[#This Row],[CODIGO]]="", GENERAL[[#This Row],[CANTIDAD]]=""), "", VLOOKUP(GENERAL[[#This Row],[CODIGO]], PRODUCTOS[#All], 4, FALSE) * GENERAL[[#This Row],[CANTIDAD]])</f>
        <v>0</v>
      </c>
      <c r="T537" s="8"/>
    </row>
    <row r="538" spans="2:20" x14ac:dyDescent="0.2">
      <c r="B538" s="11" t="str">
        <f>IF(PRODUCTOS[[#This Row],[CODIGO]]="", "", PRODUCTOS[[#This Row],[CODIGO]])</f>
        <v>MACO-AISMEN23KV-084</v>
      </c>
      <c r="C538" s="6" t="str">
        <f>IF(GENERAL[[#This Row],[CODIGO]]="", "", VLOOKUP(GENERAL[[#This Row],[CODIGO]], PRODUCTOS[#All], 2, FALSE))</f>
        <v xml:space="preserve">Aislador tipo mensula 23kva </v>
      </c>
      <c r="D53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38" s="28" t="str">
        <f>IFERROR(IF(GENERAL[[#This Row],[CANTIDAD]]=0, "AGOTADO", IF(GENERAL[[#This Row],[CANTIDAD]]&lt;VLOOKUP(GENERAL[[#This Row],[CODIGO]], PRODUCTOS[#All], 3, FALSE), "MENOR AL MINIMO", "")), "")</f>
        <v>AGOTADO</v>
      </c>
      <c r="F538" s="39">
        <f>IF(OR(GENERAL[[#This Row],[CODIGO]]="", GENERAL[[#This Row],[CANTIDAD]]=""), "", VLOOKUP(GENERAL[[#This Row],[CODIGO]], PRODUCTOS[#All], 4, FALSE) * GENERAL[[#This Row],[CANTIDAD]])</f>
        <v>0</v>
      </c>
      <c r="T538" s="8"/>
    </row>
    <row r="539" spans="2:20" x14ac:dyDescent="0.2">
      <c r="B539" s="11" t="str">
        <f>IF(PRODUCTOS[[#This Row],[CODIGO]]="", "", PRODUCTOS[[#This Row],[CODIGO]])</f>
        <v>MACO-AISPO-080</v>
      </c>
      <c r="C539" s="6" t="str">
        <f>IF(GENERAL[[#This Row],[CODIGO]]="", "", VLOOKUP(GENERAL[[#This Row],[CODIGO]], PRODUCTOS[#All], 2, FALSE))</f>
        <v>Aislador de porcelana tipo retenido</v>
      </c>
      <c r="D53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39" s="28" t="str">
        <f>IFERROR(IF(GENERAL[[#This Row],[CANTIDAD]]=0, "AGOTADO", IF(GENERAL[[#This Row],[CANTIDAD]]&lt;VLOOKUP(GENERAL[[#This Row],[CODIGO]], PRODUCTOS[#All], 3, FALSE), "MENOR AL MINIMO", "")), "")</f>
        <v>AGOTADO</v>
      </c>
      <c r="F539" s="39">
        <f>IF(OR(GENERAL[[#This Row],[CODIGO]]="", GENERAL[[#This Row],[CANTIDAD]]=""), "", VLOOKUP(GENERAL[[#This Row],[CODIGO]], PRODUCTOS[#All], 4, FALSE) * GENERAL[[#This Row],[CANTIDAD]])</f>
        <v>0</v>
      </c>
      <c r="T539" s="8"/>
    </row>
    <row r="540" spans="2:20" x14ac:dyDescent="0.2">
      <c r="B540" s="11" t="str">
        <f>IF(PRODUCTOS[[#This Row],[CODIGO]]="", "", PRODUCTOS[[#This Row],[CODIGO]])</f>
        <v>MACO-AISSUS23KB-082</v>
      </c>
      <c r="C540" s="6" t="str">
        <f>IF(GENERAL[[#This Row],[CODIGO]]="", "", VLOOKUP(GENERAL[[#This Row],[CODIGO]], PRODUCTOS[#All], 2, FALSE))</f>
        <v>Aislador de suspensión 23kb</v>
      </c>
      <c r="D54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40" s="28" t="str">
        <f>IFERROR(IF(GENERAL[[#This Row],[CANTIDAD]]=0, "AGOTADO", IF(GENERAL[[#This Row],[CANTIDAD]]&lt;VLOOKUP(GENERAL[[#This Row],[CODIGO]], PRODUCTOS[#All], 3, FALSE), "MENOR AL MINIMO", "")), "")</f>
        <v>AGOTADO</v>
      </c>
      <c r="F540" s="39">
        <f>IF(OR(GENERAL[[#This Row],[CODIGO]]="", GENERAL[[#This Row],[CANTIDAD]]=""), "", VLOOKUP(GENERAL[[#This Row],[CODIGO]], PRODUCTOS[#All], 4, FALSE) * GENERAL[[#This Row],[CANTIDAD]])</f>
        <v>0</v>
      </c>
      <c r="T540" s="8"/>
    </row>
    <row r="541" spans="2:20" x14ac:dyDescent="0.2">
      <c r="B541" s="11" t="str">
        <f>IF(PRODUCTOS[[#This Row],[CODIGO]]="", "", PRODUCTOS[[#This Row],[CODIGO]])</f>
        <v>MACO-ANTIC-020</v>
      </c>
      <c r="C541" s="6" t="str">
        <f>IF(GENERAL[[#This Row],[CODIGO]]="", "", VLOOKUP(GENERAL[[#This Row],[CODIGO]], PRODUCTOS[#All], 2, FALSE))</f>
        <v>Anticongelante Quakel statc 2lts</v>
      </c>
      <c r="D54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41" s="28" t="str">
        <f>IFERROR(IF(GENERAL[[#This Row],[CANTIDAD]]=0, "AGOTADO", IF(GENERAL[[#This Row],[CANTIDAD]]&lt;VLOOKUP(GENERAL[[#This Row],[CODIGO]], PRODUCTOS[#All], 3, FALSE), "MENOR AL MINIMO", "")), "")</f>
        <v>AGOTADO</v>
      </c>
      <c r="F541" s="39">
        <f>IF(OR(GENERAL[[#This Row],[CODIGO]]="", GENERAL[[#This Row],[CANTIDAD]]=""), "", VLOOKUP(GENERAL[[#This Row],[CODIGO]], PRODUCTOS[#All], 4, FALSE) * GENERAL[[#This Row],[CANTIDAD]])</f>
        <v>0</v>
      </c>
      <c r="T541" s="8"/>
    </row>
    <row r="542" spans="2:20" x14ac:dyDescent="0.2">
      <c r="B542" s="11" t="str">
        <f>IF(PRODUCTOS[[#This Row],[CODIGO]]="", "", PRODUCTOS[[#This Row],[CODIGO]])</f>
        <v>MACO-ANTICOAK-066</v>
      </c>
      <c r="C542" s="6" t="str">
        <f>IF(GENERAL[[#This Row],[CODIGO]]="", "", VLOOKUP(GENERAL[[#This Row],[CODIGO]], PRODUCTOS[#All], 2, FALSE))</f>
        <v>Anticongelante akron 1lt</v>
      </c>
      <c r="D54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42" s="28" t="str">
        <f>IFERROR(IF(GENERAL[[#This Row],[CANTIDAD]]=0, "AGOTADO", IF(GENERAL[[#This Row],[CANTIDAD]]&lt;VLOOKUP(GENERAL[[#This Row],[CODIGO]], PRODUCTOS[#All], 3, FALSE), "MENOR AL MINIMO", "")), "")</f>
        <v>AGOTADO</v>
      </c>
      <c r="F542" s="39">
        <f>IF(OR(GENERAL[[#This Row],[CODIGO]]="", GENERAL[[#This Row],[CANTIDAD]]=""), "", VLOOKUP(GENERAL[[#This Row],[CODIGO]], PRODUCTOS[#All], 4, FALSE) * GENERAL[[#This Row],[CANTIDAD]])</f>
        <v>0</v>
      </c>
      <c r="T542" s="8"/>
    </row>
    <row r="543" spans="2:20" x14ac:dyDescent="0.2">
      <c r="B543" s="11" t="str">
        <f>IF(PRODUCTOS[[#This Row],[CODIGO]]="", "", PRODUCTOS[[#This Row],[CODIGO]])</f>
        <v>MACO-ANTICOAU-067</v>
      </c>
      <c r="C543" s="6" t="str">
        <f>IF(GENERAL[[#This Row],[CODIGO]]="", "", VLOOKUP(GENERAL[[#This Row],[CODIGO]], PRODUCTOS[#All], 2, FALSE))</f>
        <v>Anticongelante autozone 1lt</v>
      </c>
      <c r="D54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43" s="28" t="str">
        <f>IFERROR(IF(GENERAL[[#This Row],[CANTIDAD]]=0, "AGOTADO", IF(GENERAL[[#This Row],[CANTIDAD]]&lt;VLOOKUP(GENERAL[[#This Row],[CODIGO]], PRODUCTOS[#All], 3, FALSE), "MENOR AL MINIMO", "")), "")</f>
        <v>AGOTADO</v>
      </c>
      <c r="F543" s="39">
        <f>IF(OR(GENERAL[[#This Row],[CODIGO]]="", GENERAL[[#This Row],[CANTIDAD]]=""), "", VLOOKUP(GENERAL[[#This Row],[CODIGO]], PRODUCTOS[#All], 4, FALSE) * GENERAL[[#This Row],[CANTIDAD]])</f>
        <v>0</v>
      </c>
      <c r="T543" s="8"/>
    </row>
    <row r="544" spans="2:20" x14ac:dyDescent="0.2">
      <c r="B544" s="11" t="str">
        <f>IF(PRODUCTOS[[#This Row],[CODIGO]]="", "", PRODUCTOS[[#This Row],[CODIGO]])</f>
        <v>MACO-BARCO-3</v>
      </c>
      <c r="C544" s="6" t="str">
        <f>IF(GENERAL[[#This Row],[CODIGO]]="", "", VLOOKUP(GENERAL[[#This Row],[CODIGO]], PRODUCTOS[#All], 2, FALSE))</f>
        <v>Barras de cobre para arrancador 3"</v>
      </c>
      <c r="D54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44" s="28" t="str">
        <f>IFERROR(IF(GENERAL[[#This Row],[CANTIDAD]]=0, "AGOTADO", IF(GENERAL[[#This Row],[CANTIDAD]]&lt;VLOOKUP(GENERAL[[#This Row],[CODIGO]], PRODUCTOS[#All], 3, FALSE), "MENOR AL MINIMO", "")), "")</f>
        <v>AGOTADO</v>
      </c>
      <c r="F544" s="39">
        <f>IF(OR(GENERAL[[#This Row],[CODIGO]]="", GENERAL[[#This Row],[CANTIDAD]]=""), "", VLOOKUP(GENERAL[[#This Row],[CODIGO]], PRODUCTOS[#All], 4, FALSE) * GENERAL[[#This Row],[CANTIDAD]])</f>
        <v>0</v>
      </c>
      <c r="T544" s="8"/>
    </row>
    <row r="545" spans="2:20" x14ac:dyDescent="0.2">
      <c r="B545" s="11" t="str">
        <f>IF(PRODUCTOS[[#This Row],[CODIGO]]="", "", PRODUCTOS[[#This Row],[CODIGO]])</f>
        <v>MACO-BARCO-6</v>
      </c>
      <c r="C545" s="6" t="str">
        <f>IF(GENERAL[[#This Row],[CODIGO]]="", "", VLOOKUP(GENERAL[[#This Row],[CODIGO]], PRODUCTOS[#All], 2, FALSE))</f>
        <v>Barras de cobre para arrancador 6"</v>
      </c>
      <c r="D54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45" s="28" t="str">
        <f>IFERROR(IF(GENERAL[[#This Row],[CANTIDAD]]=0, "AGOTADO", IF(GENERAL[[#This Row],[CANTIDAD]]&lt;VLOOKUP(GENERAL[[#This Row],[CODIGO]], PRODUCTOS[#All], 3, FALSE), "MENOR AL MINIMO", "")), "")</f>
        <v>AGOTADO</v>
      </c>
      <c r="F545" s="39">
        <f>IF(OR(GENERAL[[#This Row],[CODIGO]]="", GENERAL[[#This Row],[CANTIDAD]]=""), "", VLOOKUP(GENERAL[[#This Row],[CODIGO]], PRODUCTOS[#All], 4, FALSE) * GENERAL[[#This Row],[CANTIDAD]])</f>
        <v>0</v>
      </c>
      <c r="T545" s="8"/>
    </row>
    <row r="546" spans="2:20" x14ac:dyDescent="0.2">
      <c r="B546" s="11" t="str">
        <f>IF(PRODUCTOS[[#This Row],[CODIGO]]="", "", PRODUCTOS[[#This Row],[CODIGO]])</f>
        <v>MACO-BARCO-7</v>
      </c>
      <c r="C546" s="6" t="str">
        <f>IF(GENERAL[[#This Row],[CODIGO]]="", "", VLOOKUP(GENERAL[[#This Row],[CODIGO]], PRODUCTOS[#All], 2, FALSE))</f>
        <v>Barras de cobre para arrancador 7"</v>
      </c>
      <c r="D54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46" s="28" t="str">
        <f>IFERROR(IF(GENERAL[[#This Row],[CANTIDAD]]=0, "AGOTADO", IF(GENERAL[[#This Row],[CANTIDAD]]&lt;VLOOKUP(GENERAL[[#This Row],[CODIGO]], PRODUCTOS[#All], 3, FALSE), "MENOR AL MINIMO", "")), "")</f>
        <v>AGOTADO</v>
      </c>
      <c r="F546" s="39">
        <f>IF(OR(GENERAL[[#This Row],[CODIGO]]="", GENERAL[[#This Row],[CANTIDAD]]=""), "", VLOOKUP(GENERAL[[#This Row],[CODIGO]], PRODUCTOS[#All], 4, FALSE) * GENERAL[[#This Row],[CANTIDAD]])</f>
        <v>0</v>
      </c>
      <c r="T546" s="8"/>
    </row>
    <row r="547" spans="2:20" x14ac:dyDescent="0.2">
      <c r="B547" s="11" t="str">
        <f>IF(PRODUCTOS[[#This Row],[CODIGO]]="", "", PRODUCTOS[[#This Row],[CODIGO]])</f>
        <v>MACO-BOLREF-030</v>
      </c>
      <c r="C547" s="6" t="str">
        <f>IF(GENERAL[[#This Row],[CODIGO]]="", "", VLOOKUP(GENERAL[[#This Row],[CODIGO]], PRODUCTOS[#All], 2, FALSE))</f>
        <v xml:space="preserve">Bolas de rafia </v>
      </c>
      <c r="D54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47" s="28" t="str">
        <f>IFERROR(IF(GENERAL[[#This Row],[CANTIDAD]]=0, "AGOTADO", IF(GENERAL[[#This Row],[CANTIDAD]]&lt;VLOOKUP(GENERAL[[#This Row],[CODIGO]], PRODUCTOS[#All], 3, FALSE), "MENOR AL MINIMO", "")), "")</f>
        <v>AGOTADO</v>
      </c>
      <c r="F547" s="39">
        <f>IF(OR(GENERAL[[#This Row],[CODIGO]]="", GENERAL[[#This Row],[CANTIDAD]]=""), "", VLOOKUP(GENERAL[[#This Row],[CODIGO]], PRODUCTOS[#All], 4, FALSE) * GENERAL[[#This Row],[CANTIDAD]])</f>
        <v>0</v>
      </c>
      <c r="T547" s="8"/>
    </row>
    <row r="548" spans="2:20" x14ac:dyDescent="0.2">
      <c r="B548" s="11" t="str">
        <f>IF(PRODUCTOS[[#This Row],[CODIGO]]="", "", PRODUCTOS[[#This Row],[CODIGO]])</f>
        <v>MACO-BOMS-1HP</v>
      </c>
      <c r="C548" s="6" t="str">
        <f>IF(GENERAL[[#This Row],[CODIGO]]="", "", VLOOKUP(GENERAL[[#This Row],[CODIGO]], PRODUCTOS[#All], 2, FALSE))</f>
        <v>Bomba sumergible 1hp truper</v>
      </c>
      <c r="D54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48" s="28" t="str">
        <f>IFERROR(IF(GENERAL[[#This Row],[CANTIDAD]]=0, "AGOTADO", IF(GENERAL[[#This Row],[CANTIDAD]]&lt;VLOOKUP(GENERAL[[#This Row],[CODIGO]], PRODUCTOS[#All], 3, FALSE), "MENOR AL MINIMO", "")), "")</f>
        <v>AGOTADO</v>
      </c>
      <c r="F548" s="39">
        <f>IF(OR(GENERAL[[#This Row],[CODIGO]]="", GENERAL[[#This Row],[CANTIDAD]]=""), "", VLOOKUP(GENERAL[[#This Row],[CODIGO]], PRODUCTOS[#All], 4, FALSE) * GENERAL[[#This Row],[CANTIDAD]])</f>
        <v>0</v>
      </c>
      <c r="T548" s="8"/>
    </row>
    <row r="549" spans="2:20" x14ac:dyDescent="0.2">
      <c r="B549" s="11" t="str">
        <f>IF(PRODUCTOS[[#This Row],[CODIGO]]="", "", PRODUCTOS[[#This Row],[CODIGO]])</f>
        <v>MACO-BRO-12</v>
      </c>
      <c r="C549" s="6" t="str">
        <f>IF(GENERAL[[#This Row],[CODIGO]]="", "", VLOOKUP(GENERAL[[#This Row],[CODIGO]], PRODUCTOS[#All], 2, FALSE))</f>
        <v>Brocas 1/2"</v>
      </c>
      <c r="D54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49" s="28" t="str">
        <f>IFERROR(IF(GENERAL[[#This Row],[CANTIDAD]]=0, "AGOTADO", IF(GENERAL[[#This Row],[CANTIDAD]]&lt;VLOOKUP(GENERAL[[#This Row],[CODIGO]], PRODUCTOS[#All], 3, FALSE), "MENOR AL MINIMO", "")), "")</f>
        <v>AGOTADO</v>
      </c>
      <c r="F549" s="39">
        <f>IF(OR(GENERAL[[#This Row],[CODIGO]]="", GENERAL[[#This Row],[CANTIDAD]]=""), "", VLOOKUP(GENERAL[[#This Row],[CODIGO]], PRODUCTOS[#All], 4, FALSE) * GENERAL[[#This Row],[CANTIDAD]])</f>
        <v>0</v>
      </c>
      <c r="T549" s="8"/>
    </row>
    <row r="550" spans="2:20" x14ac:dyDescent="0.2">
      <c r="B550" s="11" t="str">
        <f>IF(PRODUCTOS[[#This Row],[CODIGO]]="", "", PRODUCTOS[[#This Row],[CODIGO]])</f>
        <v>MACO-BRO-12ME</v>
      </c>
      <c r="C550" s="6" t="str">
        <f>IF(GENERAL[[#This Row],[CODIGO]]="", "", VLOOKUP(GENERAL[[#This Row],[CODIGO]], PRODUCTOS[#All], 2, FALSE))</f>
        <v>Brocas 1/2 metal</v>
      </c>
      <c r="D55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50" s="28" t="str">
        <f>IFERROR(IF(GENERAL[[#This Row],[CANTIDAD]]=0, "AGOTADO", IF(GENERAL[[#This Row],[CANTIDAD]]&lt;VLOOKUP(GENERAL[[#This Row],[CODIGO]], PRODUCTOS[#All], 3, FALSE), "MENOR AL MINIMO", "")), "")</f>
        <v>AGOTADO</v>
      </c>
      <c r="F550" s="39">
        <f>IF(OR(GENERAL[[#This Row],[CODIGO]]="", GENERAL[[#This Row],[CANTIDAD]]=""), "", VLOOKUP(GENERAL[[#This Row],[CODIGO]], PRODUCTOS[#All], 4, FALSE) * GENERAL[[#This Row],[CANTIDAD]])</f>
        <v>0</v>
      </c>
      <c r="T550" s="8"/>
    </row>
    <row r="551" spans="2:20" x14ac:dyDescent="0.2">
      <c r="B551" s="11" t="str">
        <f>IF(PRODUCTOS[[#This Row],[CODIGO]]="", "", PRODUCTOS[[#This Row],[CODIGO]])</f>
        <v>MACO-BRO-14CO</v>
      </c>
      <c r="C551" s="6" t="str">
        <f>IF(GENERAL[[#This Row],[CODIGO]]="", "", VLOOKUP(GENERAL[[#This Row],[CODIGO]], PRODUCTOS[#All], 2, FALSE))</f>
        <v xml:space="preserve">Brocas 1/4 concreto </v>
      </c>
      <c r="D55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51" s="28" t="str">
        <f>IFERROR(IF(GENERAL[[#This Row],[CANTIDAD]]=0, "AGOTADO", IF(GENERAL[[#This Row],[CANTIDAD]]&lt;VLOOKUP(GENERAL[[#This Row],[CODIGO]], PRODUCTOS[#All], 3, FALSE), "MENOR AL MINIMO", "")), "")</f>
        <v>AGOTADO</v>
      </c>
      <c r="F551" s="39">
        <f>IF(OR(GENERAL[[#This Row],[CODIGO]]="", GENERAL[[#This Row],[CANTIDAD]]=""), "", VLOOKUP(GENERAL[[#This Row],[CODIGO]], PRODUCTOS[#All], 4, FALSE) * GENERAL[[#This Row],[CANTIDAD]])</f>
        <v>0</v>
      </c>
      <c r="T551" s="8"/>
    </row>
    <row r="552" spans="2:20" x14ac:dyDescent="0.2">
      <c r="B552" s="11" t="str">
        <f>IF(PRODUCTOS[[#This Row],[CODIGO]]="", "", PRODUCTOS[[#This Row],[CODIGO]])</f>
        <v>MACO-BRO-14ME</v>
      </c>
      <c r="C552" s="6" t="str">
        <f>IF(GENERAL[[#This Row],[CODIGO]]="", "", VLOOKUP(GENERAL[[#This Row],[CODIGO]], PRODUCTOS[#All], 2, FALSE))</f>
        <v>Brocas 1/4 metal</v>
      </c>
      <c r="D55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52" s="28" t="str">
        <f>IFERROR(IF(GENERAL[[#This Row],[CANTIDAD]]=0, "AGOTADO", IF(GENERAL[[#This Row],[CANTIDAD]]&lt;VLOOKUP(GENERAL[[#This Row],[CODIGO]], PRODUCTOS[#All], 3, FALSE), "MENOR AL MINIMO", "")), "")</f>
        <v>AGOTADO</v>
      </c>
      <c r="F552" s="39">
        <f>IF(OR(GENERAL[[#This Row],[CODIGO]]="", GENERAL[[#This Row],[CANTIDAD]]=""), "", VLOOKUP(GENERAL[[#This Row],[CODIGO]], PRODUCTOS[#All], 4, FALSE) * GENERAL[[#This Row],[CANTIDAD]])</f>
        <v>0</v>
      </c>
      <c r="T552" s="8"/>
    </row>
    <row r="553" spans="2:20" x14ac:dyDescent="0.2">
      <c r="B553" s="11" t="str">
        <f>IF(PRODUCTOS[[#This Row],[CODIGO]]="", "", PRODUCTOS[[#This Row],[CODIGO]])</f>
        <v>MACO-BRO-18ME</v>
      </c>
      <c r="C553" s="6" t="str">
        <f>IF(GENERAL[[#This Row],[CODIGO]]="", "", VLOOKUP(GENERAL[[#This Row],[CODIGO]], PRODUCTOS[#All], 2, FALSE))</f>
        <v>Brocas 1/8 metal</v>
      </c>
      <c r="D55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53" s="28" t="str">
        <f>IFERROR(IF(GENERAL[[#This Row],[CANTIDAD]]=0, "AGOTADO", IF(GENERAL[[#This Row],[CANTIDAD]]&lt;VLOOKUP(GENERAL[[#This Row],[CODIGO]], PRODUCTOS[#All], 3, FALSE), "MENOR AL MINIMO", "")), "")</f>
        <v>AGOTADO</v>
      </c>
      <c r="F553" s="39">
        <f>IF(OR(GENERAL[[#This Row],[CODIGO]]="", GENERAL[[#This Row],[CANTIDAD]]=""), "", VLOOKUP(GENERAL[[#This Row],[CODIGO]], PRODUCTOS[#All], 4, FALSE) * GENERAL[[#This Row],[CANTIDAD]])</f>
        <v>0</v>
      </c>
      <c r="T553" s="8"/>
    </row>
    <row r="554" spans="2:20" x14ac:dyDescent="0.2">
      <c r="B554" s="11" t="str">
        <f>IF(PRODUCTOS[[#This Row],[CODIGO]]="", "", PRODUCTOS[[#This Row],[CODIGO]])</f>
        <v>MACO-BRO-316ME</v>
      </c>
      <c r="C554" s="6" t="str">
        <f>IF(GENERAL[[#This Row],[CODIGO]]="", "", VLOOKUP(GENERAL[[#This Row],[CODIGO]], PRODUCTOS[#All], 2, FALSE))</f>
        <v xml:space="preserve">Brocas 3/16 metal </v>
      </c>
      <c r="D55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54" s="28" t="str">
        <f>IFERROR(IF(GENERAL[[#This Row],[CANTIDAD]]=0, "AGOTADO", IF(GENERAL[[#This Row],[CANTIDAD]]&lt;VLOOKUP(GENERAL[[#This Row],[CODIGO]], PRODUCTOS[#All], 3, FALSE), "MENOR AL MINIMO", "")), "")</f>
        <v>AGOTADO</v>
      </c>
      <c r="F554" s="39">
        <f>IF(OR(GENERAL[[#This Row],[CODIGO]]="", GENERAL[[#This Row],[CANTIDAD]]=""), "", VLOOKUP(GENERAL[[#This Row],[CODIGO]], PRODUCTOS[#All], 4, FALSE) * GENERAL[[#This Row],[CANTIDAD]])</f>
        <v>0</v>
      </c>
      <c r="T554" s="8"/>
    </row>
    <row r="555" spans="2:20" x14ac:dyDescent="0.2">
      <c r="B555" s="11" t="str">
        <f>IF(PRODUCTOS[[#This Row],[CODIGO]]="", "", PRODUCTOS[[#This Row],[CODIGO]])</f>
        <v>MACO-BRO-332ME</v>
      </c>
      <c r="C555" s="6" t="str">
        <f>IF(GENERAL[[#This Row],[CODIGO]]="", "", VLOOKUP(GENERAL[[#This Row],[CODIGO]], PRODUCTOS[#All], 2, FALSE))</f>
        <v>Brocas 3/32 metal</v>
      </c>
      <c r="D55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55" s="28" t="str">
        <f>IFERROR(IF(GENERAL[[#This Row],[CANTIDAD]]=0, "AGOTADO", IF(GENERAL[[#This Row],[CANTIDAD]]&lt;VLOOKUP(GENERAL[[#This Row],[CODIGO]], PRODUCTOS[#All], 3, FALSE), "MENOR AL MINIMO", "")), "")</f>
        <v>AGOTADO</v>
      </c>
      <c r="F555" s="39">
        <f>IF(OR(GENERAL[[#This Row],[CODIGO]]="", GENERAL[[#This Row],[CANTIDAD]]=""), "", VLOOKUP(GENERAL[[#This Row],[CODIGO]], PRODUCTOS[#All], 4, FALSE) * GENERAL[[#This Row],[CANTIDAD]])</f>
        <v>0</v>
      </c>
      <c r="T555" s="8"/>
    </row>
    <row r="556" spans="2:20" x14ac:dyDescent="0.2">
      <c r="B556" s="11" t="str">
        <f>IF(PRODUCTOS[[#This Row],[CODIGO]]="", "", PRODUCTOS[[#This Row],[CODIGO]])</f>
        <v>MACO-BRO-38CO</v>
      </c>
      <c r="C556" s="6" t="str">
        <f>IF(GENERAL[[#This Row],[CODIGO]]="", "", VLOOKUP(GENERAL[[#This Row],[CODIGO]], PRODUCTOS[#All], 2, FALSE))</f>
        <v>Brocas 3/8 concreto</v>
      </c>
      <c r="D55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56" s="28" t="str">
        <f>IFERROR(IF(GENERAL[[#This Row],[CANTIDAD]]=0, "AGOTADO", IF(GENERAL[[#This Row],[CANTIDAD]]&lt;VLOOKUP(GENERAL[[#This Row],[CODIGO]], PRODUCTOS[#All], 3, FALSE), "MENOR AL MINIMO", "")), "")</f>
        <v>AGOTADO</v>
      </c>
      <c r="F556" s="39">
        <f>IF(OR(GENERAL[[#This Row],[CODIGO]]="", GENERAL[[#This Row],[CANTIDAD]]=""), "", VLOOKUP(GENERAL[[#This Row],[CODIGO]], PRODUCTOS[#All], 4, FALSE) * GENERAL[[#This Row],[CANTIDAD]])</f>
        <v>0</v>
      </c>
      <c r="T556" s="8"/>
    </row>
    <row r="557" spans="2:20" x14ac:dyDescent="0.2">
      <c r="B557" s="11" t="str">
        <f>IF(PRODUCTOS[[#This Row],[CODIGO]]="", "", PRODUCTOS[[#This Row],[CODIGO]])</f>
        <v>MACO-BRO-38ME</v>
      </c>
      <c r="C557" s="6" t="str">
        <f>IF(GENERAL[[#This Row],[CODIGO]]="", "", VLOOKUP(GENERAL[[#This Row],[CODIGO]], PRODUCTOS[#All], 2, FALSE))</f>
        <v>Brocas 3/8 metal</v>
      </c>
      <c r="D55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57" s="28" t="str">
        <f>IFERROR(IF(GENERAL[[#This Row],[CANTIDAD]]=0, "AGOTADO", IF(GENERAL[[#This Row],[CANTIDAD]]&lt;VLOOKUP(GENERAL[[#This Row],[CODIGO]], PRODUCTOS[#All], 3, FALSE), "MENOR AL MINIMO", "")), "")</f>
        <v>AGOTADO</v>
      </c>
      <c r="F557" s="39">
        <f>IF(OR(GENERAL[[#This Row],[CODIGO]]="", GENERAL[[#This Row],[CANTIDAD]]=""), "", VLOOKUP(GENERAL[[#This Row],[CODIGO]], PRODUCTOS[#All], 4, FALSE) * GENERAL[[#This Row],[CANTIDAD]])</f>
        <v>0</v>
      </c>
      <c r="T557" s="8"/>
    </row>
    <row r="558" spans="2:20" x14ac:dyDescent="0.2">
      <c r="B558" s="11" t="str">
        <f>IF(PRODUCTOS[[#This Row],[CODIGO]]="", "", PRODUCTOS[[#This Row],[CODIGO]])</f>
        <v>MACO-BRO-516CO</v>
      </c>
      <c r="C558" s="6" t="str">
        <f>IF(GENERAL[[#This Row],[CODIGO]]="", "", VLOOKUP(GENERAL[[#This Row],[CODIGO]], PRODUCTOS[#All], 2, FALSE))</f>
        <v>Brocas 5/16 concreto</v>
      </c>
      <c r="D55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58" s="28" t="str">
        <f>IFERROR(IF(GENERAL[[#This Row],[CANTIDAD]]=0, "AGOTADO", IF(GENERAL[[#This Row],[CANTIDAD]]&lt;VLOOKUP(GENERAL[[#This Row],[CODIGO]], PRODUCTOS[#All], 3, FALSE), "MENOR AL MINIMO", "")), "")</f>
        <v>AGOTADO</v>
      </c>
      <c r="F558" s="39">
        <f>IF(OR(GENERAL[[#This Row],[CODIGO]]="", GENERAL[[#This Row],[CANTIDAD]]=""), "", VLOOKUP(GENERAL[[#This Row],[CODIGO]], PRODUCTOS[#All], 4, FALSE) * GENERAL[[#This Row],[CANTIDAD]])</f>
        <v>0</v>
      </c>
      <c r="T558" s="8"/>
    </row>
    <row r="559" spans="2:20" x14ac:dyDescent="0.2">
      <c r="B559" s="11" t="str">
        <f>IF(PRODUCTOS[[#This Row],[CODIGO]]="", "", PRODUCTOS[[#This Row],[CODIGO]])</f>
        <v>MACO-BRO-516MA</v>
      </c>
      <c r="C559" s="6" t="str">
        <f>IF(GENERAL[[#This Row],[CODIGO]]="", "", VLOOKUP(GENERAL[[#This Row],[CODIGO]], PRODUCTOS[#All], 2, FALSE))</f>
        <v xml:space="preserve">Borcas 5/16 madera </v>
      </c>
      <c r="D55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59" s="28" t="str">
        <f>IFERROR(IF(GENERAL[[#This Row],[CANTIDAD]]=0, "AGOTADO", IF(GENERAL[[#This Row],[CANTIDAD]]&lt;VLOOKUP(GENERAL[[#This Row],[CODIGO]], PRODUCTOS[#All], 3, FALSE), "MENOR AL MINIMO", "")), "")</f>
        <v>AGOTADO</v>
      </c>
      <c r="F559" s="39">
        <f>IF(OR(GENERAL[[#This Row],[CODIGO]]="", GENERAL[[#This Row],[CANTIDAD]]=""), "", VLOOKUP(GENERAL[[#This Row],[CODIGO]], PRODUCTOS[#All], 4, FALSE) * GENERAL[[#This Row],[CANTIDAD]])</f>
        <v>0</v>
      </c>
      <c r="T559" s="8"/>
    </row>
    <row r="560" spans="2:20" x14ac:dyDescent="0.2">
      <c r="B560" s="11" t="str">
        <f>IF(PRODUCTOS[[#This Row],[CODIGO]]="", "", PRODUCTOS[[#This Row],[CODIGO]])</f>
        <v>MACO-BRO-516ME</v>
      </c>
      <c r="C560" s="6" t="str">
        <f>IF(GENERAL[[#This Row],[CODIGO]]="", "", VLOOKUP(GENERAL[[#This Row],[CODIGO]], PRODUCTOS[#All], 2, FALSE))</f>
        <v>Brocas 5/16 metal</v>
      </c>
      <c r="D56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60" s="28" t="str">
        <f>IFERROR(IF(GENERAL[[#This Row],[CANTIDAD]]=0, "AGOTADO", IF(GENERAL[[#This Row],[CANTIDAD]]&lt;VLOOKUP(GENERAL[[#This Row],[CODIGO]], PRODUCTOS[#All], 3, FALSE), "MENOR AL MINIMO", "")), "")</f>
        <v>AGOTADO</v>
      </c>
      <c r="F560" s="39">
        <f>IF(OR(GENERAL[[#This Row],[CODIGO]]="", GENERAL[[#This Row],[CANTIDAD]]=""), "", VLOOKUP(GENERAL[[#This Row],[CODIGO]], PRODUCTOS[#All], 4, FALSE) * GENERAL[[#This Row],[CANTIDAD]])</f>
        <v>0</v>
      </c>
      <c r="T560" s="8"/>
    </row>
    <row r="561" spans="2:20" x14ac:dyDescent="0.2">
      <c r="B561" s="11" t="str">
        <f>IF(PRODUCTOS[[#This Row],[CODIGO]]="", "", PRODUCTOS[[#This Row],[CODIGO]])</f>
        <v>MACO-BRO-532ME</v>
      </c>
      <c r="C561" s="6" t="str">
        <f>IF(GENERAL[[#This Row],[CODIGO]]="", "", VLOOKUP(GENERAL[[#This Row],[CODIGO]], PRODUCTOS[#All], 2, FALSE))</f>
        <v>Brocas 5/32 metal</v>
      </c>
      <c r="D56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61" s="28" t="str">
        <f>IFERROR(IF(GENERAL[[#This Row],[CANTIDAD]]=0, "AGOTADO", IF(GENERAL[[#This Row],[CANTIDAD]]&lt;VLOOKUP(GENERAL[[#This Row],[CODIGO]], PRODUCTOS[#All], 3, FALSE), "MENOR AL MINIMO", "")), "")</f>
        <v>AGOTADO</v>
      </c>
      <c r="F561" s="39">
        <f>IF(OR(GENERAL[[#This Row],[CODIGO]]="", GENERAL[[#This Row],[CANTIDAD]]=""), "", VLOOKUP(GENERAL[[#This Row],[CODIGO]], PRODUCTOS[#All], 4, FALSE) * GENERAL[[#This Row],[CANTIDAD]])</f>
        <v>0</v>
      </c>
      <c r="H561" s="63" t="s">
        <v>1965</v>
      </c>
      <c r="T561" s="8"/>
    </row>
    <row r="562" spans="2:20" x14ac:dyDescent="0.2">
      <c r="B562" s="11" t="str">
        <f>IF(PRODUCTOS[[#This Row],[CODIGO]]="", "", PRODUCTOS[[#This Row],[CODIGO]])</f>
        <v>MACO-BRO-53ME</v>
      </c>
      <c r="C562" s="6" t="str">
        <f>IF(GENERAL[[#This Row],[CODIGO]]="", "", VLOOKUP(GENERAL[[#This Row],[CODIGO]], PRODUCTOS[#All], 2, FALSE))</f>
        <v>Brocas 5/3 metal</v>
      </c>
      <c r="D56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62" s="28" t="str">
        <f>IFERROR(IF(GENERAL[[#This Row],[CANTIDAD]]=0, "AGOTADO", IF(GENERAL[[#This Row],[CANTIDAD]]&lt;VLOOKUP(GENERAL[[#This Row],[CODIGO]], PRODUCTOS[#All], 3, FALSE), "MENOR AL MINIMO", "")), "")</f>
        <v>AGOTADO</v>
      </c>
      <c r="F562" s="39">
        <f>IF(OR(GENERAL[[#This Row],[CODIGO]]="", GENERAL[[#This Row],[CANTIDAD]]=""), "", VLOOKUP(GENERAL[[#This Row],[CODIGO]], PRODUCTOS[#All], 4, FALSE) * GENERAL[[#This Row],[CANTIDAD]])</f>
        <v>0</v>
      </c>
      <c r="H562" s="62">
        <f>SUM(F462:F562)</f>
        <v>163638.80439999999</v>
      </c>
      <c r="T562" s="8"/>
    </row>
    <row r="563" spans="2:20" x14ac:dyDescent="0.2">
      <c r="B563" s="11" t="str">
        <f>IF(PRODUCTOS[[#This Row],[CODIGO]]="", "", PRODUCTOS[[#This Row],[CODIGO]])</f>
        <v>MACO-BRO-716ME</v>
      </c>
      <c r="C563" s="6" t="str">
        <f>IF(GENERAL[[#This Row],[CODIGO]]="", "", VLOOKUP(GENERAL[[#This Row],[CODIGO]], PRODUCTOS[#All], 2, FALSE))</f>
        <v>Brocas 7/16 metal</v>
      </c>
      <c r="D56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63" s="28" t="str">
        <f>IFERROR(IF(GENERAL[[#This Row],[CANTIDAD]]=0, "AGOTADO", IF(GENERAL[[#This Row],[CANTIDAD]]&lt;VLOOKUP(GENERAL[[#This Row],[CODIGO]], PRODUCTOS[#All], 3, FALSE), "MENOR AL MINIMO", "")), "")</f>
        <v>AGOTADO</v>
      </c>
      <c r="F563" s="39">
        <f>IF(OR(GENERAL[[#This Row],[CODIGO]]="", GENERAL[[#This Row],[CANTIDAD]]=""), "", VLOOKUP(GENERAL[[#This Row],[CODIGO]], PRODUCTOS[#All], 4, FALSE) * GENERAL[[#This Row],[CANTIDAD]])</f>
        <v>0</v>
      </c>
      <c r="T563" s="8"/>
    </row>
    <row r="564" spans="2:20" x14ac:dyDescent="0.2">
      <c r="B564" s="11" t="str">
        <f>IF(PRODUCTOS[[#This Row],[CODIGO]]="", "", PRODUCTOS[[#This Row],[CODIGO]])</f>
        <v>MACO-BRO-732MA</v>
      </c>
      <c r="C564" s="6" t="str">
        <f>IF(GENERAL[[#This Row],[CODIGO]]="", "", VLOOKUP(GENERAL[[#This Row],[CODIGO]], PRODUCTOS[#All], 2, FALSE))</f>
        <v xml:space="preserve">Brocas 7/32 madera </v>
      </c>
      <c r="D56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64" s="28" t="str">
        <f>IFERROR(IF(GENERAL[[#This Row],[CANTIDAD]]=0, "AGOTADO", IF(GENERAL[[#This Row],[CANTIDAD]]&lt;VLOOKUP(GENERAL[[#This Row],[CODIGO]], PRODUCTOS[#All], 3, FALSE), "MENOR AL MINIMO", "")), "")</f>
        <v>AGOTADO</v>
      </c>
      <c r="F564" s="39">
        <f>IF(OR(GENERAL[[#This Row],[CODIGO]]="", GENERAL[[#This Row],[CANTIDAD]]=""), "", VLOOKUP(GENERAL[[#This Row],[CODIGO]], PRODUCTOS[#All], 4, FALSE) * GENERAL[[#This Row],[CANTIDAD]])</f>
        <v>0</v>
      </c>
      <c r="T564" s="8"/>
    </row>
    <row r="565" spans="2:20" x14ac:dyDescent="0.2">
      <c r="B565" s="11" t="str">
        <f>IF(PRODUCTOS[[#This Row],[CODIGO]]="", "", PRODUCTOS[[#This Row],[CODIGO]])</f>
        <v>MACO-BRO-732ME</v>
      </c>
      <c r="C565" s="6" t="str">
        <f>IF(GENERAL[[#This Row],[CODIGO]]="", "", VLOOKUP(GENERAL[[#This Row],[CODIGO]], PRODUCTOS[#All], 2, FALSE))</f>
        <v>Brocas 7/32 metal</v>
      </c>
      <c r="D56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65" s="28" t="str">
        <f>IFERROR(IF(GENERAL[[#This Row],[CANTIDAD]]=0, "AGOTADO", IF(GENERAL[[#This Row],[CANTIDAD]]&lt;VLOOKUP(GENERAL[[#This Row],[CODIGO]], PRODUCTOS[#All], 3, FALSE), "MENOR AL MINIMO", "")), "")</f>
        <v>AGOTADO</v>
      </c>
      <c r="F565" s="39">
        <f>IF(OR(GENERAL[[#This Row],[CODIGO]]="", GENERAL[[#This Row],[CANTIDAD]]=""), "", VLOOKUP(GENERAL[[#This Row],[CODIGO]], PRODUCTOS[#All], 4, FALSE) * GENERAL[[#This Row],[CANTIDAD]])</f>
        <v>0</v>
      </c>
      <c r="T565" s="8"/>
    </row>
    <row r="566" spans="2:20" x14ac:dyDescent="0.2">
      <c r="B566" s="11" t="str">
        <f>IF(PRODUCTOS[[#This Row],[CODIGO]]="", "", PRODUCTOS[[#This Row],[CODIGO]])</f>
        <v>MACO-BROPI-032</v>
      </c>
      <c r="C566" s="6" t="str">
        <f>IF(GENERAL[[#This Row],[CODIGO]]="", "", VLOOKUP(GENERAL[[#This Row],[CODIGO]], PRODUCTOS[#All], 2, FALSE))</f>
        <v>Brochas de pintura</v>
      </c>
      <c r="D56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66" s="28" t="str">
        <f>IFERROR(IF(GENERAL[[#This Row],[CANTIDAD]]=0, "AGOTADO", IF(GENERAL[[#This Row],[CANTIDAD]]&lt;VLOOKUP(GENERAL[[#This Row],[CODIGO]], PRODUCTOS[#All], 3, FALSE), "MENOR AL MINIMO", "")), "")</f>
        <v>AGOTADO</v>
      </c>
      <c r="F566" s="39">
        <f>IF(OR(GENERAL[[#This Row],[CODIGO]]="", GENERAL[[#This Row],[CANTIDAD]]=""), "", VLOOKUP(GENERAL[[#This Row],[CODIGO]], PRODUCTOS[#All], 4, FALSE) * GENERAL[[#This Row],[CANTIDAD]])</f>
        <v>0</v>
      </c>
      <c r="T566" s="8"/>
    </row>
    <row r="567" spans="2:20" x14ac:dyDescent="0.2">
      <c r="B567" s="11" t="str">
        <f>IF(PRODUCTOS[[#This Row],[CODIGO]]="", "", PRODUCTOS[[#This Row],[CODIGO]])</f>
        <v>MACO-CABALU-103</v>
      </c>
      <c r="C567" s="6" t="str">
        <f>IF(GENERAL[[#This Row],[CODIGO]]="", "", VLOOKUP(GENERAL[[#This Row],[CODIGO]], PRODUCTOS[#All], 2, FALSE))</f>
        <v xml:space="preserve">Cable aluminio </v>
      </c>
      <c r="D56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67" s="28" t="str">
        <f>IFERROR(IF(GENERAL[[#This Row],[CANTIDAD]]=0, "AGOTADO", IF(GENERAL[[#This Row],[CANTIDAD]]&lt;VLOOKUP(GENERAL[[#This Row],[CODIGO]], PRODUCTOS[#All], 3, FALSE), "MENOR AL MINIMO", "")), "")</f>
        <v>AGOTADO</v>
      </c>
      <c r="F567" s="39">
        <f>IF(OR(GENERAL[[#This Row],[CODIGO]]="", GENERAL[[#This Row],[CANTIDAD]]=""), "", VLOOKUP(GENERAL[[#This Row],[CODIGO]], PRODUCTOS[#All], 4, FALSE) * GENERAL[[#This Row],[CANTIDAD]])</f>
        <v>0</v>
      </c>
      <c r="T567" s="8"/>
    </row>
    <row r="568" spans="2:20" x14ac:dyDescent="0.2">
      <c r="B568" s="11" t="str">
        <f>IF(PRODUCTOS[[#This Row],[CODIGO]]="", "", PRODUCTOS[[#This Row],[CODIGO]])</f>
        <v>MACO-CABBL-10AWG</v>
      </c>
      <c r="C568" s="6" t="str">
        <f>IF(GENERAL[[#This Row],[CODIGO]]="", "", VLOOKUP(GENERAL[[#This Row],[CODIGO]], PRODUCTOS[#All], 2, FALSE))</f>
        <v>Cable para conexión blanco 10 AWG</v>
      </c>
      <c r="D56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68" s="28" t="str">
        <f>IFERROR(IF(GENERAL[[#This Row],[CANTIDAD]]=0, "AGOTADO", IF(GENERAL[[#This Row],[CANTIDAD]]&lt;VLOOKUP(GENERAL[[#This Row],[CODIGO]], PRODUCTOS[#All], 3, FALSE), "MENOR AL MINIMO", "")), "")</f>
        <v>AGOTADO</v>
      </c>
      <c r="F568" s="39">
        <f>IF(OR(GENERAL[[#This Row],[CODIGO]]="", GENERAL[[#This Row],[CANTIDAD]]=""), "", VLOOKUP(GENERAL[[#This Row],[CODIGO]], PRODUCTOS[#All], 4, FALSE) * GENERAL[[#This Row],[CANTIDAD]])</f>
        <v>0</v>
      </c>
      <c r="T568" s="8"/>
    </row>
    <row r="569" spans="2:20" x14ac:dyDescent="0.2">
      <c r="B569" s="11" t="str">
        <f>IF(PRODUCTOS[[#This Row],[CODIGO]]="", "", PRODUCTOS[[#This Row],[CODIGO]])</f>
        <v>MACO-CABBL-12AWG</v>
      </c>
      <c r="C569" s="6" t="str">
        <f>IF(GENERAL[[#This Row],[CODIGO]]="", "", VLOOKUP(GENERAL[[#This Row],[CODIGO]], PRODUCTOS[#All], 2, FALSE))</f>
        <v>Cable blanco 12 AWG</v>
      </c>
      <c r="D56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69" s="28" t="str">
        <f>IFERROR(IF(GENERAL[[#This Row],[CANTIDAD]]=0, "AGOTADO", IF(GENERAL[[#This Row],[CANTIDAD]]&lt;VLOOKUP(GENERAL[[#This Row],[CODIGO]], PRODUCTOS[#All], 3, FALSE), "MENOR AL MINIMO", "")), "")</f>
        <v>AGOTADO</v>
      </c>
      <c r="F569" s="39">
        <f>IF(OR(GENERAL[[#This Row],[CODIGO]]="", GENERAL[[#This Row],[CANTIDAD]]=""), "", VLOOKUP(GENERAL[[#This Row],[CODIGO]], PRODUCTOS[#All], 4, FALSE) * GENERAL[[#This Row],[CANTIDAD]])</f>
        <v>0</v>
      </c>
      <c r="T569" s="8"/>
    </row>
    <row r="570" spans="2:20" x14ac:dyDescent="0.2">
      <c r="B570" s="11" t="str">
        <f>IF(PRODUCTOS[[#This Row],[CODIGO]]="", "", PRODUCTOS[[#This Row],[CODIGO]])</f>
        <v>MACO-CABCO-516</v>
      </c>
      <c r="C570" s="6" t="str">
        <f>IF(GENERAL[[#This Row],[CODIGO]]="", "", VLOOKUP(GENERAL[[#This Row],[CODIGO]], PRODUCTOS[#All], 2, FALSE))</f>
        <v>Cable de cobre 5/16</v>
      </c>
      <c r="D57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70" s="28" t="str">
        <f>IFERROR(IF(GENERAL[[#This Row],[CANTIDAD]]=0, "AGOTADO", IF(GENERAL[[#This Row],[CANTIDAD]]&lt;VLOOKUP(GENERAL[[#This Row],[CODIGO]], PRODUCTOS[#All], 3, FALSE), "MENOR AL MINIMO", "")), "")</f>
        <v>AGOTADO</v>
      </c>
      <c r="F570" s="39">
        <f>IF(OR(GENERAL[[#This Row],[CODIGO]]="", GENERAL[[#This Row],[CANTIDAD]]=""), "", VLOOKUP(GENERAL[[#This Row],[CODIGO]], PRODUCTOS[#All], 4, FALSE) * GENERAL[[#This Row],[CANTIDAD]])</f>
        <v>0</v>
      </c>
      <c r="T570" s="8"/>
    </row>
    <row r="571" spans="2:20" x14ac:dyDescent="0.2">
      <c r="B571" s="11" t="str">
        <f>IF(PRODUCTOS[[#This Row],[CODIGO]]="", "", PRODUCTOS[[#This Row],[CODIGO]])</f>
        <v>MACO-CABCO-716</v>
      </c>
      <c r="C571" s="6" t="str">
        <f>IF(GENERAL[[#This Row],[CODIGO]]="", "", VLOOKUP(GENERAL[[#This Row],[CODIGO]], PRODUCTOS[#All], 2, FALSE))</f>
        <v>Cable de cobre 7/16</v>
      </c>
      <c r="D57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71" s="28" t="str">
        <f>IFERROR(IF(GENERAL[[#This Row],[CANTIDAD]]=0, "AGOTADO", IF(GENERAL[[#This Row],[CANTIDAD]]&lt;VLOOKUP(GENERAL[[#This Row],[CODIGO]], PRODUCTOS[#All], 3, FALSE), "MENOR AL MINIMO", "")), "")</f>
        <v>AGOTADO</v>
      </c>
      <c r="F571" s="39">
        <f>IF(OR(GENERAL[[#This Row],[CODIGO]]="", GENERAL[[#This Row],[CANTIDAD]]=""), "", VLOOKUP(GENERAL[[#This Row],[CODIGO]], PRODUCTOS[#All], 4, FALSE) * GENERAL[[#This Row],[CANTIDAD]])</f>
        <v>0</v>
      </c>
      <c r="T571" s="8"/>
    </row>
    <row r="572" spans="2:20" x14ac:dyDescent="0.2">
      <c r="B572" s="11" t="str">
        <f>IF(PRODUCTOS[[#This Row],[CODIGO]]="", "", PRODUCTOS[[#This Row],[CODIGO]])</f>
        <v>MACO-CABMED-107</v>
      </c>
      <c r="C572" s="6" t="str">
        <f>IF(GENERAL[[#This Row],[CODIGO]]="", "", VLOOKUP(GENERAL[[#This Row],[CODIGO]], PRODUCTOS[#All], 2, FALSE))</f>
        <v xml:space="preserve">Cable de media </v>
      </c>
      <c r="D57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72" s="28" t="str">
        <f>IFERROR(IF(GENERAL[[#This Row],[CANTIDAD]]=0, "AGOTADO", IF(GENERAL[[#This Row],[CANTIDAD]]&lt;VLOOKUP(GENERAL[[#This Row],[CODIGO]], PRODUCTOS[#All], 3, FALSE), "MENOR AL MINIMO", "")), "")</f>
        <v>AGOTADO</v>
      </c>
      <c r="F572" s="39">
        <f>IF(OR(GENERAL[[#This Row],[CODIGO]]="", GENERAL[[#This Row],[CANTIDAD]]=""), "", VLOOKUP(GENERAL[[#This Row],[CODIGO]], PRODUCTOS[#All], 4, FALSE) * GENERAL[[#This Row],[CANTIDAD]])</f>
        <v>0</v>
      </c>
      <c r="T572" s="8"/>
    </row>
    <row r="573" spans="2:20" x14ac:dyDescent="0.2">
      <c r="B573" s="11" t="str">
        <f>IF(PRODUCTOS[[#This Row],[CODIGO]]="", "", PRODUCTOS[[#This Row],[CODIGO]])</f>
        <v>MACO-CABREC-19H</v>
      </c>
      <c r="C573" s="6" t="str">
        <f>IF(GENERAL[[#This Row],[CODIGO]]="", "", VLOOKUP(GENERAL[[#This Row],[CODIGO]], PRODUCTOS[#All], 2, FALSE))</f>
        <v>Cable con recubrimiento 3/10 19hilos</v>
      </c>
      <c r="D57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73" s="28" t="str">
        <f>IFERROR(IF(GENERAL[[#This Row],[CANTIDAD]]=0, "AGOTADO", IF(GENERAL[[#This Row],[CANTIDAD]]&lt;VLOOKUP(GENERAL[[#This Row],[CODIGO]], PRODUCTOS[#All], 3, FALSE), "MENOR AL MINIMO", "")), "")</f>
        <v>AGOTADO</v>
      </c>
      <c r="F573" s="39">
        <f>IF(OR(GENERAL[[#This Row],[CODIGO]]="", GENERAL[[#This Row],[CANTIDAD]]=""), "", VLOOKUP(GENERAL[[#This Row],[CODIGO]], PRODUCTOS[#All], 4, FALSE) * GENERAL[[#This Row],[CANTIDAD]])</f>
        <v>0</v>
      </c>
      <c r="T573" s="8"/>
    </row>
    <row r="574" spans="2:20" x14ac:dyDescent="0.2">
      <c r="B574" s="11" t="str">
        <f>IF(PRODUCTOS[[#This Row],[CODIGO]]="", "", PRODUCTOS[[#This Row],[CODIGO]])</f>
        <v>MACO-CABS-0</v>
      </c>
      <c r="C574" s="6" t="str">
        <f>IF(GENERAL[[#This Row],[CODIGO]]="", "", VLOOKUP(GENERAL[[#This Row],[CODIGO]], PRODUCTOS[#All], 2, FALSE))</f>
        <v>Cable sumergible 1/0</v>
      </c>
      <c r="D57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74" s="28" t="str">
        <f>IFERROR(IF(GENERAL[[#This Row],[CANTIDAD]]=0, "AGOTADO", IF(GENERAL[[#This Row],[CANTIDAD]]&lt;VLOOKUP(GENERAL[[#This Row],[CODIGO]], PRODUCTOS[#All], 3, FALSE), "MENOR AL MINIMO", "")), "")</f>
        <v>AGOTADO</v>
      </c>
      <c r="F574" s="39">
        <f>IF(OR(GENERAL[[#This Row],[CODIGO]]="", GENERAL[[#This Row],[CANTIDAD]]=""), "", VLOOKUP(GENERAL[[#This Row],[CODIGO]], PRODUCTOS[#All], 4, FALSE) * GENERAL[[#This Row],[CANTIDAD]])</f>
        <v>0</v>
      </c>
      <c r="T574" s="8"/>
    </row>
    <row r="575" spans="2:20" x14ac:dyDescent="0.2">
      <c r="B575" s="37" t="str">
        <f>IF(PRODUCTOS[[#This Row],[CODIGO]]="", "", PRODUCTOS[[#This Row],[CODIGO]])</f>
        <v>MACO-CABS-00</v>
      </c>
      <c r="C575" s="12" t="str">
        <f>IF(GENERAL[[#This Row],[CODIGO]]="", "", VLOOKUP(GENERAL[[#This Row],[CODIGO]], PRODUCTOS[#All], 2, FALSE))</f>
        <v>Cable sumergible 2/0</v>
      </c>
      <c r="D575" s="22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75" s="29" t="str">
        <f>IFERROR(IF(GENERAL[[#This Row],[CANTIDAD]]=0, "AGOTADO", IF(GENERAL[[#This Row],[CANTIDAD]]&lt;VLOOKUP(GENERAL[[#This Row],[CODIGO]], PRODUCTOS[#All], 3, FALSE), "MENOR AL MINIMO", "")), "")</f>
        <v>AGOTADO</v>
      </c>
      <c r="F575" s="41">
        <f>IF(OR(GENERAL[[#This Row],[CODIGO]]="", GENERAL[[#This Row],[CANTIDAD]]=""), "", VLOOKUP(GENERAL[[#This Row],[CODIGO]], PRODUCTOS[#All], 4, FALSE) * GENERAL[[#This Row],[CANTIDAD]])</f>
        <v>0</v>
      </c>
      <c r="T575" s="8"/>
    </row>
    <row r="576" spans="2:20" x14ac:dyDescent="0.2">
      <c r="B576" s="11" t="str">
        <f>IF(PRODUCTOS[[#This Row],[CODIGO]]="", "", PRODUCTOS[[#This Row],[CODIGO]])</f>
        <v>MACO-CABS3-0</v>
      </c>
      <c r="C576" s="6" t="str">
        <f>IF(GENERAL[[#This Row],[CODIGO]]="", "", VLOOKUP(GENERAL[[#This Row],[CODIGO]], PRODUCTOS[#All], 2, FALSE))</f>
        <v>Cable sumergible 3x1/0</v>
      </c>
      <c r="D57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76" s="28" t="str">
        <f>IFERROR(IF(GENERAL[[#This Row],[CANTIDAD]]=0, "AGOTADO", IF(GENERAL[[#This Row],[CANTIDAD]]&lt;VLOOKUP(GENERAL[[#This Row],[CODIGO]], PRODUCTOS[#All], 3, FALSE), "MENOR AL MINIMO", "")), "")</f>
        <v>AGOTADO</v>
      </c>
      <c r="F576" s="39">
        <f>IF(OR(GENERAL[[#This Row],[CODIGO]]="", GENERAL[[#This Row],[CANTIDAD]]=""), "", VLOOKUP(GENERAL[[#This Row],[CODIGO]], PRODUCTOS[#All], 4, FALSE) * GENERAL[[#This Row],[CANTIDAD]])</f>
        <v>0</v>
      </c>
      <c r="T576" s="8"/>
    </row>
    <row r="577" spans="2:20" x14ac:dyDescent="0.2">
      <c r="B577" s="11" t="str">
        <f>IF(PRODUCTOS[[#This Row],[CODIGO]]="", "", PRODUCTOS[[#This Row],[CODIGO]])</f>
        <v>MACO-CABS3-0000</v>
      </c>
      <c r="C577" s="6" t="str">
        <f>IF(GENERAL[[#This Row],[CODIGO]]="", "", VLOOKUP(GENERAL[[#This Row],[CODIGO]], PRODUCTOS[#All], 2, FALSE))</f>
        <v>Cable sumergible 3x4/0</v>
      </c>
      <c r="D57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77" s="28" t="str">
        <f>IFERROR(IF(GENERAL[[#This Row],[CANTIDAD]]=0, "AGOTADO", IF(GENERAL[[#This Row],[CANTIDAD]]&lt;VLOOKUP(GENERAL[[#This Row],[CODIGO]], PRODUCTOS[#All], 3, FALSE), "MENOR AL MINIMO", "")), "")</f>
        <v>AGOTADO</v>
      </c>
      <c r="F577" s="39">
        <f>IF(OR(GENERAL[[#This Row],[CODIGO]]="", GENERAL[[#This Row],[CANTIDAD]]=""), "", VLOOKUP(GENERAL[[#This Row],[CODIGO]], PRODUCTOS[#All], 4, FALSE) * GENERAL[[#This Row],[CANTIDAD]])</f>
        <v>0</v>
      </c>
      <c r="T577" s="8"/>
    </row>
    <row r="578" spans="2:20" x14ac:dyDescent="0.2">
      <c r="B578" s="11" t="str">
        <f>IF(PRODUCTOS[[#This Row],[CODIGO]]="", "", PRODUCTOS[[#This Row],[CODIGO]])</f>
        <v>MACO-CABS-4AWG</v>
      </c>
      <c r="C578" s="6" t="str">
        <f>IF(GENERAL[[#This Row],[CODIGO]]="", "", VLOOKUP(GENERAL[[#This Row],[CODIGO]], PRODUCTOS[#All], 2, FALSE))</f>
        <v>Cable sumergible 4 AWG</v>
      </c>
      <c r="D57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78" s="28" t="str">
        <f>IFERROR(IF(GENERAL[[#This Row],[CANTIDAD]]=0, "AGOTADO", IF(GENERAL[[#This Row],[CANTIDAD]]&lt;VLOOKUP(GENERAL[[#This Row],[CODIGO]], PRODUCTOS[#All], 3, FALSE), "MENOR AL MINIMO", "")), "")</f>
        <v>AGOTADO</v>
      </c>
      <c r="F578" s="39">
        <f>IF(OR(GENERAL[[#This Row],[CODIGO]]="", GENERAL[[#This Row],[CANTIDAD]]=""), "", VLOOKUP(GENERAL[[#This Row],[CODIGO]], PRODUCTOS[#All], 4, FALSE) * GENERAL[[#This Row],[CANTIDAD]])</f>
        <v>0</v>
      </c>
      <c r="T578" s="8"/>
    </row>
    <row r="579" spans="2:20" x14ac:dyDescent="0.2">
      <c r="B579" s="11" t="str">
        <f>IF(PRODUCTOS[[#This Row],[CODIGO]]="", "", PRODUCTOS[[#This Row],[CODIGO]])</f>
        <v>MACO-CABS-6AWG</v>
      </c>
      <c r="C579" s="6" t="str">
        <f>IF(GENERAL[[#This Row],[CODIGO]]="", "", VLOOKUP(GENERAL[[#This Row],[CODIGO]], PRODUCTOS[#All], 2, FALSE))</f>
        <v>Cable sumergible 6 AWG</v>
      </c>
      <c r="D57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79" s="28" t="str">
        <f>IFERROR(IF(GENERAL[[#This Row],[CANTIDAD]]=0, "AGOTADO", IF(GENERAL[[#This Row],[CANTIDAD]]&lt;VLOOKUP(GENERAL[[#This Row],[CODIGO]], PRODUCTOS[#All], 3, FALSE), "MENOR AL MINIMO", "")), "")</f>
        <v>AGOTADO</v>
      </c>
      <c r="F579" s="39">
        <f>IF(OR(GENERAL[[#This Row],[CODIGO]]="", GENERAL[[#This Row],[CANTIDAD]]=""), "", VLOOKUP(GENERAL[[#This Row],[CODIGO]], PRODUCTOS[#All], 4, FALSE) * GENERAL[[#This Row],[CANTIDAD]])</f>
        <v>0</v>
      </c>
      <c r="H579" s="67" t="s">
        <v>1968</v>
      </c>
      <c r="T579" s="8"/>
    </row>
    <row r="580" spans="2:20" x14ac:dyDescent="0.2">
      <c r="B580" s="11" t="str">
        <f>IF(PRODUCTOS[[#This Row],[CODIGO]]="", "", PRODUCTOS[[#This Row],[CODIGO]])</f>
        <v>MACO-CABTRE-091</v>
      </c>
      <c r="C580" s="6" t="str">
        <f>IF(GENERAL[[#This Row],[CODIGO]]="", "", VLOOKUP(GENERAL[[#This Row],[CODIGO]], PRODUCTOS[#All], 2, FALSE))</f>
        <v xml:space="preserve">Cable de acero trenzado </v>
      </c>
      <c r="D58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80" s="28" t="str">
        <f>IFERROR(IF(GENERAL[[#This Row],[CANTIDAD]]=0, "AGOTADO", IF(GENERAL[[#This Row],[CANTIDAD]]&lt;VLOOKUP(GENERAL[[#This Row],[CODIGO]], PRODUCTOS[#All], 3, FALSE), "MENOR AL MINIMO", "")), "")</f>
        <v>AGOTADO</v>
      </c>
      <c r="F580" s="39">
        <f>IF(OR(GENERAL[[#This Row],[CODIGO]]="", GENERAL[[#This Row],[CANTIDAD]]=""), "", VLOOKUP(GENERAL[[#This Row],[CODIGO]], PRODUCTOS[#All], 4, FALSE) * GENERAL[[#This Row],[CANTIDAD]])</f>
        <v>0</v>
      </c>
      <c r="H580" s="62">
        <f>SUM(F563:F580)</f>
        <v>0</v>
      </c>
      <c r="T580" s="8"/>
    </row>
    <row r="581" spans="2:20" x14ac:dyDescent="0.2">
      <c r="B581" s="11" t="str">
        <f>IF(PRODUCTOS[[#This Row],[CODIGO]]="", "", PRODUCTOS[[#This Row],[CODIGO]])</f>
        <v>MACO-CABV-14AWG</v>
      </c>
      <c r="C581" s="6" t="str">
        <f>IF(GENERAL[[#This Row],[CODIGO]]="", "", VLOOKUP(GENERAL[[#This Row],[CODIGO]], PRODUCTOS[#All], 2, FALSE))</f>
        <v>Cable para conexión verde 14 AWG</v>
      </c>
      <c r="D58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81" s="28" t="str">
        <f>IFERROR(IF(GENERAL[[#This Row],[CANTIDAD]]=0, "AGOTADO", IF(GENERAL[[#This Row],[CANTIDAD]]&lt;VLOOKUP(GENERAL[[#This Row],[CODIGO]], PRODUCTOS[#All], 3, FALSE), "MENOR AL MINIMO", "")), "")</f>
        <v>AGOTADO</v>
      </c>
      <c r="F581" s="39">
        <f>IF(OR(GENERAL[[#This Row],[CODIGO]]="", GENERAL[[#This Row],[CANTIDAD]]=""), "", VLOOKUP(GENERAL[[#This Row],[CODIGO]], PRODUCTOS[#All], 4, FALSE) * GENERAL[[#This Row],[CANTIDAD]])</f>
        <v>0</v>
      </c>
      <c r="T581" s="8"/>
    </row>
    <row r="582" spans="2:20" x14ac:dyDescent="0.2">
      <c r="B582" s="11" t="str">
        <f>IF(PRODUCTOS[[#This Row],[CODIGO]]="", "", PRODUCTOS[[#This Row],[CODIGO]])</f>
        <v>MACO-CAPMEZ-011</v>
      </c>
      <c r="C582" s="6" t="str">
        <f>IF(GENERAL[[#This Row],[CODIGO]]="", "", VLOOKUP(GENERAL[[#This Row],[CODIGO]], PRODUCTOS[#All], 2, FALSE))</f>
        <v>Capuchas mezclilla</v>
      </c>
      <c r="D58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82" s="28" t="str">
        <f>IFERROR(IF(GENERAL[[#This Row],[CANTIDAD]]=0, "AGOTADO", IF(GENERAL[[#This Row],[CANTIDAD]]&lt;VLOOKUP(GENERAL[[#This Row],[CODIGO]], PRODUCTOS[#All], 3, FALSE), "MENOR AL MINIMO", "")), "")</f>
        <v>AGOTADO</v>
      </c>
      <c r="F582" s="39">
        <f>IF(OR(GENERAL[[#This Row],[CODIGO]]="", GENERAL[[#This Row],[CANTIDAD]]=""), "", VLOOKUP(GENERAL[[#This Row],[CODIGO]], PRODUCTOS[#All], 4, FALSE) * GENERAL[[#This Row],[CANTIDAD]])</f>
        <v>0</v>
      </c>
      <c r="T582" s="8"/>
    </row>
    <row r="583" spans="2:20" x14ac:dyDescent="0.2">
      <c r="B583" s="11" t="str">
        <f>IF(PRODUCTOS[[#This Row],[CODIGO]]="", "", PRODUCTOS[[#This Row],[CODIGO]])</f>
        <v>MACO-CARSOL-005</v>
      </c>
      <c r="C583" s="6" t="str">
        <f>IF(GENERAL[[#This Row],[CODIGO]]="", "", VLOOKUP(GENERAL[[#This Row],[CODIGO]], PRODUCTOS[#All], 2, FALSE))</f>
        <v xml:space="preserve">Caretas de soldador </v>
      </c>
      <c r="D58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83" s="28" t="str">
        <f>IFERROR(IF(GENERAL[[#This Row],[CANTIDAD]]=0, "AGOTADO", IF(GENERAL[[#This Row],[CANTIDAD]]&lt;VLOOKUP(GENERAL[[#This Row],[CODIGO]], PRODUCTOS[#All], 3, FALSE), "MENOR AL MINIMO", "")), "")</f>
        <v>AGOTADO</v>
      </c>
      <c r="F583" s="39">
        <f>IF(OR(GENERAL[[#This Row],[CODIGO]]="", GENERAL[[#This Row],[CANTIDAD]]=""), "", VLOOKUP(GENERAL[[#This Row],[CODIGO]], PRODUCTOS[#All], 4, FALSE) * GENERAL[[#This Row],[CANTIDAD]])</f>
        <v>0</v>
      </c>
      <c r="T583" s="8"/>
    </row>
    <row r="584" spans="2:20" x14ac:dyDescent="0.2">
      <c r="B584" s="11" t="str">
        <f>IF(PRODUCTOS[[#This Row],[CODIGO]]="", "", PRODUCTOS[[#This Row],[CODIGO]])</f>
        <v>MACO-CARTGAS-029</v>
      </c>
      <c r="C584" s="6" t="str">
        <f>IF(GENERAL[[#This Row],[CODIGO]]="", "", VLOOKUP(GENERAL[[#This Row],[CODIGO]], PRODUCTOS[#All], 2, FALSE))</f>
        <v xml:space="preserve">Cartucho de gas </v>
      </c>
      <c r="D58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84" s="28" t="str">
        <f>IFERROR(IF(GENERAL[[#This Row],[CANTIDAD]]=0, "AGOTADO", IF(GENERAL[[#This Row],[CANTIDAD]]&lt;VLOOKUP(GENERAL[[#This Row],[CODIGO]], PRODUCTOS[#All], 3, FALSE), "MENOR AL MINIMO", "")), "")</f>
        <v>AGOTADO</v>
      </c>
      <c r="F584" s="39">
        <f>IF(OR(GENERAL[[#This Row],[CODIGO]]="", GENERAL[[#This Row],[CANTIDAD]]=""), "", VLOOKUP(GENERAL[[#This Row],[CODIGO]], PRODUCTOS[#All], 4, FALSE) * GENERAL[[#This Row],[CANTIDAD]])</f>
        <v>0</v>
      </c>
      <c r="T584" s="8"/>
    </row>
    <row r="585" spans="2:20" x14ac:dyDescent="0.2">
      <c r="B585" s="11" t="str">
        <f>IF(PRODUCTOS[[#This Row],[CODIGO]]="", "", PRODUCTOS[[#This Row],[CODIGO]])</f>
        <v>MACO-CASAMA-008</v>
      </c>
      <c r="C585" s="6" t="str">
        <f>IF(GENERAL[[#This Row],[CODIGO]]="", "", VLOOKUP(GENERAL[[#This Row],[CODIGO]], PRODUCTOS[#All], 2, FALSE))</f>
        <v>Casca amarillo</v>
      </c>
      <c r="D58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85" s="28" t="str">
        <f>IFERROR(IF(GENERAL[[#This Row],[CANTIDAD]]=0, "AGOTADO", IF(GENERAL[[#This Row],[CANTIDAD]]&lt;VLOOKUP(GENERAL[[#This Row],[CODIGO]], PRODUCTOS[#All], 3, FALSE), "MENOR AL MINIMO", "")), "")</f>
        <v>AGOTADO</v>
      </c>
      <c r="F585" s="39">
        <f>IF(OR(GENERAL[[#This Row],[CODIGO]]="", GENERAL[[#This Row],[CANTIDAD]]=""), "", VLOOKUP(GENERAL[[#This Row],[CODIGO]], PRODUCTOS[#All], 4, FALSE) * GENERAL[[#This Row],[CANTIDAD]])</f>
        <v>0</v>
      </c>
      <c r="T585" s="8"/>
    </row>
    <row r="586" spans="2:20" x14ac:dyDescent="0.2">
      <c r="B586" s="11" t="str">
        <f>IF(PRODUCTOS[[#This Row],[CODIGO]]="", "", PRODUCTOS[[#This Row],[CODIGO]])</f>
        <v>MACO-CASBL-006</v>
      </c>
      <c r="C586" s="6" t="str">
        <f>IF(GENERAL[[#This Row],[CODIGO]]="", "", VLOOKUP(GENERAL[[#This Row],[CODIGO]], PRODUCTOS[#All], 2, FALSE))</f>
        <v>Casco blanco</v>
      </c>
      <c r="D58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86" s="28" t="str">
        <f>IFERROR(IF(GENERAL[[#This Row],[CANTIDAD]]=0, "AGOTADO", IF(GENERAL[[#This Row],[CANTIDAD]]&lt;VLOOKUP(GENERAL[[#This Row],[CODIGO]], PRODUCTOS[#All], 3, FALSE), "MENOR AL MINIMO", "")), "")</f>
        <v>AGOTADO</v>
      </c>
      <c r="F586" s="39">
        <f>IF(OR(GENERAL[[#This Row],[CODIGO]]="", GENERAL[[#This Row],[CANTIDAD]]=""), "", VLOOKUP(GENERAL[[#This Row],[CODIGO]], PRODUCTOS[#All], 4, FALSE) * GENERAL[[#This Row],[CANTIDAD]])</f>
        <v>0</v>
      </c>
      <c r="T586" s="8"/>
    </row>
    <row r="587" spans="2:20" x14ac:dyDescent="0.2">
      <c r="B587" s="11" t="str">
        <f>IF(PRODUCTOS[[#This Row],[CODIGO]]="", "", PRODUCTOS[[#This Row],[CODIGO]])</f>
        <v>MACO-CASNAR-007</v>
      </c>
      <c r="C587" s="6" t="str">
        <f>IF(GENERAL[[#This Row],[CODIGO]]="", "", VLOOKUP(GENERAL[[#This Row],[CODIGO]], PRODUCTOS[#All], 2, FALSE))</f>
        <v xml:space="preserve">Casco naranja </v>
      </c>
      <c r="D58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87" s="28" t="str">
        <f>IFERROR(IF(GENERAL[[#This Row],[CANTIDAD]]=0, "AGOTADO", IF(GENERAL[[#This Row],[CANTIDAD]]&lt;VLOOKUP(GENERAL[[#This Row],[CODIGO]], PRODUCTOS[#All], 3, FALSE), "MENOR AL MINIMO", "")), "")</f>
        <v>AGOTADO</v>
      </c>
      <c r="F587" s="39">
        <f>IF(OR(GENERAL[[#This Row],[CODIGO]]="", GENERAL[[#This Row],[CANTIDAD]]=""), "", VLOOKUP(GENERAL[[#This Row],[CODIGO]], PRODUCTOS[#All], 4, FALSE) * GENERAL[[#This Row],[CANTIDAD]])</f>
        <v>0</v>
      </c>
      <c r="T587" s="8"/>
    </row>
    <row r="588" spans="2:20" x14ac:dyDescent="0.2">
      <c r="B588" s="11" t="str">
        <f>IF(PRODUCTOS[[#This Row],[CODIGO]]="", "", PRODUCTOS[[#This Row],[CODIGO]])</f>
        <v>MACO-CECIR-4</v>
      </c>
      <c r="C588" s="6" t="str">
        <f>IF(GENERAL[[#This Row],[CODIGO]]="", "", VLOOKUP(GENERAL[[#This Row],[CODIGO]], PRODUCTOS[#All], 2, FALSE))</f>
        <v xml:space="preserve">cepillo circular 4" </v>
      </c>
      <c r="D58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88" s="28" t="str">
        <f>IFERROR(IF(GENERAL[[#This Row],[CANTIDAD]]=0, "AGOTADO", IF(GENERAL[[#This Row],[CANTIDAD]]&lt;VLOOKUP(GENERAL[[#This Row],[CODIGO]], PRODUCTOS[#All], 3, FALSE), "MENOR AL MINIMO", "")), "")</f>
        <v>AGOTADO</v>
      </c>
      <c r="F588" s="39">
        <f>IF(OR(GENERAL[[#This Row],[CODIGO]]="", GENERAL[[#This Row],[CANTIDAD]]=""), "", VLOOKUP(GENERAL[[#This Row],[CODIGO]], PRODUCTOS[#All], 4, FALSE) * GENERAL[[#This Row],[CANTIDAD]])</f>
        <v>0</v>
      </c>
      <c r="T588" s="8"/>
    </row>
    <row r="589" spans="2:20" x14ac:dyDescent="0.2">
      <c r="B589" s="11" t="str">
        <f>IF(PRODUCTOS[[#This Row],[CODIGO]]="", "", PRODUCTOS[[#This Row],[CODIGO]])</f>
        <v>MACO-CEPCO-4</v>
      </c>
      <c r="C589" s="6" t="str">
        <f>IF(GENERAL[[#This Row],[CODIGO]]="", "", VLOOKUP(GENERAL[[#This Row],[CODIGO]], PRODUCTOS[#All], 2, FALSE))</f>
        <v>Cepillo en forma de copa 4"</v>
      </c>
      <c r="D58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89" s="28" t="str">
        <f>IFERROR(IF(GENERAL[[#This Row],[CANTIDAD]]=0, "AGOTADO", IF(GENERAL[[#This Row],[CANTIDAD]]&lt;VLOOKUP(GENERAL[[#This Row],[CODIGO]], PRODUCTOS[#All], 3, FALSE), "MENOR AL MINIMO", "")), "")</f>
        <v>AGOTADO</v>
      </c>
      <c r="F589" s="39">
        <f>IF(OR(GENERAL[[#This Row],[CODIGO]]="", GENERAL[[#This Row],[CANTIDAD]]=""), "", VLOOKUP(GENERAL[[#This Row],[CODIGO]], PRODUCTOS[#All], 4, FALSE) * GENERAL[[#This Row],[CANTIDAD]])</f>
        <v>0</v>
      </c>
      <c r="T589" s="8"/>
    </row>
    <row r="590" spans="2:20" x14ac:dyDescent="0.2">
      <c r="B590" s="11" t="str">
        <f>IF(PRODUCTOS[[#This Row],[CODIGO]]="", "", PRODUCTOS[[#This Row],[CODIGO]])</f>
        <v>MACO-CERACA-024</v>
      </c>
      <c r="C590" s="6" t="str">
        <f>IF(GENERAL[[#This Row],[CODIGO]]="", "", VLOOKUP(GENERAL[[#This Row],[CODIGO]], PRODUCTOS[#All], 2, FALSE))</f>
        <v xml:space="preserve">Cera para carros </v>
      </c>
      <c r="D59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90" s="28" t="str">
        <f>IFERROR(IF(GENERAL[[#This Row],[CANTIDAD]]=0, "AGOTADO", IF(GENERAL[[#This Row],[CANTIDAD]]&lt;VLOOKUP(GENERAL[[#This Row],[CODIGO]], PRODUCTOS[#All], 3, FALSE), "MENOR AL MINIMO", "")), "")</f>
        <v>AGOTADO</v>
      </c>
      <c r="F590" s="39">
        <f>IF(OR(GENERAL[[#This Row],[CODIGO]]="", GENERAL[[#This Row],[CANTIDAD]]=""), "", VLOOKUP(GENERAL[[#This Row],[CODIGO]], PRODUCTOS[#All], 4, FALSE) * GENERAL[[#This Row],[CANTIDAD]])</f>
        <v>0</v>
      </c>
      <c r="T590" s="8"/>
    </row>
    <row r="591" spans="2:20" x14ac:dyDescent="0.2">
      <c r="B591" s="11" t="str">
        <f>IF(PRODUCTOS[[#This Row],[CODIGO]]="", "", PRODUCTOS[[#This Row],[CODIGO]])</f>
        <v>MACO-CIN508-823</v>
      </c>
      <c r="C591" s="6" t="str">
        <f>IF(GENERAL[[#This Row],[CODIGO]]="", "", VLOOKUP(GENERAL[[#This Row],[CODIGO]], PRODUCTOS[#All], 2, FALSE))</f>
        <v>Cinchos 5.08 x 8.23</v>
      </c>
      <c r="D59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91" s="28" t="str">
        <f>IFERROR(IF(GENERAL[[#This Row],[CANTIDAD]]=0, "AGOTADO", IF(GENERAL[[#This Row],[CANTIDAD]]&lt;VLOOKUP(GENERAL[[#This Row],[CODIGO]], PRODUCTOS[#All], 3, FALSE), "MENOR AL MINIMO", "")), "")</f>
        <v>AGOTADO</v>
      </c>
      <c r="F591" s="39">
        <f>IF(OR(GENERAL[[#This Row],[CODIGO]]="", GENERAL[[#This Row],[CANTIDAD]]=""), "", VLOOKUP(GENERAL[[#This Row],[CODIGO]], PRODUCTOS[#All], 4, FALSE) * GENERAL[[#This Row],[CANTIDAD]])</f>
        <v>0</v>
      </c>
      <c r="T591" s="8"/>
    </row>
    <row r="592" spans="2:20" x14ac:dyDescent="0.2">
      <c r="B592" s="11" t="str">
        <f>IF(PRODUCTOS[[#This Row],[CODIGO]]="", "", PRODUCTOS[[#This Row],[CODIGO]])</f>
        <v>MACO-CINCH-6M</v>
      </c>
      <c r="C592" s="6" t="str">
        <f>IF(GENERAL[[#This Row],[CODIGO]]="", "", VLOOKUP(GENERAL[[#This Row],[CODIGO]], PRODUCTOS[#All], 2, FALSE))</f>
        <v>Cinchos 6m (4 toneladas)</v>
      </c>
      <c r="D59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92" s="28" t="str">
        <f>IFERROR(IF(GENERAL[[#This Row],[CANTIDAD]]=0, "AGOTADO", IF(GENERAL[[#This Row],[CANTIDAD]]&lt;VLOOKUP(GENERAL[[#This Row],[CODIGO]], PRODUCTOS[#All], 3, FALSE), "MENOR AL MINIMO", "")), "")</f>
        <v>AGOTADO</v>
      </c>
      <c r="F592" s="39">
        <f>IF(OR(GENERAL[[#This Row],[CODIGO]]="", GENERAL[[#This Row],[CANTIDAD]]=""), "", VLOOKUP(GENERAL[[#This Row],[CODIGO]], PRODUCTOS[#All], 4, FALSE) * GENERAL[[#This Row],[CANTIDAD]])</f>
        <v>0</v>
      </c>
      <c r="T592" s="8"/>
    </row>
    <row r="593" spans="2:20" x14ac:dyDescent="0.2">
      <c r="B593" s="11" t="str">
        <f>IF(PRODUCTOS[[#This Row],[CODIGO]]="", "", PRODUCTOS[[#This Row],[CODIGO]])</f>
        <v>MACO-CINMAT-073</v>
      </c>
      <c r="C593" s="6" t="str">
        <f>IF(GENERAL[[#This Row],[CODIGO]]="", "", VLOOKUP(GENERAL[[#This Row],[CODIGO]], PRODUCTOS[#All], 2, FALSE))</f>
        <v>Cincho con matraca 181k</v>
      </c>
      <c r="D59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93" s="28" t="str">
        <f>IFERROR(IF(GENERAL[[#This Row],[CANTIDAD]]=0, "AGOTADO", IF(GENERAL[[#This Row],[CANTIDAD]]&lt;VLOOKUP(GENERAL[[#This Row],[CODIGO]], PRODUCTOS[#All], 3, FALSE), "MENOR AL MINIMO", "")), "")</f>
        <v>AGOTADO</v>
      </c>
      <c r="F593" s="39">
        <f>IF(OR(GENERAL[[#This Row],[CODIGO]]="", GENERAL[[#This Row],[CANTIDAD]]=""), "", VLOOKUP(GENERAL[[#This Row],[CODIGO]], PRODUCTOS[#All], 4, FALSE) * GENERAL[[#This Row],[CANTIDAD]])</f>
        <v>0</v>
      </c>
      <c r="T593" s="8"/>
    </row>
    <row r="594" spans="2:20" x14ac:dyDescent="0.2">
      <c r="B594" s="11" t="str">
        <f>IF(PRODUCTOS[[#This Row],[CODIGO]]="", "", PRODUCTOS[[#This Row],[CODIGO]])</f>
        <v>MACO-CLA-10MM</v>
      </c>
      <c r="C594" s="6" t="str">
        <f>IF(GENERAL[[#This Row],[CODIGO]]="", "", VLOOKUP(GENERAL[[#This Row],[CODIGO]], PRODUCTOS[#All], 2, FALSE))</f>
        <v>Clavos 10mm x 35mm</v>
      </c>
      <c r="D59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94" s="28" t="str">
        <f>IFERROR(IF(GENERAL[[#This Row],[CANTIDAD]]=0, "AGOTADO", IF(GENERAL[[#This Row],[CANTIDAD]]&lt;VLOOKUP(GENERAL[[#This Row],[CODIGO]], PRODUCTOS[#All], 3, FALSE), "MENOR AL MINIMO", "")), "")</f>
        <v>AGOTADO</v>
      </c>
      <c r="F594" s="39">
        <f>IF(OR(GENERAL[[#This Row],[CODIGO]]="", GENERAL[[#This Row],[CANTIDAD]]=""), "", VLOOKUP(GENERAL[[#This Row],[CODIGO]], PRODUCTOS[#All], 4, FALSE) * GENERAL[[#This Row],[CANTIDAD]])</f>
        <v>0</v>
      </c>
      <c r="T594" s="8"/>
    </row>
    <row r="595" spans="2:20" x14ac:dyDescent="0.2">
      <c r="B595" s="11" t="str">
        <f>IF(PRODUCTOS[[#This Row],[CODIGO]]="", "", PRODUCTOS[[#This Row],[CODIGO]])</f>
        <v>MACO-CLA-40MM</v>
      </c>
      <c r="C595" s="6" t="str">
        <f>IF(GENERAL[[#This Row],[CODIGO]]="", "", VLOOKUP(GENERAL[[#This Row],[CODIGO]], PRODUCTOS[#All], 2, FALSE))</f>
        <v>Clavos 40mm</v>
      </c>
      <c r="D59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95" s="28" t="str">
        <f>IFERROR(IF(GENERAL[[#This Row],[CANTIDAD]]=0, "AGOTADO", IF(GENERAL[[#This Row],[CANTIDAD]]&lt;VLOOKUP(GENERAL[[#This Row],[CODIGO]], PRODUCTOS[#All], 3, FALSE), "MENOR AL MINIMO", "")), "")</f>
        <v>AGOTADO</v>
      </c>
      <c r="F595" s="39">
        <f>IF(OR(GENERAL[[#This Row],[CODIGO]]="", GENERAL[[#This Row],[CANTIDAD]]=""), "", VLOOKUP(GENERAL[[#This Row],[CODIGO]], PRODUCTOS[#All], 4, FALSE) * GENERAL[[#This Row],[CANTIDAD]])</f>
        <v>0</v>
      </c>
      <c r="T595" s="8"/>
    </row>
    <row r="596" spans="2:20" x14ac:dyDescent="0.2">
      <c r="B596" s="11" t="str">
        <f>IF(PRODUCTOS[[#This Row],[CODIGO]]="", "", PRODUCTOS[[#This Row],[CODIGO]])</f>
        <v>MACO-CLA-5MM</v>
      </c>
      <c r="C596" s="6" t="str">
        <f>IF(GENERAL[[#This Row],[CODIGO]]="", "", VLOOKUP(GENERAL[[#This Row],[CODIGO]], PRODUCTOS[#All], 2, FALSE))</f>
        <v>Clavos 5mm x 50mm</v>
      </c>
      <c r="D59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96" s="28" t="str">
        <f>IFERROR(IF(GENERAL[[#This Row],[CANTIDAD]]=0, "AGOTADO", IF(GENERAL[[#This Row],[CANTIDAD]]&lt;VLOOKUP(GENERAL[[#This Row],[CODIGO]], PRODUCTOS[#All], 3, FALSE), "MENOR AL MINIMO", "")), "")</f>
        <v>AGOTADO</v>
      </c>
      <c r="F596" s="39">
        <f>IF(OR(GENERAL[[#This Row],[CODIGO]]="", GENERAL[[#This Row],[CANTIDAD]]=""), "", VLOOKUP(GENERAL[[#This Row],[CODIGO]], PRODUCTOS[#All], 4, FALSE) * GENERAL[[#This Row],[CANTIDAD]])</f>
        <v>0</v>
      </c>
      <c r="T596" s="8"/>
    </row>
    <row r="597" spans="2:20" x14ac:dyDescent="0.2">
      <c r="B597" s="11" t="str">
        <f>IF(PRODUCTOS[[#This Row],[CODIGO]]="", "", PRODUCTOS[[#This Row],[CODIGO]])</f>
        <v>MACO-CLAV-002</v>
      </c>
      <c r="C597" s="6" t="str">
        <f>IF(GENERAL[[#This Row],[CODIGO]]="", "", VLOOKUP(GENERAL[[#This Row],[CODIGO]], PRODUCTOS[#All], 2, FALSE))</f>
        <v xml:space="preserve">Clavijas </v>
      </c>
      <c r="D59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97" s="28" t="str">
        <f>IFERROR(IF(GENERAL[[#This Row],[CANTIDAD]]=0, "AGOTADO", IF(GENERAL[[#This Row],[CANTIDAD]]&lt;VLOOKUP(GENERAL[[#This Row],[CODIGO]], PRODUCTOS[#All], 3, FALSE), "MENOR AL MINIMO", "")), "")</f>
        <v>AGOTADO</v>
      </c>
      <c r="F597" s="39">
        <f>IF(OR(GENERAL[[#This Row],[CODIGO]]="", GENERAL[[#This Row],[CANTIDAD]]=""), "", VLOOKUP(GENERAL[[#This Row],[CODIGO]], PRODUCTOS[#All], 4, FALSE) * GENERAL[[#This Row],[CANTIDAD]])</f>
        <v>0</v>
      </c>
      <c r="T597" s="8"/>
    </row>
    <row r="598" spans="2:20" x14ac:dyDescent="0.2">
      <c r="B598" s="11" t="str">
        <f>IF(PRODUCTOS[[#This Row],[CODIGO]]="", "", PRODUCTOS[[#This Row],[CODIGO]])</f>
        <v>MACO-CLIPT-097</v>
      </c>
      <c r="C598" s="6" t="str">
        <f>IF(GENERAL[[#This Row],[CODIGO]]="", "", VLOOKUP(GENERAL[[#This Row],[CODIGO]], PRODUCTOS[#All], 2, FALSE))</f>
        <v>clip para puesta puesta tierra</v>
      </c>
      <c r="D59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98" s="28" t="str">
        <f>IFERROR(IF(GENERAL[[#This Row],[CANTIDAD]]=0, "AGOTADO", IF(GENERAL[[#This Row],[CANTIDAD]]&lt;VLOOKUP(GENERAL[[#This Row],[CODIGO]], PRODUCTOS[#All], 3, FALSE), "MENOR AL MINIMO", "")), "")</f>
        <v>AGOTADO</v>
      </c>
      <c r="F598" s="39">
        <f>IF(OR(GENERAL[[#This Row],[CODIGO]]="", GENERAL[[#This Row],[CANTIDAD]]=""), "", VLOOKUP(GENERAL[[#This Row],[CODIGO]], PRODUCTOS[#All], 4, FALSE) * GENERAL[[#This Row],[CANTIDAD]])</f>
        <v>0</v>
      </c>
      <c r="T598" s="8"/>
    </row>
    <row r="599" spans="2:20" x14ac:dyDescent="0.2">
      <c r="B599" s="11" t="str">
        <f>IF(PRODUCTOS[[#This Row],[CODIGO]]="", "", PRODUCTOS[[#This Row],[CODIGO]])</f>
        <v>MACO-CLORPO-018</v>
      </c>
      <c r="C599" s="6" t="str">
        <f>IF(GENERAL[[#This Row],[CODIGO]]="", "", VLOOKUP(GENERAL[[#This Row],[CODIGO]], PRODUCTOS[#All], 2, FALSE))</f>
        <v>Cloro (quimico polvo) 23kg</v>
      </c>
      <c r="D59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599" s="28" t="str">
        <f>IFERROR(IF(GENERAL[[#This Row],[CANTIDAD]]=0, "AGOTADO", IF(GENERAL[[#This Row],[CANTIDAD]]&lt;VLOOKUP(GENERAL[[#This Row],[CODIGO]], PRODUCTOS[#All], 3, FALSE), "MENOR AL MINIMO", "")), "")</f>
        <v>AGOTADO</v>
      </c>
      <c r="F599" s="39">
        <f>IF(OR(GENERAL[[#This Row],[CODIGO]]="", GENERAL[[#This Row],[CANTIDAD]]=""), "", VLOOKUP(GENERAL[[#This Row],[CODIGO]], PRODUCTOS[#All], 4, FALSE) * GENERAL[[#This Row],[CANTIDAD]])</f>
        <v>0</v>
      </c>
      <c r="T599" s="8"/>
    </row>
    <row r="600" spans="2:20" x14ac:dyDescent="0.2">
      <c r="B600" s="11" t="str">
        <f>IF(PRODUCTOS[[#This Row],[CODIGO]]="", "", PRODUCTOS[[#This Row],[CODIGO]])</f>
        <v>MACO-CONAND-14</v>
      </c>
      <c r="C600" s="6" t="str">
        <f>IF(GENERAL[[#This Row],[CODIGO]]="", "", VLOOKUP(GENERAL[[#This Row],[CODIGO]], PRODUCTOS[#All], 2, FALSE))</f>
        <v>Conectores anderson 1/4</v>
      </c>
      <c r="D60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00" s="28" t="str">
        <f>IFERROR(IF(GENERAL[[#This Row],[CANTIDAD]]=0, "AGOTADO", IF(GENERAL[[#This Row],[CANTIDAD]]&lt;VLOOKUP(GENERAL[[#This Row],[CODIGO]], PRODUCTOS[#All], 3, FALSE), "MENOR AL MINIMO", "")), "")</f>
        <v>AGOTADO</v>
      </c>
      <c r="F600" s="39">
        <f>IF(OR(GENERAL[[#This Row],[CODIGO]]="", GENERAL[[#This Row],[CANTIDAD]]=""), "", VLOOKUP(GENERAL[[#This Row],[CODIGO]], PRODUCTOS[#All], 4, FALSE) * GENERAL[[#This Row],[CANTIDAD]])</f>
        <v>0</v>
      </c>
      <c r="T600" s="8"/>
    </row>
    <row r="601" spans="2:20" x14ac:dyDescent="0.2">
      <c r="B601" s="11" t="str">
        <f>IF(PRODUCTOS[[#This Row],[CODIGO]]="", "", PRODUCTOS[[#This Row],[CODIGO]])</f>
        <v>MACO-CONCOM-083</v>
      </c>
      <c r="C601" s="6" t="str">
        <f>IF(GENERAL[[#This Row],[CODIGO]]="", "", VLOOKUP(GENERAL[[#This Row],[CODIGO]], PRODUCTOS[#All], 2, FALSE))</f>
        <v>Conector de compresión tipo terminal 6 - 2/0</v>
      </c>
      <c r="D60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01" s="28" t="str">
        <f>IFERROR(IF(GENERAL[[#This Row],[CANTIDAD]]=0, "AGOTADO", IF(GENERAL[[#This Row],[CANTIDAD]]&lt;VLOOKUP(GENERAL[[#This Row],[CODIGO]], PRODUCTOS[#All], 3, FALSE), "MENOR AL MINIMO", "")), "")</f>
        <v>AGOTADO</v>
      </c>
      <c r="F601" s="39">
        <f>IF(OR(GENERAL[[#This Row],[CODIGO]]="", GENERAL[[#This Row],[CANTIDAD]]=""), "", VLOOKUP(GENERAL[[#This Row],[CODIGO]], PRODUCTOS[#All], 4, FALSE) * GENERAL[[#This Row],[CANTIDAD]])</f>
        <v>0</v>
      </c>
      <c r="T601" s="8"/>
    </row>
    <row r="602" spans="2:20" x14ac:dyDescent="0.2">
      <c r="B602" s="11" t="str">
        <f>IF(PRODUCTOS[[#This Row],[CODIGO]]="", "", PRODUCTOS[[#This Row],[CODIGO]])</f>
        <v>MACO-CONES-00</v>
      </c>
      <c r="C602" s="6" t="str">
        <f>IF(GENERAL[[#This Row],[CODIGO]]="", "", VLOOKUP(GENERAL[[#This Row],[CODIGO]], PRODUCTOS[#All], 2, FALSE))</f>
        <v>Conector tipo estribo 2/0</v>
      </c>
      <c r="D60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02" s="28" t="str">
        <f>IFERROR(IF(GENERAL[[#This Row],[CANTIDAD]]=0, "AGOTADO", IF(GENERAL[[#This Row],[CANTIDAD]]&lt;VLOOKUP(GENERAL[[#This Row],[CODIGO]], PRODUCTOS[#All], 3, FALSE), "MENOR AL MINIMO", "")), "")</f>
        <v>AGOTADO</v>
      </c>
      <c r="F602" s="39">
        <f>IF(OR(GENERAL[[#This Row],[CODIGO]]="", GENERAL[[#This Row],[CANTIDAD]]=""), "", VLOOKUP(GENERAL[[#This Row],[CODIGO]], PRODUCTOS[#All], 4, FALSE) * GENERAL[[#This Row],[CANTIDAD]])</f>
        <v>0</v>
      </c>
      <c r="T602" s="8"/>
    </row>
    <row r="603" spans="2:20" x14ac:dyDescent="0.2">
      <c r="B603" s="11" t="str">
        <f>IF(PRODUCTOS[[#This Row],[CODIGO]]="", "", PRODUCTOS[[#This Row],[CODIGO]])</f>
        <v>MACO-CONEST-410</v>
      </c>
      <c r="C603" s="6" t="str">
        <f>IF(GENERAL[[#This Row],[CODIGO]]="", "", VLOOKUP(GENERAL[[#This Row],[CODIGO]], PRODUCTOS[#All], 2, FALSE))</f>
        <v>Conector tipo estribo 410</v>
      </c>
      <c r="D60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03" s="28" t="str">
        <f>IFERROR(IF(GENERAL[[#This Row],[CANTIDAD]]=0, "AGOTADO", IF(GENERAL[[#This Row],[CANTIDAD]]&lt;VLOOKUP(GENERAL[[#This Row],[CODIGO]], PRODUCTOS[#All], 3, FALSE), "MENOR AL MINIMO", "")), "")</f>
        <v>AGOTADO</v>
      </c>
      <c r="F603" s="39">
        <f>IF(OR(GENERAL[[#This Row],[CODIGO]]="", GENERAL[[#This Row],[CANTIDAD]]=""), "", VLOOKUP(GENERAL[[#This Row],[CODIGO]], PRODUCTOS[#All], 4, FALSE) * GENERAL[[#This Row],[CANTIDAD]])</f>
        <v>0</v>
      </c>
      <c r="T603" s="8"/>
    </row>
    <row r="604" spans="2:20" x14ac:dyDescent="0.2">
      <c r="B604" s="11" t="str">
        <f>IF(PRODUCTOS[[#This Row],[CODIGO]]="", "", PRODUCTOS[[#This Row],[CODIGO]])</f>
        <v>MACO-CONESTR-079</v>
      </c>
      <c r="C604" s="6" t="str">
        <f>IF(GENERAL[[#This Row],[CODIGO]]="", "", VLOOKUP(GENERAL[[#This Row],[CODIGO]], PRODUCTOS[#All], 2, FALSE))</f>
        <v>Conector tipo estribo 210</v>
      </c>
      <c r="D60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04" s="28" t="str">
        <f>IFERROR(IF(GENERAL[[#This Row],[CANTIDAD]]=0, "AGOTADO", IF(GENERAL[[#This Row],[CANTIDAD]]&lt;VLOOKUP(GENERAL[[#This Row],[CODIGO]], PRODUCTOS[#All], 3, FALSE), "MENOR AL MINIMO", "")), "")</f>
        <v>AGOTADO</v>
      </c>
      <c r="F604" s="39">
        <f>IF(OR(GENERAL[[#This Row],[CODIGO]]="", GENERAL[[#This Row],[CANTIDAD]]=""), "", VLOOKUP(GENERAL[[#This Row],[CODIGO]], PRODUCTOS[#All], 4, FALSE) * GENERAL[[#This Row],[CANTIDAD]])</f>
        <v>0</v>
      </c>
      <c r="T604" s="8"/>
    </row>
    <row r="605" spans="2:20" x14ac:dyDescent="0.2">
      <c r="B605" s="11" t="str">
        <f>IF(PRODUCTOS[[#This Row],[CODIGO]]="", "", PRODUCTOS[[#This Row],[CODIGO]])</f>
        <v>MACO-CONPT-098</v>
      </c>
      <c r="C605" s="6" t="str">
        <f>IF(GENERAL[[#This Row],[CODIGO]]="", "", VLOOKUP(GENERAL[[#This Row],[CODIGO]], PRODUCTOS[#All], 2, FALSE))</f>
        <v xml:space="preserve">conector para puesta a tierra tipo lug </v>
      </c>
      <c r="D60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05" s="28" t="str">
        <f>IFERROR(IF(GENERAL[[#This Row],[CANTIDAD]]=0, "AGOTADO", IF(GENERAL[[#This Row],[CANTIDAD]]&lt;VLOOKUP(GENERAL[[#This Row],[CODIGO]], PRODUCTOS[#All], 3, FALSE), "MENOR AL MINIMO", "")), "")</f>
        <v>AGOTADO</v>
      </c>
      <c r="F605" s="39">
        <f>IF(OR(GENERAL[[#This Row],[CODIGO]]="", GENERAL[[#This Row],[CANTIDAD]]=""), "", VLOOKUP(GENERAL[[#This Row],[CODIGO]], PRODUCTOS[#All], 4, FALSE) * GENERAL[[#This Row],[CANTIDAD]])</f>
        <v>0</v>
      </c>
      <c r="T605" s="8"/>
    </row>
    <row r="606" spans="2:20" x14ac:dyDescent="0.2">
      <c r="B606" s="11" t="str">
        <f>IF(PRODUCTOS[[#This Row],[CODIGO]]="", "", PRODUCTOS[[#This Row],[CODIGO]])</f>
        <v>MACO-CONT003</v>
      </c>
      <c r="C606" s="6" t="str">
        <f>IF(GENERAL[[#This Row],[CODIGO]]="", "", VLOOKUP(GENERAL[[#This Row],[CODIGO]], PRODUCTOS[#All], 2, FALSE))</f>
        <v>Contacto</v>
      </c>
      <c r="D60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06" s="28" t="str">
        <f>IFERROR(IF(GENERAL[[#This Row],[CANTIDAD]]=0, "AGOTADO", IF(GENERAL[[#This Row],[CANTIDAD]]&lt;VLOOKUP(GENERAL[[#This Row],[CODIGO]], PRODUCTOS[#All], 3, FALSE), "MENOR AL MINIMO", "")), "")</f>
        <v>AGOTADO</v>
      </c>
      <c r="F606" s="39">
        <f>IF(OR(GENERAL[[#This Row],[CODIGO]]="", GENERAL[[#This Row],[CANTIDAD]]=""), "", VLOOKUP(GENERAL[[#This Row],[CODIGO]], PRODUCTOS[#All], 4, FALSE) * GENERAL[[#This Row],[CANTIDAD]])</f>
        <v>0</v>
      </c>
      <c r="T606" s="8"/>
    </row>
    <row r="607" spans="2:20" x14ac:dyDescent="0.2">
      <c r="B607" s="11" t="str">
        <f>IF(PRODUCTOS[[#This Row],[CODIGO]]="", "", PRODUCTOS[[#This Row],[CODIGO]])</f>
        <v>MACO-CONTFLU-105</v>
      </c>
      <c r="C607" s="6" t="str">
        <f>IF(GENERAL[[#This Row],[CODIGO]]="", "", VLOOKUP(GENERAL[[#This Row],[CODIGO]], PRODUCTOS[#All], 2, FALSE))</f>
        <v xml:space="preserve">Controlador de flujo Badgermeter </v>
      </c>
      <c r="D60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07" s="28" t="str">
        <f>IFERROR(IF(GENERAL[[#This Row],[CANTIDAD]]=0, "AGOTADO", IF(GENERAL[[#This Row],[CANTIDAD]]&lt;VLOOKUP(GENERAL[[#This Row],[CODIGO]], PRODUCTOS[#All], 3, FALSE), "MENOR AL MINIMO", "")), "")</f>
        <v>AGOTADO</v>
      </c>
      <c r="F607" s="39">
        <f>IF(OR(GENERAL[[#This Row],[CODIGO]]="", GENERAL[[#This Row],[CANTIDAD]]=""), "", VLOOKUP(GENERAL[[#This Row],[CODIGO]], PRODUCTOS[#All], 4, FALSE) * GENERAL[[#This Row],[CANTIDAD]])</f>
        <v>0</v>
      </c>
      <c r="T607" s="8"/>
    </row>
    <row r="608" spans="2:20" x14ac:dyDescent="0.2">
      <c r="B608" s="11" t="str">
        <f>IF(PRODUCTOS[[#This Row],[CODIGO]]="", "", PRODUCTOS[[#This Row],[CODIGO]])</f>
        <v>MACO-COPCOG-4</v>
      </c>
      <c r="C608" s="6" t="str">
        <f>IF(GENERAL[[#This Row],[CODIGO]]="", "", VLOOKUP(GENERAL[[#This Row],[CODIGO]], PRODUCTOS[#All], 2, FALSE))</f>
        <v>cople conduit galvanizado 4"</v>
      </c>
      <c r="D60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08" s="28" t="str">
        <f>IFERROR(IF(GENERAL[[#This Row],[CANTIDAD]]=0, "AGOTADO", IF(GENERAL[[#This Row],[CANTIDAD]]&lt;VLOOKUP(GENERAL[[#This Row],[CODIGO]], PRODUCTOS[#All], 3, FALSE), "MENOR AL MINIMO", "")), "")</f>
        <v>AGOTADO</v>
      </c>
      <c r="F608" s="39">
        <f>IF(OR(GENERAL[[#This Row],[CODIGO]]="", GENERAL[[#This Row],[CANTIDAD]]=""), "", VLOOKUP(GENERAL[[#This Row],[CODIGO]], PRODUCTOS[#All], 4, FALSE) * GENERAL[[#This Row],[CANTIDAD]])</f>
        <v>0</v>
      </c>
      <c r="T608" s="8"/>
    </row>
    <row r="609" spans="2:20" x14ac:dyDescent="0.2">
      <c r="B609" s="11" t="str">
        <f>IF(PRODUCTOS[[#This Row],[CODIGO]]="", "", PRODUCTOS[[#This Row],[CODIGO]])</f>
        <v>MACO-CUCHI-27</v>
      </c>
      <c r="C609" s="6" t="str">
        <f>IF(GENERAL[[#This Row],[CODIGO]]="", "", VLOOKUP(GENERAL[[#This Row],[CODIGO]], PRODUCTOS[#All], 2, FALSE))</f>
        <v xml:space="preserve">cuchillas 27kva </v>
      </c>
      <c r="D60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09" s="28" t="str">
        <f>IFERROR(IF(GENERAL[[#This Row],[CANTIDAD]]=0, "AGOTADO", IF(GENERAL[[#This Row],[CANTIDAD]]&lt;VLOOKUP(GENERAL[[#This Row],[CODIGO]], PRODUCTOS[#All], 3, FALSE), "MENOR AL MINIMO", "")), "")</f>
        <v>AGOTADO</v>
      </c>
      <c r="F609" s="39">
        <f>IF(OR(GENERAL[[#This Row],[CODIGO]]="", GENERAL[[#This Row],[CANTIDAD]]=""), "", VLOOKUP(GENERAL[[#This Row],[CODIGO]], PRODUCTOS[#All], 4, FALSE) * GENERAL[[#This Row],[CANTIDAD]])</f>
        <v>0</v>
      </c>
      <c r="T609" s="8"/>
    </row>
    <row r="610" spans="2:20" x14ac:dyDescent="0.2">
      <c r="B610" s="11" t="str">
        <f>IF(PRODUCTOS[[#This Row],[CODIGO]]="", "", PRODUCTOS[[#This Row],[CODIGO]])</f>
        <v>MACO-DARD-077</v>
      </c>
      <c r="C610" s="6" t="str">
        <f>IF(GENERAL[[#This Row],[CODIGO]]="", "", VLOOKUP(GENERAL[[#This Row],[CODIGO]], PRODUCTOS[#All], 2, FALSE))</f>
        <v xml:space="preserve">Dardos </v>
      </c>
      <c r="D61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10" s="28" t="str">
        <f>IFERROR(IF(GENERAL[[#This Row],[CANTIDAD]]=0, "AGOTADO", IF(GENERAL[[#This Row],[CANTIDAD]]&lt;VLOOKUP(GENERAL[[#This Row],[CODIGO]], PRODUCTOS[#All], 3, FALSE), "MENOR AL MINIMO", "")), "")</f>
        <v>AGOTADO</v>
      </c>
      <c r="F610" s="39">
        <f>IF(OR(GENERAL[[#This Row],[CODIGO]]="", GENERAL[[#This Row],[CANTIDAD]]=""), "", VLOOKUP(GENERAL[[#This Row],[CODIGO]], PRODUCTOS[#All], 4, FALSE) * GENERAL[[#This Row],[CANTIDAD]])</f>
        <v>0</v>
      </c>
      <c r="T610" s="8"/>
    </row>
    <row r="611" spans="2:20" x14ac:dyDescent="0.2">
      <c r="B611" s="11" t="str">
        <f>IF(PRODUCTOS[[#This Row],[CODIGO]]="", "", PRODUCTOS[[#This Row],[CODIGO]])</f>
        <v>MACO-DESENG-046</v>
      </c>
      <c r="C611" s="6" t="str">
        <f>IF(GENERAL[[#This Row],[CODIGO]]="", "", VLOOKUP(GENERAL[[#This Row],[CODIGO]], PRODUCTOS[#All], 2, FALSE))</f>
        <v>Desengrasante automotriz 2L</v>
      </c>
      <c r="D61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11" s="28" t="str">
        <f>IFERROR(IF(GENERAL[[#This Row],[CANTIDAD]]=0, "AGOTADO", IF(GENERAL[[#This Row],[CANTIDAD]]&lt;VLOOKUP(GENERAL[[#This Row],[CODIGO]], PRODUCTOS[#All], 3, FALSE), "MENOR AL MINIMO", "")), "")</f>
        <v>AGOTADO</v>
      </c>
      <c r="F611" s="39">
        <f>IF(OR(GENERAL[[#This Row],[CODIGO]]="", GENERAL[[#This Row],[CANTIDAD]]=""), "", VLOOKUP(GENERAL[[#This Row],[CODIGO]], PRODUCTOS[#All], 4, FALSE) * GENERAL[[#This Row],[CANTIDAD]])</f>
        <v>0</v>
      </c>
      <c r="T611" s="8"/>
    </row>
    <row r="612" spans="2:20" x14ac:dyDescent="0.2">
      <c r="B612" s="11" t="str">
        <f>IF(PRODUCTOS[[#This Row],[CODIGO]]="", "", PRODUCTOS[[#This Row],[CODIGO]])</f>
        <v>MACO-DISABRC-4</v>
      </c>
      <c r="C612" s="6" t="str">
        <f>IF(GENERAL[[#This Row],[CODIGO]]="", "", VLOOKUP(GENERAL[[#This Row],[CODIGO]], PRODUCTOS[#All], 2, FALSE))</f>
        <v>Disco abrasivo para corte 4"</v>
      </c>
      <c r="D61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12" s="28" t="str">
        <f>IFERROR(IF(GENERAL[[#This Row],[CANTIDAD]]=0, "AGOTADO", IF(GENERAL[[#This Row],[CANTIDAD]]&lt;VLOOKUP(GENERAL[[#This Row],[CODIGO]], PRODUCTOS[#All], 3, FALSE), "MENOR AL MINIMO", "")), "")</f>
        <v>AGOTADO</v>
      </c>
      <c r="F612" s="39">
        <f>IF(OR(GENERAL[[#This Row],[CODIGO]]="", GENERAL[[#This Row],[CANTIDAD]]=""), "", VLOOKUP(GENERAL[[#This Row],[CODIGO]], PRODUCTOS[#All], 4, FALSE) * GENERAL[[#This Row],[CANTIDAD]])</f>
        <v>0</v>
      </c>
      <c r="T612" s="8"/>
    </row>
    <row r="613" spans="2:20" x14ac:dyDescent="0.2">
      <c r="B613" s="11" t="str">
        <f>IF(PRODUCTOS[[#This Row],[CODIGO]]="", "", PRODUCTOS[[#This Row],[CODIGO]])</f>
        <v>MACO-DISCO-4</v>
      </c>
      <c r="C613" s="6" t="str">
        <f>IF(GENERAL[[#This Row],[CODIGO]]="", "", VLOOKUP(GENERAL[[#This Row],[CODIGO]], PRODUCTOS[#All], 2, FALSE))</f>
        <v>Disco de corte 4" - 1/2 x 3/64 x 7/8</v>
      </c>
      <c r="D61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13" s="28" t="str">
        <f>IFERROR(IF(GENERAL[[#This Row],[CANTIDAD]]=0, "AGOTADO", IF(GENERAL[[#This Row],[CANTIDAD]]&lt;VLOOKUP(GENERAL[[#This Row],[CODIGO]], PRODUCTOS[#All], 3, FALSE), "MENOR AL MINIMO", "")), "")</f>
        <v>AGOTADO</v>
      </c>
      <c r="F613" s="39">
        <f>IF(OR(GENERAL[[#This Row],[CODIGO]]="", GENERAL[[#This Row],[CANTIDAD]]=""), "", VLOOKUP(GENERAL[[#This Row],[CODIGO]], PRODUCTOS[#All], 4, FALSE) * GENERAL[[#This Row],[CANTIDAD]])</f>
        <v>0</v>
      </c>
      <c r="T613" s="8"/>
    </row>
    <row r="614" spans="2:20" x14ac:dyDescent="0.2">
      <c r="B614" s="11" t="str">
        <f>IF(PRODUCTOS[[#This Row],[CODIGO]]="", "", PRODUCTOS[[#This Row],[CODIGO]])</f>
        <v>MACO-DISDE-S-4</v>
      </c>
      <c r="C614" s="6" t="str">
        <f>IF(GENERAL[[#This Row],[CODIGO]]="", "", VLOOKUP(GENERAL[[#This Row],[CODIGO]], PRODUCTOS[#All], 2, FALSE))</f>
        <v xml:space="preserve">Discos de desvaste marca makita 4"- 1/2 x 1/4 x 7/8 </v>
      </c>
      <c r="D61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14" s="28" t="str">
        <f>IFERROR(IF(GENERAL[[#This Row],[CANTIDAD]]=0, "AGOTADO", IF(GENERAL[[#This Row],[CANTIDAD]]&lt;VLOOKUP(GENERAL[[#This Row],[CODIGO]], PRODUCTOS[#All], 3, FALSE), "MENOR AL MINIMO", "")), "")</f>
        <v>AGOTADO</v>
      </c>
      <c r="F614" s="39">
        <f>IF(OR(GENERAL[[#This Row],[CODIGO]]="", GENERAL[[#This Row],[CANTIDAD]]=""), "", VLOOKUP(GENERAL[[#This Row],[CODIGO]], PRODUCTOS[#All], 4, FALSE) * GENERAL[[#This Row],[CANTIDAD]])</f>
        <v>0</v>
      </c>
      <c r="T614" s="8"/>
    </row>
    <row r="615" spans="2:20" x14ac:dyDescent="0.2">
      <c r="B615" s="11" t="str">
        <f>IF(PRODUCTOS[[#This Row],[CODIGO]]="", "", PRODUCTOS[[#This Row],[CODIGO]])</f>
        <v>MACO-DISDIA-412</v>
      </c>
      <c r="C615" s="6" t="str">
        <f>IF(GENERAL[[#This Row],[CODIGO]]="", "", VLOOKUP(GENERAL[[#This Row],[CODIGO]], PRODUCTOS[#All], 2, FALSE))</f>
        <v>Disco de diamamante 4 1/2"</v>
      </c>
      <c r="D61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15" s="28" t="str">
        <f>IFERROR(IF(GENERAL[[#This Row],[CANTIDAD]]=0, "AGOTADO", IF(GENERAL[[#This Row],[CANTIDAD]]&lt;VLOOKUP(GENERAL[[#This Row],[CODIGO]], PRODUCTOS[#All], 3, FALSE), "MENOR AL MINIMO", "")), "")</f>
        <v>AGOTADO</v>
      </c>
      <c r="F615" s="39">
        <f>IF(OR(GENERAL[[#This Row],[CODIGO]]="", GENERAL[[#This Row],[CANTIDAD]]=""), "", VLOOKUP(GENERAL[[#This Row],[CODIGO]], PRODUCTOS[#All], 4, FALSE) * GENERAL[[#This Row],[CANTIDAD]])</f>
        <v>0</v>
      </c>
      <c r="T615" s="8"/>
    </row>
    <row r="616" spans="2:20" x14ac:dyDescent="0.2">
      <c r="B616" s="11" t="str">
        <f>IF(PRODUCTOS[[#This Row],[CODIGO]]="", "", PRODUCTOS[[#This Row],[CODIGO]])</f>
        <v>MACO-E6013-18</v>
      </c>
      <c r="C616" s="6" t="str">
        <f>IF(GENERAL[[#This Row],[CODIGO]]="", "", VLOOKUP(GENERAL[[#This Row],[CODIGO]], PRODUCTOS[#All], 2, FALSE))</f>
        <v>Electrodo 6013 1/8</v>
      </c>
      <c r="D61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16" s="28" t="str">
        <f>IFERROR(IF(GENERAL[[#This Row],[CANTIDAD]]=0, "AGOTADO", IF(GENERAL[[#This Row],[CANTIDAD]]&lt;VLOOKUP(GENERAL[[#This Row],[CODIGO]], PRODUCTOS[#All], 3, FALSE), "MENOR AL MINIMO", "")), "")</f>
        <v>AGOTADO</v>
      </c>
      <c r="F616" s="39">
        <f>IF(OR(GENERAL[[#This Row],[CODIGO]]="", GENERAL[[#This Row],[CANTIDAD]]=""), "", VLOOKUP(GENERAL[[#This Row],[CODIGO]], PRODUCTOS[#All], 4, FALSE) * GENERAL[[#This Row],[CANTIDAD]])</f>
        <v>0</v>
      </c>
      <c r="T616" s="8"/>
    </row>
    <row r="617" spans="2:20" x14ac:dyDescent="0.2">
      <c r="B617" s="11" t="str">
        <f>IF(PRODUCTOS[[#This Row],[CODIGO]]="", "", PRODUCTOS[[#This Row],[CODIGO]])</f>
        <v>MACO-E6013-316</v>
      </c>
      <c r="C617" s="6" t="str">
        <f>IF(GENERAL[[#This Row],[CODIGO]]="", "", VLOOKUP(GENERAL[[#This Row],[CODIGO]], PRODUCTOS[#All], 2, FALSE))</f>
        <v xml:space="preserve">Electrodo 6013 3/16 </v>
      </c>
      <c r="D61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17" s="28" t="str">
        <f>IFERROR(IF(GENERAL[[#This Row],[CANTIDAD]]=0, "AGOTADO", IF(GENERAL[[#This Row],[CANTIDAD]]&lt;VLOOKUP(GENERAL[[#This Row],[CODIGO]], PRODUCTOS[#All], 3, FALSE), "MENOR AL MINIMO", "")), "")</f>
        <v>AGOTADO</v>
      </c>
      <c r="F617" s="39">
        <f>IF(OR(GENERAL[[#This Row],[CODIGO]]="", GENERAL[[#This Row],[CANTIDAD]]=""), "", VLOOKUP(GENERAL[[#This Row],[CODIGO]], PRODUCTOS[#All], 4, FALSE) * GENERAL[[#This Row],[CANTIDAD]])</f>
        <v>0</v>
      </c>
      <c r="T617" s="8"/>
    </row>
    <row r="618" spans="2:20" x14ac:dyDescent="0.2">
      <c r="B618" s="11" t="str">
        <f>IF(PRODUCTOS[[#This Row],[CODIGO]]="", "", PRODUCTOS[[#This Row],[CODIGO]])</f>
        <v>MACO-E7018-18</v>
      </c>
      <c r="C618" s="6" t="str">
        <f>IF(GENERAL[[#This Row],[CODIGO]]="", "", VLOOKUP(GENERAL[[#This Row],[CODIGO]], PRODUCTOS[#All], 2, FALSE))</f>
        <v>electrodo 7018 1/8</v>
      </c>
      <c r="D61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18" s="28" t="str">
        <f>IFERROR(IF(GENERAL[[#This Row],[CANTIDAD]]=0, "AGOTADO", IF(GENERAL[[#This Row],[CANTIDAD]]&lt;VLOOKUP(GENERAL[[#This Row],[CODIGO]], PRODUCTOS[#All], 3, FALSE), "MENOR AL MINIMO", "")), "")</f>
        <v>AGOTADO</v>
      </c>
      <c r="F618" s="39">
        <f>IF(OR(GENERAL[[#This Row],[CODIGO]]="", GENERAL[[#This Row],[CANTIDAD]]=""), "", VLOOKUP(GENERAL[[#This Row],[CODIGO]], PRODUCTOS[#All], 4, FALSE) * GENERAL[[#This Row],[CANTIDAD]])</f>
        <v>0</v>
      </c>
      <c r="T618" s="8"/>
    </row>
    <row r="619" spans="2:20" x14ac:dyDescent="0.2">
      <c r="B619" s="11" t="str">
        <f>IF(PRODUCTOS[[#This Row],[CODIGO]]="", "", PRODUCTOS[[#This Row],[CODIGO]])</f>
        <v>MACO-E7018-532</v>
      </c>
      <c r="C619" s="6" t="str">
        <f>IF(GENERAL[[#This Row],[CODIGO]]="", "", VLOOKUP(GENERAL[[#This Row],[CODIGO]], PRODUCTOS[#All], 2, FALSE))</f>
        <v>Electrodo 7018 5/32</v>
      </c>
      <c r="D61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19" s="28" t="str">
        <f>IFERROR(IF(GENERAL[[#This Row],[CANTIDAD]]=0, "AGOTADO", IF(GENERAL[[#This Row],[CANTIDAD]]&lt;VLOOKUP(GENERAL[[#This Row],[CODIGO]], PRODUCTOS[#All], 3, FALSE), "MENOR AL MINIMO", "")), "")</f>
        <v>AGOTADO</v>
      </c>
      <c r="F619" s="39">
        <f>IF(OR(GENERAL[[#This Row],[CODIGO]]="", GENERAL[[#This Row],[CANTIDAD]]=""), "", VLOOKUP(GENERAL[[#This Row],[CODIGO]], PRODUCTOS[#All], 4, FALSE) * GENERAL[[#This Row],[CANTIDAD]])</f>
        <v>0</v>
      </c>
      <c r="T619" s="8"/>
    </row>
    <row r="620" spans="2:20" x14ac:dyDescent="0.2">
      <c r="B620" s="11" t="str">
        <f>IF(PRODUCTOS[[#This Row],[CODIGO]]="", "", PRODUCTOS[[#This Row],[CODIGO]])</f>
        <v>MACO-EBRO-18</v>
      </c>
      <c r="C620" s="6" t="str">
        <f>IF(GENERAL[[#This Row],[CODIGO]]="", "", VLOOKUP(GENERAL[[#This Row],[CODIGO]], PRODUCTOS[#All], 2, FALSE))</f>
        <v>Electrodo bronce 1/8</v>
      </c>
      <c r="D62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20" s="28" t="str">
        <f>IFERROR(IF(GENERAL[[#This Row],[CANTIDAD]]=0, "AGOTADO", IF(GENERAL[[#This Row],[CANTIDAD]]&lt;VLOOKUP(GENERAL[[#This Row],[CODIGO]], PRODUCTOS[#All], 3, FALSE), "MENOR AL MINIMO", "")), "")</f>
        <v>AGOTADO</v>
      </c>
      <c r="F620" s="39">
        <f>IF(OR(GENERAL[[#This Row],[CODIGO]]="", GENERAL[[#This Row],[CANTIDAD]]=""), "", VLOOKUP(GENERAL[[#This Row],[CODIGO]], PRODUCTOS[#All], 4, FALSE) * GENERAL[[#This Row],[CANTIDAD]])</f>
        <v>0</v>
      </c>
      <c r="T620" s="8"/>
    </row>
    <row r="621" spans="2:20" x14ac:dyDescent="0.2">
      <c r="B621" s="11" t="str">
        <f>IF(PRODUCTOS[[#This Row],[CODIGO]]="", "", PRODUCTOS[[#This Row],[CODIGO]])</f>
        <v>MACO-EMBU-069</v>
      </c>
      <c r="C621" s="6" t="str">
        <f>IF(GENERAL[[#This Row],[CODIGO]]="", "", VLOOKUP(GENERAL[[#This Row],[CODIGO]], PRODUCTOS[#All], 2, FALSE))</f>
        <v xml:space="preserve">Embudo </v>
      </c>
      <c r="D62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21" s="28" t="str">
        <f>IFERROR(IF(GENERAL[[#This Row],[CANTIDAD]]=0, "AGOTADO", IF(GENERAL[[#This Row],[CANTIDAD]]&lt;VLOOKUP(GENERAL[[#This Row],[CODIGO]], PRODUCTOS[#All], 3, FALSE), "MENOR AL MINIMO", "")), "")</f>
        <v>AGOTADO</v>
      </c>
      <c r="F621" s="39">
        <f>IF(OR(GENERAL[[#This Row],[CODIGO]]="", GENERAL[[#This Row],[CANTIDAD]]=""), "", VLOOKUP(GENERAL[[#This Row],[CODIGO]], PRODUCTOS[#All], 4, FALSE) * GENERAL[[#This Row],[CANTIDAD]])</f>
        <v>0</v>
      </c>
      <c r="T621" s="8"/>
    </row>
    <row r="622" spans="2:20" x14ac:dyDescent="0.2">
      <c r="B622" s="11" t="str">
        <f>IF(PRODUCTOS[[#This Row],[CODIGO]]="", "", PRODUCTOS[[#This Row],[CODIGO]])</f>
        <v>MACO-ENDUR-044</v>
      </c>
      <c r="C622" s="6" t="str">
        <f>IF(GENERAL[[#This Row],[CODIGO]]="", "", VLOOKUP(GENERAL[[#This Row],[CODIGO]], PRODUCTOS[#All], 2, FALSE))</f>
        <v xml:space="preserve">Endurecedor </v>
      </c>
      <c r="D62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22" s="28" t="str">
        <f>IFERROR(IF(GENERAL[[#This Row],[CANTIDAD]]=0, "AGOTADO", IF(GENERAL[[#This Row],[CANTIDAD]]&lt;VLOOKUP(GENERAL[[#This Row],[CODIGO]], PRODUCTOS[#All], 3, FALSE), "MENOR AL MINIMO", "")), "")</f>
        <v>AGOTADO</v>
      </c>
      <c r="F622" s="39">
        <f>IF(OR(GENERAL[[#This Row],[CODIGO]]="", GENERAL[[#This Row],[CANTIDAD]]=""), "", VLOOKUP(GENERAL[[#This Row],[CODIGO]], PRODUCTOS[#All], 4, FALSE) * GENERAL[[#This Row],[CANTIDAD]])</f>
        <v>0</v>
      </c>
      <c r="T622" s="8"/>
    </row>
    <row r="623" spans="2:20" x14ac:dyDescent="0.2">
      <c r="B623" s="11" t="str">
        <f>IF(PRODUCTOS[[#This Row],[CODIGO]]="", "", PRODUCTOS[[#This Row],[CODIGO]])</f>
        <v>MACO-ESMA-045</v>
      </c>
      <c r="C623" s="6" t="str">
        <f>IF(GENERAL[[#This Row],[CODIGO]]="", "", VLOOKUP(GENERAL[[#This Row],[CODIGO]], PRODUCTOS[#All], 2, FALSE))</f>
        <v xml:space="preserve">Esmalte </v>
      </c>
      <c r="D62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23" s="28" t="str">
        <f>IFERROR(IF(GENERAL[[#This Row],[CANTIDAD]]=0, "AGOTADO", IF(GENERAL[[#This Row],[CANTIDAD]]&lt;VLOOKUP(GENERAL[[#This Row],[CODIGO]], PRODUCTOS[#All], 3, FALSE), "MENOR AL MINIMO", "")), "")</f>
        <v>AGOTADO</v>
      </c>
      <c r="F623" s="39">
        <f>IF(OR(GENERAL[[#This Row],[CODIGO]]="", GENERAL[[#This Row],[CANTIDAD]]=""), "", VLOOKUP(GENERAL[[#This Row],[CODIGO]], PRODUCTOS[#All], 4, FALSE) * GENERAL[[#This Row],[CANTIDAD]])</f>
        <v>0</v>
      </c>
      <c r="T623" s="8"/>
    </row>
    <row r="624" spans="2:20" x14ac:dyDescent="0.2">
      <c r="B624" s="11" t="str">
        <f>IF(PRODUCTOS[[#This Row],[CODIGO]]="", "", PRODUCTOS[[#This Row],[CODIGO]])</f>
        <v>MACO-ESMACO-045</v>
      </c>
      <c r="C624" s="6" t="str">
        <f>IF(GENERAL[[#This Row],[CODIGO]]="", "", VLOOKUP(GENERAL[[#This Row],[CODIGO]], PRODUCTOS[#All], 2, FALSE))</f>
        <v>Esmaltes comex 4L</v>
      </c>
      <c r="D62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24" s="28" t="str">
        <f>IFERROR(IF(GENERAL[[#This Row],[CANTIDAD]]=0, "AGOTADO", IF(GENERAL[[#This Row],[CANTIDAD]]&lt;VLOOKUP(GENERAL[[#This Row],[CODIGO]], PRODUCTOS[#All], 3, FALSE), "MENOR AL MINIMO", "")), "")</f>
        <v>AGOTADO</v>
      </c>
      <c r="F624" s="39">
        <f>IF(OR(GENERAL[[#This Row],[CODIGO]]="", GENERAL[[#This Row],[CANTIDAD]]=""), "", VLOOKUP(GENERAL[[#This Row],[CODIGO]], PRODUCTOS[#All], 4, FALSE) * GENERAL[[#This Row],[CANTIDAD]])</f>
        <v>0</v>
      </c>
      <c r="T624" s="8"/>
    </row>
    <row r="625" spans="2:20" x14ac:dyDescent="0.2">
      <c r="B625" s="11" t="str">
        <f>IF(PRODUCTOS[[#This Row],[CODIGO]]="", "", PRODUCTOS[[#This Row],[CODIGO]])</f>
        <v>MACO-ESMALQU-051</v>
      </c>
      <c r="C625" s="6" t="str">
        <f>IF(GENERAL[[#This Row],[CODIGO]]="", "", VLOOKUP(GENERAL[[#This Row],[CODIGO]], PRODUCTOS[#All], 2, FALSE))</f>
        <v>Esmalte alquidalico 1l</v>
      </c>
      <c r="D62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25" s="28" t="str">
        <f>IFERROR(IF(GENERAL[[#This Row],[CANTIDAD]]=0, "AGOTADO", IF(GENERAL[[#This Row],[CANTIDAD]]&lt;VLOOKUP(GENERAL[[#This Row],[CODIGO]], PRODUCTOS[#All], 3, FALSE), "MENOR AL MINIMO", "")), "")</f>
        <v>AGOTADO</v>
      </c>
      <c r="F625" s="39">
        <f>IF(OR(GENERAL[[#This Row],[CODIGO]]="", GENERAL[[#This Row],[CANTIDAD]]=""), "", VLOOKUP(GENERAL[[#This Row],[CODIGO]], PRODUCTOS[#All], 4, FALSE) * GENERAL[[#This Row],[CANTIDAD]])</f>
        <v>0</v>
      </c>
      <c r="T625" s="8"/>
    </row>
    <row r="626" spans="2:20" x14ac:dyDescent="0.2">
      <c r="B626" s="11" t="str">
        <f>IF(PRODUCTOS[[#This Row],[CODIGO]]="", "", PRODUCTOS[[#This Row],[CODIGO]])</f>
        <v>MACO-ESMCO-048</v>
      </c>
      <c r="C626" s="6" t="str">
        <f>IF(GENERAL[[#This Row],[CODIGO]]="", "", VLOOKUP(GENERAL[[#This Row],[CODIGO]], PRODUCTOS[#All], 2, FALSE))</f>
        <v>Esmaltes comex 1L</v>
      </c>
      <c r="D62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26" s="28" t="str">
        <f>IFERROR(IF(GENERAL[[#This Row],[CANTIDAD]]=0, "AGOTADO", IF(GENERAL[[#This Row],[CANTIDAD]]&lt;VLOOKUP(GENERAL[[#This Row],[CODIGO]], PRODUCTOS[#All], 3, FALSE), "MENOR AL MINIMO", "")), "")</f>
        <v>AGOTADO</v>
      </c>
      <c r="F626" s="39">
        <f>IF(OR(GENERAL[[#This Row],[CODIGO]]="", GENERAL[[#This Row],[CANTIDAD]]=""), "", VLOOKUP(GENERAL[[#This Row],[CODIGO]], PRODUCTOS[#All], 4, FALSE) * GENERAL[[#This Row],[CANTIDAD]])</f>
        <v>0</v>
      </c>
      <c r="T626" s="8"/>
    </row>
    <row r="627" spans="2:20" x14ac:dyDescent="0.2">
      <c r="B627" s="11" t="str">
        <f>IF(PRODUCTOS[[#This Row],[CODIGO]]="", "", PRODUCTOS[[#This Row],[CODIGO]])</f>
        <v>MACO-ESPA-031</v>
      </c>
      <c r="C627" s="6" t="str">
        <f>IF(GENERAL[[#This Row],[CODIGO]]="", "", VLOOKUP(GENERAL[[#This Row],[CODIGO]], PRODUCTOS[#All], 2, FALSE))</f>
        <v xml:space="preserve">espatulas </v>
      </c>
      <c r="D62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27" s="28" t="str">
        <f>IFERROR(IF(GENERAL[[#This Row],[CANTIDAD]]=0, "AGOTADO", IF(GENERAL[[#This Row],[CANTIDAD]]&lt;VLOOKUP(GENERAL[[#This Row],[CODIGO]], PRODUCTOS[#All], 3, FALSE), "MENOR AL MINIMO", "")), "")</f>
        <v>AGOTADO</v>
      </c>
      <c r="F627" s="39">
        <f>IF(OR(GENERAL[[#This Row],[CODIGO]]="", GENERAL[[#This Row],[CANTIDAD]]=""), "", VLOOKUP(GENERAL[[#This Row],[CODIGO]], PRODUCTOS[#All], 4, FALSE) * GENERAL[[#This Row],[CANTIDAD]])</f>
        <v>0</v>
      </c>
      <c r="T627" s="8"/>
    </row>
    <row r="628" spans="2:20" x14ac:dyDescent="0.2">
      <c r="B628" s="11" t="str">
        <f>IF(PRODUCTOS[[#This Row],[CODIGO]]="", "", PRODUCTOS[[#This Row],[CODIGO]])</f>
        <v>MACO-ESPEXP-027</v>
      </c>
      <c r="C628" s="6" t="str">
        <f>IF(GENERAL[[#This Row],[CODIGO]]="", "", VLOOKUP(GENERAL[[#This Row],[CODIGO]], PRODUCTOS[#All], 2, FALSE))</f>
        <v xml:space="preserve">Espuma expansiva </v>
      </c>
      <c r="D62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28" s="28" t="str">
        <f>IFERROR(IF(GENERAL[[#This Row],[CANTIDAD]]=0, "AGOTADO", IF(GENERAL[[#This Row],[CANTIDAD]]&lt;VLOOKUP(GENERAL[[#This Row],[CODIGO]], PRODUCTOS[#All], 3, FALSE), "MENOR AL MINIMO", "")), "")</f>
        <v>AGOTADO</v>
      </c>
      <c r="F628" s="39">
        <f>IF(OR(GENERAL[[#This Row],[CODIGO]]="", GENERAL[[#This Row],[CANTIDAD]]=""), "", VLOOKUP(GENERAL[[#This Row],[CODIGO]], PRODUCTOS[#All], 4, FALSE) * GENERAL[[#This Row],[CANTIDAD]])</f>
        <v>0</v>
      </c>
      <c r="T628" s="8"/>
    </row>
    <row r="629" spans="2:20" x14ac:dyDescent="0.2">
      <c r="B629" s="11" t="str">
        <f>IF(PRODUCTOS[[#This Row],[CODIGO]]="", "", PRODUCTOS[[#This Row],[CODIGO]])</f>
        <v>MACO-ESPLIM-068</v>
      </c>
      <c r="C629" s="6" t="str">
        <f>IF(GENERAL[[#This Row],[CODIGO]]="", "", VLOOKUP(GENERAL[[#This Row],[CODIGO]], PRODUCTOS[#All], 2, FALSE))</f>
        <v xml:space="preserve">Espuma limpiadora </v>
      </c>
      <c r="D62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29" s="28" t="str">
        <f>IFERROR(IF(GENERAL[[#This Row],[CANTIDAD]]=0, "AGOTADO", IF(GENERAL[[#This Row],[CANTIDAD]]&lt;VLOOKUP(GENERAL[[#This Row],[CODIGO]], PRODUCTOS[#All], 3, FALSE), "MENOR AL MINIMO", "")), "")</f>
        <v>AGOTADO</v>
      </c>
      <c r="F629" s="39">
        <f>IF(OR(GENERAL[[#This Row],[CODIGO]]="", GENERAL[[#This Row],[CANTIDAD]]=""), "", VLOOKUP(GENERAL[[#This Row],[CODIGO]], PRODUCTOS[#All], 4, FALSE) * GENERAL[[#This Row],[CANTIDAD]])</f>
        <v>0</v>
      </c>
      <c r="T629" s="8"/>
    </row>
    <row r="630" spans="2:20" x14ac:dyDescent="0.2">
      <c r="B630" s="11" t="str">
        <f>IF(PRODUCTOS[[#This Row],[CODIGO]]="", "", PRODUCTOS[[#This Row],[CODIGO]])</f>
        <v>MACO-FARO7-076</v>
      </c>
      <c r="C630" s="6" t="str">
        <f>IF(GENERAL[[#This Row],[CODIGO]]="", "", VLOOKUP(GENERAL[[#This Row],[CODIGO]], PRODUCTOS[#All], 2, FALSE))</f>
        <v xml:space="preserve">Faro lea unidad de 7" halio turbo </v>
      </c>
      <c r="D63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30" s="28" t="str">
        <f>IFERROR(IF(GENERAL[[#This Row],[CANTIDAD]]=0, "AGOTADO", IF(GENERAL[[#This Row],[CANTIDAD]]&lt;VLOOKUP(GENERAL[[#This Row],[CODIGO]], PRODUCTOS[#All], 3, FALSE), "MENOR AL MINIMO", "")), "")</f>
        <v>AGOTADO</v>
      </c>
      <c r="F630" s="39">
        <f>IF(OR(GENERAL[[#This Row],[CODIGO]]="", GENERAL[[#This Row],[CANTIDAD]]=""), "", VLOOKUP(GENERAL[[#This Row],[CODIGO]], PRODUCTOS[#All], 4, FALSE) * GENERAL[[#This Row],[CANTIDAD]])</f>
        <v>0</v>
      </c>
      <c r="T630" s="8"/>
    </row>
    <row r="631" spans="2:20" x14ac:dyDescent="0.2">
      <c r="B631" s="11" t="str">
        <f>IF(PRODUCTOS[[#This Row],[CODIGO]]="", "", PRODUCTOS[[#This Row],[CODIGO]])</f>
        <v>MACO-FLEJ-12</v>
      </c>
      <c r="C631" s="6" t="str">
        <f>IF(GENERAL[[#This Row],[CODIGO]]="", "", VLOOKUP(GENERAL[[#This Row],[CODIGO]], PRODUCTOS[#All], 2, FALSE))</f>
        <v>Flejadora 1/2</v>
      </c>
      <c r="D63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31" s="28" t="str">
        <f>IFERROR(IF(GENERAL[[#This Row],[CANTIDAD]]=0, "AGOTADO", IF(GENERAL[[#This Row],[CANTIDAD]]&lt;VLOOKUP(GENERAL[[#This Row],[CODIGO]], PRODUCTOS[#All], 3, FALSE), "MENOR AL MINIMO", "")), "")</f>
        <v>AGOTADO</v>
      </c>
      <c r="F631" s="39">
        <f>IF(OR(GENERAL[[#This Row],[CODIGO]]="", GENERAL[[#This Row],[CANTIDAD]]=""), "", VLOOKUP(GENERAL[[#This Row],[CODIGO]], PRODUCTOS[#All], 4, FALSE) * GENERAL[[#This Row],[CANTIDAD]])</f>
        <v>0</v>
      </c>
      <c r="T631" s="8"/>
    </row>
    <row r="632" spans="2:20" x14ac:dyDescent="0.2">
      <c r="B632" s="11" t="str">
        <f>IF(PRODUCTOS[[#This Row],[CODIGO]]="", "", PRODUCTOS[[#This Row],[CODIGO]])</f>
        <v>MACO-FLEJ-34</v>
      </c>
      <c r="C632" s="6" t="str">
        <f>IF(GENERAL[[#This Row],[CODIGO]]="", "", VLOOKUP(GENERAL[[#This Row],[CODIGO]], PRODUCTOS[#All], 2, FALSE))</f>
        <v>Flejadora 3/4</v>
      </c>
      <c r="D63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32" s="28" t="str">
        <f>IFERROR(IF(GENERAL[[#This Row],[CANTIDAD]]=0, "AGOTADO", IF(GENERAL[[#This Row],[CANTIDAD]]&lt;VLOOKUP(GENERAL[[#This Row],[CODIGO]], PRODUCTOS[#All], 3, FALSE), "MENOR AL MINIMO", "")), "")</f>
        <v>AGOTADO</v>
      </c>
      <c r="F632" s="39">
        <f>IF(OR(GENERAL[[#This Row],[CODIGO]]="", GENERAL[[#This Row],[CANTIDAD]]=""), "", VLOOKUP(GENERAL[[#This Row],[CODIGO]], PRODUCTOS[#All], 4, FALSE) * GENERAL[[#This Row],[CANTIDAD]])</f>
        <v>0</v>
      </c>
      <c r="T632" s="8"/>
    </row>
    <row r="633" spans="2:20" x14ac:dyDescent="0.2">
      <c r="B633" s="11" t="str">
        <f>IF(PRODUCTOS[[#This Row],[CODIGO]]="", "", PRODUCTOS[[#This Row],[CODIGO]])</f>
        <v>MACO-GANRE-086</v>
      </c>
      <c r="C633" s="6" t="str">
        <f>IF(GENERAL[[#This Row],[CODIGO]]="", "", VLOOKUP(GENERAL[[#This Row],[CODIGO]], PRODUCTOS[#All], 2, FALSE))</f>
        <v xml:space="preserve">Gancho para retenida </v>
      </c>
      <c r="D63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33" s="28" t="str">
        <f>IFERROR(IF(GENERAL[[#This Row],[CANTIDAD]]=0, "AGOTADO", IF(GENERAL[[#This Row],[CANTIDAD]]&lt;VLOOKUP(GENERAL[[#This Row],[CODIGO]], PRODUCTOS[#All], 3, FALSE), "MENOR AL MINIMO", "")), "")</f>
        <v>AGOTADO</v>
      </c>
      <c r="F633" s="39">
        <f>IF(OR(GENERAL[[#This Row],[CODIGO]]="", GENERAL[[#This Row],[CANTIDAD]]=""), "", VLOOKUP(GENERAL[[#This Row],[CODIGO]], PRODUCTOS[#All], 4, FALSE) * GENERAL[[#This Row],[CANTIDAD]])</f>
        <v>0</v>
      </c>
      <c r="T633" s="8"/>
    </row>
    <row r="634" spans="2:20" x14ac:dyDescent="0.2">
      <c r="B634" s="11" t="str">
        <f>IF(PRODUCTOS[[#This Row],[CODIGO]]="", "", PRODUCTOS[[#This Row],[CODIGO]])</f>
        <v>MACO-GRAFLE-12</v>
      </c>
      <c r="C634" s="6" t="str">
        <f>IF(GENERAL[[#This Row],[CODIGO]]="", "", VLOOKUP(GENERAL[[#This Row],[CODIGO]], PRODUCTOS[#All], 2, FALSE))</f>
        <v>Grapas para flejes 1/2</v>
      </c>
      <c r="D63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34" s="28" t="str">
        <f>IFERROR(IF(GENERAL[[#This Row],[CANTIDAD]]=0, "AGOTADO", IF(GENERAL[[#This Row],[CANTIDAD]]&lt;VLOOKUP(GENERAL[[#This Row],[CODIGO]], PRODUCTOS[#All], 3, FALSE), "MENOR AL MINIMO", "")), "")</f>
        <v>AGOTADO</v>
      </c>
      <c r="F634" s="39">
        <f>IF(OR(GENERAL[[#This Row],[CODIGO]]="", GENERAL[[#This Row],[CANTIDAD]]=""), "", VLOOKUP(GENERAL[[#This Row],[CODIGO]], PRODUCTOS[#All], 4, FALSE) * GENERAL[[#This Row],[CANTIDAD]])</f>
        <v>0</v>
      </c>
      <c r="T634" s="8"/>
    </row>
    <row r="635" spans="2:20" x14ac:dyDescent="0.2">
      <c r="B635" s="11" t="str">
        <f>IF(PRODUCTOS[[#This Row],[CODIGO]]="", "", PRODUCTOS[[#This Row],[CODIGO]])</f>
        <v>MACO-GRAPS-095</v>
      </c>
      <c r="C635" s="6" t="str">
        <f>IF(GENERAL[[#This Row],[CODIGO]]="", "", VLOOKUP(GENERAL[[#This Row],[CODIGO]], PRODUCTOS[#All], 2, FALSE))</f>
        <v xml:space="preserve">Grapa central para panel solar </v>
      </c>
      <c r="D63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35" s="28" t="str">
        <f>IFERROR(IF(GENERAL[[#This Row],[CANTIDAD]]=0, "AGOTADO", IF(GENERAL[[#This Row],[CANTIDAD]]&lt;VLOOKUP(GENERAL[[#This Row],[CODIGO]], PRODUCTOS[#All], 3, FALSE), "MENOR AL MINIMO", "")), "")</f>
        <v>AGOTADO</v>
      </c>
      <c r="F635" s="39">
        <f>IF(OR(GENERAL[[#This Row],[CODIGO]]="", GENERAL[[#This Row],[CANTIDAD]]=""), "", VLOOKUP(GENERAL[[#This Row],[CODIGO]], PRODUCTOS[#All], 4, FALSE) * GENERAL[[#This Row],[CANTIDAD]])</f>
        <v>0</v>
      </c>
      <c r="T635" s="8"/>
    </row>
    <row r="636" spans="2:20" x14ac:dyDescent="0.2">
      <c r="B636" s="11" t="str">
        <f>IF(PRODUCTOS[[#This Row],[CODIGO]]="", "", PRODUCTOS[[#This Row],[CODIGO]])</f>
        <v>MACO-GRIDES-004</v>
      </c>
      <c r="C636" s="6" t="str">
        <f>IF(GENERAL[[#This Row],[CODIGO]]="", "", VLOOKUP(GENERAL[[#This Row],[CODIGO]], PRODUCTOS[#All], 2, FALSE))</f>
        <v xml:space="preserve">Grilla deslizante </v>
      </c>
      <c r="D63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36" s="28" t="str">
        <f>IFERROR(IF(GENERAL[[#This Row],[CANTIDAD]]=0, "AGOTADO", IF(GENERAL[[#This Row],[CANTIDAD]]&lt;VLOOKUP(GENERAL[[#This Row],[CODIGO]], PRODUCTOS[#All], 3, FALSE), "MENOR AL MINIMO", "")), "")</f>
        <v>AGOTADO</v>
      </c>
      <c r="F636" s="39">
        <f>IF(OR(GENERAL[[#This Row],[CODIGO]]="", GENERAL[[#This Row],[CANTIDAD]]=""), "", VLOOKUP(GENERAL[[#This Row],[CODIGO]], PRODUCTOS[#All], 4, FALSE) * GENERAL[[#This Row],[CANTIDAD]])</f>
        <v>0</v>
      </c>
      <c r="T636" s="8"/>
    </row>
    <row r="637" spans="2:20" x14ac:dyDescent="0.2">
      <c r="B637" s="11" t="str">
        <f>IF(PRODUCTOS[[#This Row],[CODIGO]]="", "", PRODUCTOS[[#This Row],[CODIGO]])</f>
        <v>MACO-GRILL-114</v>
      </c>
      <c r="C637" s="6" t="str">
        <f>IF(GENERAL[[#This Row],[CODIGO]]="", "", VLOOKUP(GENERAL[[#This Row],[CODIGO]], PRODUCTOS[#All], 2, FALSE))</f>
        <v>Grillete 1 1/4</v>
      </c>
      <c r="D63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37" s="28" t="str">
        <f>IFERROR(IF(GENERAL[[#This Row],[CANTIDAD]]=0, "AGOTADO", IF(GENERAL[[#This Row],[CANTIDAD]]&lt;VLOOKUP(GENERAL[[#This Row],[CODIGO]], PRODUCTOS[#All], 3, FALSE), "MENOR AL MINIMO", "")), "")</f>
        <v>AGOTADO</v>
      </c>
      <c r="F637" s="39">
        <f>IF(OR(GENERAL[[#This Row],[CODIGO]]="", GENERAL[[#This Row],[CANTIDAD]]=""), "", VLOOKUP(GENERAL[[#This Row],[CODIGO]], PRODUCTOS[#All], 4, FALSE) * GENERAL[[#This Row],[CANTIDAD]])</f>
        <v>0</v>
      </c>
      <c r="T637" s="8"/>
    </row>
    <row r="638" spans="2:20" x14ac:dyDescent="0.2">
      <c r="B638" s="11" t="str">
        <f>IF(PRODUCTOS[[#This Row],[CODIGO]]="", "", PRODUCTOS[[#This Row],[CODIGO]])</f>
        <v>MACO-GUACA-014</v>
      </c>
      <c r="C638" s="6" t="str">
        <f>IF(GENERAL[[#This Row],[CODIGO]]="", "", VLOOKUP(GENERAL[[#This Row],[CODIGO]], PRODUCTOS[#All], 2, FALSE))</f>
        <v>Guantes carnaza (pares)</v>
      </c>
      <c r="D63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38" s="28" t="str">
        <f>IFERROR(IF(GENERAL[[#This Row],[CANTIDAD]]=0, "AGOTADO", IF(GENERAL[[#This Row],[CANTIDAD]]&lt;VLOOKUP(GENERAL[[#This Row],[CODIGO]], PRODUCTOS[#All], 3, FALSE), "MENOR AL MINIMO", "")), "")</f>
        <v>AGOTADO</v>
      </c>
      <c r="F638" s="39">
        <f>IF(OR(GENERAL[[#This Row],[CODIGO]]="", GENERAL[[#This Row],[CANTIDAD]]=""), "", VLOOKUP(GENERAL[[#This Row],[CODIGO]], PRODUCTOS[#All], 4, FALSE) * GENERAL[[#This Row],[CANTIDAD]])</f>
        <v>0</v>
      </c>
      <c r="T638" s="8"/>
    </row>
    <row r="639" spans="2:20" x14ac:dyDescent="0.2">
      <c r="B639" s="11" t="str">
        <f>IF(PRODUCTOS[[#This Row],[CODIGO]]="", "", PRODUCTOS[[#This Row],[CODIGO]])</f>
        <v>MACO-GUALAT-015</v>
      </c>
      <c r="C639" s="6" t="str">
        <f>IF(GENERAL[[#This Row],[CODIGO]]="", "", VLOOKUP(GENERAL[[#This Row],[CODIGO]], PRODUCTOS[#All], 2, FALSE))</f>
        <v>Guantes latex (pares)</v>
      </c>
      <c r="D63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39" s="28" t="str">
        <f>IFERROR(IF(GENERAL[[#This Row],[CANTIDAD]]=0, "AGOTADO", IF(GENERAL[[#This Row],[CANTIDAD]]&lt;VLOOKUP(GENERAL[[#This Row],[CODIGO]], PRODUCTOS[#All], 3, FALSE), "MENOR AL MINIMO", "")), "")</f>
        <v>AGOTADO</v>
      </c>
      <c r="F639" s="39">
        <f>IF(OR(GENERAL[[#This Row],[CODIGO]]="", GENERAL[[#This Row],[CANTIDAD]]=""), "", VLOOKUP(GENERAL[[#This Row],[CODIGO]], PRODUCTOS[#All], 4, FALSE) * GENERAL[[#This Row],[CANTIDAD]])</f>
        <v>0</v>
      </c>
      <c r="T639" s="8"/>
    </row>
    <row r="640" spans="2:20" x14ac:dyDescent="0.2">
      <c r="B640" s="11" t="str">
        <f>IF(PRODUCTOS[[#This Row],[CODIGO]]="", "", PRODUCTOS[[#This Row],[CODIGO]])</f>
        <v>MACO-GUANIT-012</v>
      </c>
      <c r="C640" s="6" t="str">
        <f>IF(GENERAL[[#This Row],[CODIGO]]="", "", VLOOKUP(GENERAL[[#This Row],[CODIGO]], PRODUCTOS[#All], 2, FALSE))</f>
        <v>Guante nitrilo (pares)</v>
      </c>
      <c r="D64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40" s="28" t="str">
        <f>IFERROR(IF(GENERAL[[#This Row],[CANTIDAD]]=0, "AGOTADO", IF(GENERAL[[#This Row],[CANTIDAD]]&lt;VLOOKUP(GENERAL[[#This Row],[CODIGO]], PRODUCTOS[#All], 3, FALSE), "MENOR AL MINIMO", "")), "")</f>
        <v>AGOTADO</v>
      </c>
      <c r="F640" s="39">
        <f>IF(OR(GENERAL[[#This Row],[CODIGO]]="", GENERAL[[#This Row],[CANTIDAD]]=""), "", VLOOKUP(GENERAL[[#This Row],[CODIGO]], PRODUCTOS[#All], 4, FALSE) * GENERAL[[#This Row],[CANTIDAD]])</f>
        <v>0</v>
      </c>
      <c r="T640" s="8"/>
    </row>
    <row r="641" spans="2:20" x14ac:dyDescent="0.2">
      <c r="B641" s="11" t="str">
        <f>IF(PRODUCTOS[[#This Row],[CODIGO]]="", "", PRODUCTOS[[#This Row],[CODIGO]])</f>
        <v>MACO-GUARD-58</v>
      </c>
      <c r="C641" s="6" t="str">
        <f>IF(GENERAL[[#This Row],[CODIGO]]="", "", VLOOKUP(GENERAL[[#This Row],[CODIGO]], PRODUCTOS[#All], 2, FALSE))</f>
        <v>Guardacabos 5/8</v>
      </c>
      <c r="D64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41" s="28" t="str">
        <f>IFERROR(IF(GENERAL[[#This Row],[CANTIDAD]]=0, "AGOTADO", IF(GENERAL[[#This Row],[CANTIDAD]]&lt;VLOOKUP(GENERAL[[#This Row],[CODIGO]], PRODUCTOS[#All], 3, FALSE), "MENOR AL MINIMO", "")), "")</f>
        <v>AGOTADO</v>
      </c>
      <c r="F641" s="39">
        <f>IF(OR(GENERAL[[#This Row],[CODIGO]]="", GENERAL[[#This Row],[CANTIDAD]]=""), "", VLOOKUP(GENERAL[[#This Row],[CODIGO]], PRODUCTOS[#All], 4, FALSE) * GENERAL[[#This Row],[CANTIDAD]])</f>
        <v>0</v>
      </c>
      <c r="T641" s="8"/>
    </row>
    <row r="642" spans="2:20" x14ac:dyDescent="0.2">
      <c r="B642" s="11" t="str">
        <f>IF(PRODUCTOS[[#This Row],[CODIGO]]="", "", PRODUCTOS[[#This Row],[CODIGO]])</f>
        <v>MACO-GUASOLA-016</v>
      </c>
      <c r="C642" s="6" t="str">
        <f>IF(GENERAL[[#This Row],[CODIGO]]="", "", VLOOKUP(GENERAL[[#This Row],[CODIGO]], PRODUCTOS[#All], 2, FALSE))</f>
        <v>Guantes soldador azul (pares)</v>
      </c>
      <c r="D64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42" s="28" t="str">
        <f>IFERROR(IF(GENERAL[[#This Row],[CANTIDAD]]=0, "AGOTADO", IF(GENERAL[[#This Row],[CANTIDAD]]&lt;VLOOKUP(GENERAL[[#This Row],[CODIGO]], PRODUCTOS[#All], 3, FALSE), "MENOR AL MINIMO", "")), "")</f>
        <v>AGOTADO</v>
      </c>
      <c r="F642" s="39">
        <f>IF(OR(GENERAL[[#This Row],[CODIGO]]="", GENERAL[[#This Row],[CANTIDAD]]=""), "", VLOOKUP(GENERAL[[#This Row],[CODIGO]], PRODUCTOS[#All], 4, FALSE) * GENERAL[[#This Row],[CANTIDAD]])</f>
        <v>0</v>
      </c>
      <c r="T642" s="8"/>
    </row>
    <row r="643" spans="2:20" x14ac:dyDescent="0.2">
      <c r="B643" s="11" t="str">
        <f>IF(PRODUCTOS[[#This Row],[CODIGO]]="", "", PRODUCTOS[[#This Row],[CODIGO]])</f>
        <v>MACO-GUIRHO-071</v>
      </c>
      <c r="C643" s="6" t="str">
        <f>IF(GENERAL[[#This Row],[CODIGO]]="", "", VLOOKUP(GENERAL[[#This Row],[CODIGO]], PRODUCTOS[#All], 2, FALSE))</f>
        <v xml:space="preserve">Guiro honda </v>
      </c>
      <c r="D64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43" s="28" t="str">
        <f>IFERROR(IF(GENERAL[[#This Row],[CANTIDAD]]=0, "AGOTADO", IF(GENERAL[[#This Row],[CANTIDAD]]&lt;VLOOKUP(GENERAL[[#This Row],[CODIGO]], PRODUCTOS[#All], 3, FALSE), "MENOR AL MINIMO", "")), "")</f>
        <v>AGOTADO</v>
      </c>
      <c r="F643" s="39">
        <f>IF(OR(GENERAL[[#This Row],[CODIGO]]="", GENERAL[[#This Row],[CANTIDAD]]=""), "", VLOOKUP(GENERAL[[#This Row],[CODIGO]], PRODUCTOS[#All], 4, FALSE) * GENERAL[[#This Row],[CANTIDAD]])</f>
        <v>0</v>
      </c>
      <c r="T643" s="8"/>
    </row>
    <row r="644" spans="2:20" x14ac:dyDescent="0.2">
      <c r="B644" s="11" t="str">
        <f>IF(PRODUCTOS[[#This Row],[CODIGO]]="", "", PRODUCTOS[[#This Row],[CODIGO]])</f>
        <v>MACO-HEBDE8-35</v>
      </c>
      <c r="C644" s="6" t="str">
        <f>IF(GENERAL[[#This Row],[CODIGO]]="", "", VLOOKUP(GENERAL[[#This Row],[CODIGO]], PRODUCTOS[#All], 2, FALSE))</f>
        <v xml:space="preserve">Hebilla deslizante 8mm x 35mm </v>
      </c>
      <c r="D64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44" s="28" t="str">
        <f>IFERROR(IF(GENERAL[[#This Row],[CANTIDAD]]=0, "AGOTADO", IF(GENERAL[[#This Row],[CANTIDAD]]&lt;VLOOKUP(GENERAL[[#This Row],[CODIGO]], PRODUCTOS[#All], 3, FALSE), "MENOR AL MINIMO", "")), "")</f>
        <v>AGOTADO</v>
      </c>
      <c r="F644" s="39">
        <f>IF(OR(GENERAL[[#This Row],[CODIGO]]="", GENERAL[[#This Row],[CANTIDAD]]=""), "", VLOOKUP(GENERAL[[#This Row],[CODIGO]], PRODUCTOS[#All], 4, FALSE) * GENERAL[[#This Row],[CANTIDAD]])</f>
        <v>0</v>
      </c>
      <c r="T644" s="8"/>
    </row>
    <row r="645" spans="2:20" x14ac:dyDescent="0.2">
      <c r="B645" s="11" t="str">
        <f>IF(PRODUCTOS[[#This Row],[CODIGO]]="", "", PRODUCTOS[[#This Row],[CODIGO]])</f>
        <v>MACO-INTAT-075</v>
      </c>
      <c r="C645" s="6" t="str">
        <f>IF(GENERAL[[#This Row],[CODIGO]]="", "", VLOOKUP(GENERAL[[#This Row],[CODIGO]], PRODUCTOS[#All], 2, FALSE))</f>
        <v xml:space="preserve">Interruptor atenuador de luz vertical </v>
      </c>
      <c r="D64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45" s="28" t="str">
        <f>IFERROR(IF(GENERAL[[#This Row],[CANTIDAD]]=0, "AGOTADO", IF(GENERAL[[#This Row],[CANTIDAD]]&lt;VLOOKUP(GENERAL[[#This Row],[CODIGO]], PRODUCTOS[#All], 3, FALSE), "MENOR AL MINIMO", "")), "")</f>
        <v>AGOTADO</v>
      </c>
      <c r="F645" s="39">
        <f>IF(OR(GENERAL[[#This Row],[CODIGO]]="", GENERAL[[#This Row],[CANTIDAD]]=""), "", VLOOKUP(GENERAL[[#This Row],[CODIGO]], PRODUCTOS[#All], 4, FALSE) * GENERAL[[#This Row],[CANTIDAD]])</f>
        <v>0</v>
      </c>
      <c r="T645" s="8"/>
    </row>
    <row r="646" spans="2:20" x14ac:dyDescent="0.2">
      <c r="B646" s="11" t="str">
        <f>IF(PRODUCTOS[[#This Row],[CODIGO]]="", "", PRODUCTOS[[#This Row],[CODIGO]])</f>
        <v>MACO-JBRODE-001</v>
      </c>
      <c r="C646" s="6" t="str">
        <f>IF(GENERAL[[#This Row],[CODIGO]]="", "", VLOOKUP(GENERAL[[#This Row],[CODIGO]], PRODUCTOS[#All], 2, FALSE))</f>
        <v>Juego de brocas black+decker</v>
      </c>
      <c r="D64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46" s="28" t="str">
        <f>IFERROR(IF(GENERAL[[#This Row],[CANTIDAD]]=0, "AGOTADO", IF(GENERAL[[#This Row],[CANTIDAD]]&lt;VLOOKUP(GENERAL[[#This Row],[CODIGO]], PRODUCTOS[#All], 3, FALSE), "MENOR AL MINIMO", "")), "")</f>
        <v>AGOTADO</v>
      </c>
      <c r="F646" s="39">
        <f>IF(OR(GENERAL[[#This Row],[CODIGO]]="", GENERAL[[#This Row],[CANTIDAD]]=""), "", VLOOKUP(GENERAL[[#This Row],[CODIGO]], PRODUCTOS[#All], 4, FALSE) * GENERAL[[#This Row],[CANTIDAD]])</f>
        <v>0</v>
      </c>
      <c r="T646" s="8"/>
    </row>
    <row r="647" spans="2:20" x14ac:dyDescent="0.2">
      <c r="B647" s="11" t="str">
        <f>IF(PRODUCTOS[[#This Row],[CODIGO]]="", "", PRODUCTOS[[#This Row],[CODIGO]])</f>
        <v>MACO-LACACHOC-050</v>
      </c>
      <c r="C647" s="6" t="str">
        <f>IF(GENERAL[[#This Row],[CODIGO]]="", "", VLOOKUP(GENERAL[[#This Row],[CODIGO]], PRODUCTOS[#All], 2, FALSE))</f>
        <v>Laca color chocolate 1L</v>
      </c>
      <c r="D64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47" s="28" t="str">
        <f>IFERROR(IF(GENERAL[[#This Row],[CANTIDAD]]=0, "AGOTADO", IF(GENERAL[[#This Row],[CANTIDAD]]&lt;VLOOKUP(GENERAL[[#This Row],[CODIGO]], PRODUCTOS[#All], 3, FALSE), "MENOR AL MINIMO", "")), "")</f>
        <v>AGOTADO</v>
      </c>
      <c r="F647" s="39">
        <f>IF(OR(GENERAL[[#This Row],[CODIGO]]="", GENERAL[[#This Row],[CANTIDAD]]=""), "", VLOOKUP(GENERAL[[#This Row],[CODIGO]], PRODUCTOS[#All], 4, FALSE) * GENERAL[[#This Row],[CANTIDAD]])</f>
        <v>0</v>
      </c>
      <c r="T647" s="8"/>
    </row>
    <row r="648" spans="2:20" x14ac:dyDescent="0.2">
      <c r="B648" s="11" t="str">
        <f>IF(PRODUCTOS[[#This Row],[CODIGO]]="", "", PRODUCTOS[[#This Row],[CODIGO]])</f>
        <v>MACO-LACNIT-036</v>
      </c>
      <c r="C648" s="6" t="str">
        <f>IF(GENERAL[[#This Row],[CODIGO]]="", "", VLOOKUP(GENERAL[[#This Row],[CODIGO]], PRODUCTOS[#All], 2, FALSE))</f>
        <v>Laca de nitroselulosa 1L</v>
      </c>
      <c r="D64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48" s="28" t="str">
        <f>IFERROR(IF(GENERAL[[#This Row],[CANTIDAD]]=0, "AGOTADO", IF(GENERAL[[#This Row],[CANTIDAD]]&lt;VLOOKUP(GENERAL[[#This Row],[CODIGO]], PRODUCTOS[#All], 3, FALSE), "MENOR AL MINIMO", "")), "")</f>
        <v>AGOTADO</v>
      </c>
      <c r="F648" s="39">
        <f>IF(OR(GENERAL[[#This Row],[CODIGO]]="", GENERAL[[#This Row],[CANTIDAD]]=""), "", VLOOKUP(GENERAL[[#This Row],[CODIGO]], PRODUCTOS[#All], 4, FALSE) * GENERAL[[#This Row],[CANTIDAD]])</f>
        <v>0</v>
      </c>
      <c r="T648" s="8"/>
    </row>
    <row r="649" spans="2:20" x14ac:dyDescent="0.2">
      <c r="B649" s="11" t="str">
        <f>IF(PRODUCTOS[[#This Row],[CODIGO]]="", "", PRODUCTOS[[#This Row],[CODIGO]])</f>
        <v>MACO-LFEET-092</v>
      </c>
      <c r="C649" s="6" t="str">
        <f>IF(GENERAL[[#This Row],[CODIGO]]="", "", VLOOKUP(GENERAL[[#This Row],[CODIGO]], PRODUCTOS[#All], 2, FALSE))</f>
        <v>L-feet (estructura solar)</v>
      </c>
      <c r="D64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49" s="28" t="str">
        <f>IFERROR(IF(GENERAL[[#This Row],[CANTIDAD]]=0, "AGOTADO", IF(GENERAL[[#This Row],[CANTIDAD]]&lt;VLOOKUP(GENERAL[[#This Row],[CODIGO]], PRODUCTOS[#All], 3, FALSE), "MENOR AL MINIMO", "")), "")</f>
        <v>AGOTADO</v>
      </c>
      <c r="F649" s="39">
        <f>IF(OR(GENERAL[[#This Row],[CODIGO]]="", GENERAL[[#This Row],[CANTIDAD]]=""), "", VLOOKUP(GENERAL[[#This Row],[CODIGO]], PRODUCTOS[#All], 4, FALSE) * GENERAL[[#This Row],[CANTIDAD]])</f>
        <v>0</v>
      </c>
      <c r="T649" s="8"/>
    </row>
    <row r="650" spans="2:20" x14ac:dyDescent="0.2">
      <c r="B650" s="11" t="str">
        <f>IF(PRODUCTOS[[#This Row],[CODIGO]]="", "", PRODUCTOS[[#This Row],[CODIGO]])</f>
        <v>MACO-LIMINT-070</v>
      </c>
      <c r="C650" s="6" t="str">
        <f>IF(GENERAL[[#This Row],[CODIGO]]="", "", VLOOKUP(GENERAL[[#This Row],[CODIGO]], PRODUCTOS[#All], 2, FALSE))</f>
        <v>Limpiador de interiores 510g</v>
      </c>
      <c r="D65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50" s="28" t="str">
        <f>IFERROR(IF(GENERAL[[#This Row],[CANTIDAD]]=0, "AGOTADO", IF(GENERAL[[#This Row],[CANTIDAD]]&lt;VLOOKUP(GENERAL[[#This Row],[CODIGO]], PRODUCTOS[#All], 3, FALSE), "MENOR AL MINIMO", "")), "")</f>
        <v>AGOTADO</v>
      </c>
      <c r="F650" s="39">
        <f>IF(OR(GENERAL[[#This Row],[CODIGO]]="", GENERAL[[#This Row],[CANTIDAD]]=""), "", VLOOKUP(GENERAL[[#This Row],[CODIGO]], PRODUCTOS[#All], 4, FALSE) * GENERAL[[#This Row],[CANTIDAD]])</f>
        <v>0</v>
      </c>
      <c r="H650" s="67" t="s">
        <v>1969</v>
      </c>
      <c r="T650" s="8"/>
    </row>
    <row r="651" spans="2:20" x14ac:dyDescent="0.2">
      <c r="B651" s="11" t="str">
        <f>IF(PRODUCTOS[[#This Row],[CODIGO]]="", "", PRODUCTOS[[#This Row],[CODIGO]])</f>
        <v>MACO-LIQFRE-062</v>
      </c>
      <c r="C651" s="6" t="str">
        <f>IF(GENERAL[[#This Row],[CODIGO]]="", "", VLOOKUP(GENERAL[[#This Row],[CODIGO]], PRODUCTOS[#All], 2, FALSE))</f>
        <v>líquido para frenos 900ml</v>
      </c>
      <c r="D65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51" s="28" t="str">
        <f>IFERROR(IF(GENERAL[[#This Row],[CANTIDAD]]=0, "AGOTADO", IF(GENERAL[[#This Row],[CANTIDAD]]&lt;VLOOKUP(GENERAL[[#This Row],[CODIGO]], PRODUCTOS[#All], 3, FALSE), "MENOR AL MINIMO", "")), "")</f>
        <v>AGOTADO</v>
      </c>
      <c r="F651" s="39">
        <f>IF(OR(GENERAL[[#This Row],[CODIGO]]="", GENERAL[[#This Row],[CANTIDAD]]=""), "", VLOOKUP(GENERAL[[#This Row],[CODIGO]], PRODUCTOS[#All], 4, FALSE) * GENERAL[[#This Row],[CANTIDAD]])</f>
        <v>0</v>
      </c>
      <c r="H651" s="62">
        <f>SUM(F581:F651)</f>
        <v>0</v>
      </c>
      <c r="T651" s="8"/>
    </row>
    <row r="652" spans="2:20" x14ac:dyDescent="0.2">
      <c r="B652" s="11" t="str">
        <f>IF(PRODUCTOS[[#This Row],[CODIGO]]="", "", PRODUCTOS[[#This Row],[CODIGO]])</f>
        <v>MACO-LIQLP-019</v>
      </c>
      <c r="C652" s="6" t="str">
        <f>IF(GENERAL[[#This Row],[CODIGO]]="", "", VLOOKUP(GENERAL[[#This Row],[CODIGO]], PRODUCTOS[#All], 2, FALSE))</f>
        <v xml:space="preserve">Líquido limpia parabrisas 3 - 7 lts </v>
      </c>
      <c r="D65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52" s="28" t="str">
        <f>IFERROR(IF(GENERAL[[#This Row],[CANTIDAD]]=0, "AGOTADO", IF(GENERAL[[#This Row],[CANTIDAD]]&lt;VLOOKUP(GENERAL[[#This Row],[CODIGO]], PRODUCTOS[#All], 3, FALSE), "MENOR AL MINIMO", "")), "")</f>
        <v>AGOTADO</v>
      </c>
      <c r="F652" s="39">
        <f>IF(OR(GENERAL[[#This Row],[CODIGO]]="", GENERAL[[#This Row],[CANTIDAD]]=""), "", VLOOKUP(GENERAL[[#This Row],[CODIGO]], PRODUCTOS[#All], 4, FALSE) * GENERAL[[#This Row],[CANTIDAD]])</f>
        <v>0</v>
      </c>
      <c r="T652" s="8"/>
    </row>
    <row r="653" spans="2:20" x14ac:dyDescent="0.2">
      <c r="B653" s="11" t="str">
        <f>IF(PRODUCTOS[[#This Row],[CODIGO]]="", "", PRODUCTOS[[#This Row],[CODIGO]])</f>
        <v>MACO-MANDCA-010</v>
      </c>
      <c r="C653" s="6" t="str">
        <f>IF(GENERAL[[#This Row],[CODIGO]]="", "", VLOOKUP(GENERAL[[#This Row],[CODIGO]], PRODUCTOS[#All], 2, FALSE))</f>
        <v>Mandil carnaza</v>
      </c>
      <c r="D65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53" s="28" t="str">
        <f>IFERROR(IF(GENERAL[[#This Row],[CANTIDAD]]=0, "AGOTADO", IF(GENERAL[[#This Row],[CANTIDAD]]&lt;VLOOKUP(GENERAL[[#This Row],[CODIGO]], PRODUCTOS[#All], 3, FALSE), "MENOR AL MINIMO", "")), "")</f>
        <v>AGOTADO</v>
      </c>
      <c r="F653" s="39">
        <f>IF(OR(GENERAL[[#This Row],[CODIGO]]="", GENERAL[[#This Row],[CANTIDAD]]=""), "", VLOOKUP(GENERAL[[#This Row],[CODIGO]], PRODUCTOS[#All], 4, FALSE) * GENERAL[[#This Row],[CANTIDAD]])</f>
        <v>0</v>
      </c>
      <c r="T653" s="8"/>
    </row>
    <row r="654" spans="2:20" x14ac:dyDescent="0.2">
      <c r="B654" s="11" t="str">
        <f>IF(PRODUCTOS[[#This Row],[CODIGO]]="", "", PRODUCTOS[[#This Row],[CODIGO]])</f>
        <v>MACO-MANGCA-013</v>
      </c>
      <c r="C654" s="6" t="str">
        <f>IF(GENERAL[[#This Row],[CODIGO]]="", "", VLOOKUP(GENERAL[[#This Row],[CODIGO]], PRODUCTOS[#All], 2, FALSE))</f>
        <v>Mangas carnaza (pares)</v>
      </c>
      <c r="D65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54" s="28" t="str">
        <f>IFERROR(IF(GENERAL[[#This Row],[CANTIDAD]]=0, "AGOTADO", IF(GENERAL[[#This Row],[CANTIDAD]]&lt;VLOOKUP(GENERAL[[#This Row],[CODIGO]], PRODUCTOS[#All], 3, FALSE), "MENOR AL MINIMO", "")), "")</f>
        <v>AGOTADO</v>
      </c>
      <c r="F654" s="39">
        <f>IF(OR(GENERAL[[#This Row],[CODIGO]]="", GENERAL[[#This Row],[CANTIDAD]]=""), "", VLOOKUP(GENERAL[[#This Row],[CODIGO]], PRODUCTOS[#All], 4, FALSE) * GENERAL[[#This Row],[CANTIDAD]])</f>
        <v>0</v>
      </c>
      <c r="T654" s="8"/>
    </row>
    <row r="655" spans="2:20" x14ac:dyDescent="0.2">
      <c r="B655" s="11" t="str">
        <f>IF(PRODUCTOS[[#This Row],[CODIGO]]="", "", PRODUCTOS[[#This Row],[CODIGO]])</f>
        <v>MACO-MATR-072</v>
      </c>
      <c r="C655" s="6" t="str">
        <f>IF(GENERAL[[#This Row],[CODIGO]]="", "", VLOOKUP(GENERAL[[#This Row],[CODIGO]], PRODUCTOS[#All], 2, FALSE))</f>
        <v xml:space="preserve">Matracas </v>
      </c>
      <c r="D65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55" s="28" t="str">
        <f>IFERROR(IF(GENERAL[[#This Row],[CANTIDAD]]=0, "AGOTADO", IF(GENERAL[[#This Row],[CANTIDAD]]&lt;VLOOKUP(GENERAL[[#This Row],[CODIGO]], PRODUCTOS[#All], 3, FALSE), "MENOR AL MINIMO", "")), "")</f>
        <v>AGOTADO</v>
      </c>
      <c r="F655" s="39">
        <f>IF(OR(GENERAL[[#This Row],[CODIGO]]="", GENERAL[[#This Row],[CANTIDAD]]=""), "", VLOOKUP(GENERAL[[#This Row],[CODIGO]], PRODUCTOS[#All], 4, FALSE) * GENERAL[[#This Row],[CANTIDAD]])</f>
        <v>0</v>
      </c>
      <c r="T655" s="8"/>
    </row>
    <row r="656" spans="2:20" x14ac:dyDescent="0.2">
      <c r="B656" s="11" t="str">
        <f>IF(PRODUCTOS[[#This Row],[CODIGO]]="", "", PRODUCTOS[[#This Row],[CODIGO]])</f>
        <v>MACO-MOFUM-090</v>
      </c>
      <c r="C656" s="6" t="str">
        <f>IF(GENERAL[[#This Row],[CODIGO]]="", "", VLOOKUP(GENERAL[[#This Row],[CODIGO]], PRODUCTOS[#All], 2, FALSE))</f>
        <v>Mochila fumigadora manual</v>
      </c>
      <c r="D65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56" s="28" t="str">
        <f>IFERROR(IF(GENERAL[[#This Row],[CANTIDAD]]=0, "AGOTADO", IF(GENERAL[[#This Row],[CANTIDAD]]&lt;VLOOKUP(GENERAL[[#This Row],[CODIGO]], PRODUCTOS[#All], 3, FALSE), "MENOR AL MINIMO", "")), "")</f>
        <v>AGOTADO</v>
      </c>
      <c r="F656" s="39">
        <f>IF(OR(GENERAL[[#This Row],[CODIGO]]="", GENERAL[[#This Row],[CANTIDAD]]=""), "", VLOOKUP(GENERAL[[#This Row],[CODIGO]], PRODUCTOS[#All], 4, FALSE) * GENERAL[[#This Row],[CANTIDAD]])</f>
        <v>0</v>
      </c>
      <c r="T656" s="8"/>
    </row>
    <row r="657" spans="2:20" x14ac:dyDescent="0.2">
      <c r="B657" s="11" t="str">
        <f>IF(PRODUCTOS[[#This Row],[CODIGO]]="", "", PRODUCTOS[[#This Row],[CODIGO]])</f>
        <v>MACO-MONPS-078</v>
      </c>
      <c r="C657" s="6" t="str">
        <f>IF(GENERAL[[#This Row],[CODIGO]]="", "", VLOOKUP(GENERAL[[#This Row],[CODIGO]], PRODUCTOS[#All], 2, FALSE))</f>
        <v xml:space="preserve">Montaje para paneles solares </v>
      </c>
      <c r="D65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57" s="28" t="str">
        <f>IFERROR(IF(GENERAL[[#This Row],[CANTIDAD]]=0, "AGOTADO", IF(GENERAL[[#This Row],[CANTIDAD]]&lt;VLOOKUP(GENERAL[[#This Row],[CODIGO]], PRODUCTOS[#All], 3, FALSE), "MENOR AL MINIMO", "")), "")</f>
        <v>AGOTADO</v>
      </c>
      <c r="F657" s="39">
        <f>IF(OR(GENERAL[[#This Row],[CODIGO]]="", GENERAL[[#This Row],[CANTIDAD]]=""), "", VLOOKUP(GENERAL[[#This Row],[CODIGO]], PRODUCTOS[#All], 4, FALSE) * GENERAL[[#This Row],[CANTIDAD]])</f>
        <v>0</v>
      </c>
      <c r="T657" s="8"/>
    </row>
    <row r="658" spans="2:20" x14ac:dyDescent="0.2">
      <c r="B658" s="11" t="str">
        <f>IF(PRODUCTOS[[#This Row],[CODIGO]]="", "", PRODUCTOS[[#This Row],[CODIGO]])</f>
        <v>MACO-MUELO-089</v>
      </c>
      <c r="C658" s="6" t="str">
        <f>IF(GENERAL[[#This Row],[CODIGO]]="", "", VLOOKUP(GENERAL[[#This Row],[CODIGO]], PRODUCTOS[#All], 2, FALSE))</f>
        <v xml:space="preserve">Muestrario de lonas </v>
      </c>
      <c r="D65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58" s="28" t="str">
        <f>IFERROR(IF(GENERAL[[#This Row],[CANTIDAD]]=0, "AGOTADO", IF(GENERAL[[#This Row],[CANTIDAD]]&lt;VLOOKUP(GENERAL[[#This Row],[CODIGO]], PRODUCTOS[#All], 3, FALSE), "MENOR AL MINIMO", "")), "")</f>
        <v>AGOTADO</v>
      </c>
      <c r="F658" s="39">
        <f>IF(OR(GENERAL[[#This Row],[CODIGO]]="", GENERAL[[#This Row],[CANTIDAD]]=""), "", VLOOKUP(GENERAL[[#This Row],[CODIGO]], PRODUCTOS[#All], 4, FALSE) * GENERAL[[#This Row],[CANTIDAD]])</f>
        <v>0</v>
      </c>
      <c r="T658" s="8"/>
    </row>
    <row r="659" spans="2:20" x14ac:dyDescent="0.2">
      <c r="B659" s="11" t="str">
        <f>IF(PRODUCTOS[[#This Row],[CODIGO]]="", "", PRODUCTOS[[#This Row],[CODIGO]])</f>
        <v>MACO-NOTRC-088</v>
      </c>
      <c r="C659" s="6" t="str">
        <f>IF(GENERAL[[#This Row],[CODIGO]]="", "", VLOOKUP(GENERAL[[#This Row],[CODIGO]], PRODUCTOS[#All], 2, FALSE))</f>
        <v>Notas de remisión block chico</v>
      </c>
      <c r="D65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59" s="28" t="str">
        <f>IFERROR(IF(GENERAL[[#This Row],[CANTIDAD]]=0, "AGOTADO", IF(GENERAL[[#This Row],[CANTIDAD]]&lt;VLOOKUP(GENERAL[[#This Row],[CODIGO]], PRODUCTOS[#All], 3, FALSE), "MENOR AL MINIMO", "")), "")</f>
        <v>AGOTADO</v>
      </c>
      <c r="F659" s="39">
        <f>IF(OR(GENERAL[[#This Row],[CODIGO]]="", GENERAL[[#This Row],[CANTIDAD]]=""), "", VLOOKUP(GENERAL[[#This Row],[CODIGO]], PRODUCTOS[#All], 4, FALSE) * GENERAL[[#This Row],[CANTIDAD]])</f>
        <v>0</v>
      </c>
      <c r="T659" s="8"/>
    </row>
    <row r="660" spans="2:20" x14ac:dyDescent="0.2">
      <c r="B660" s="11" t="str">
        <f>IF(PRODUCTOS[[#This Row],[CODIGO]]="", "", PRODUCTOS[[#This Row],[CODIGO]])</f>
        <v>MACO-NOTRG-087</v>
      </c>
      <c r="C660" s="6" t="str">
        <f>IF(GENERAL[[#This Row],[CODIGO]]="", "", VLOOKUP(GENERAL[[#This Row],[CODIGO]], PRODUCTOS[#All], 2, FALSE))</f>
        <v>Notas de remisión block grande</v>
      </c>
      <c r="D66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60" s="28" t="str">
        <f>IFERROR(IF(GENERAL[[#This Row],[CANTIDAD]]=0, "AGOTADO", IF(GENERAL[[#This Row],[CANTIDAD]]&lt;VLOOKUP(GENERAL[[#This Row],[CODIGO]], PRODUCTOS[#All], 3, FALSE), "MENOR AL MINIMO", "")), "")</f>
        <v>AGOTADO</v>
      </c>
      <c r="F660" s="39">
        <f>IF(OR(GENERAL[[#This Row],[CODIGO]]="", GENERAL[[#This Row],[CANTIDAD]]=""), "", VLOOKUP(GENERAL[[#This Row],[CODIGO]], PRODUCTOS[#All], 4, FALSE) * GENERAL[[#This Row],[CANTIDAD]])</f>
        <v>0</v>
      </c>
      <c r="T660" s="8"/>
    </row>
    <row r="661" spans="2:20" x14ac:dyDescent="0.2">
      <c r="B661" s="11" t="str">
        <f>IF(PRODUCTOS[[#This Row],[CODIGO]]="", "", PRODUCTOS[[#This Row],[CODIGO]])</f>
        <v>MACO-PEGPVC-052</v>
      </c>
      <c r="C661" s="6" t="str">
        <f>IF(GENERAL[[#This Row],[CODIGO]]="", "", VLOOKUP(GENERAL[[#This Row],[CODIGO]], PRODUCTOS[#All], 2, FALSE))</f>
        <v>Pegamento pvc</v>
      </c>
      <c r="D66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61" s="28" t="str">
        <f>IFERROR(IF(GENERAL[[#This Row],[CANTIDAD]]=0, "AGOTADO", IF(GENERAL[[#This Row],[CANTIDAD]]&lt;VLOOKUP(GENERAL[[#This Row],[CODIGO]], PRODUCTOS[#All], 3, FALSE), "MENOR AL MINIMO", "")), "")</f>
        <v>AGOTADO</v>
      </c>
      <c r="F661" s="39">
        <f>IF(OR(GENERAL[[#This Row],[CODIGO]]="", GENERAL[[#This Row],[CANTIDAD]]=""), "", VLOOKUP(GENERAL[[#This Row],[CODIGO]], PRODUCTOS[#All], 4, FALSE) * GENERAL[[#This Row],[CANTIDAD]])</f>
        <v>0</v>
      </c>
      <c r="T661" s="8"/>
    </row>
    <row r="662" spans="2:20" x14ac:dyDescent="0.2">
      <c r="B662" s="11" t="str">
        <f>IF(PRODUCTOS[[#This Row],[CODIGO]]="", "", PRODUCTOS[[#This Row],[CODIGO]])</f>
        <v>MACO-PEREST-102</v>
      </c>
      <c r="C662" s="6" t="str">
        <f>IF(GENERAL[[#This Row],[CODIGO]]="", "", VLOOKUP(GENERAL[[#This Row],[CODIGO]], PRODUCTOS[#All], 2, FALSE))</f>
        <v xml:space="preserve">Perfil estructural con soporto tipo L con riel y fijación ajustable </v>
      </c>
      <c r="D66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62" s="28" t="str">
        <f>IFERROR(IF(GENERAL[[#This Row],[CANTIDAD]]=0, "AGOTADO", IF(GENERAL[[#This Row],[CANTIDAD]]&lt;VLOOKUP(GENERAL[[#This Row],[CODIGO]], PRODUCTOS[#All], 3, FALSE), "MENOR AL MINIMO", "")), "")</f>
        <v>AGOTADO</v>
      </c>
      <c r="F662" s="39">
        <f>IF(OR(GENERAL[[#This Row],[CODIGO]]="", GENERAL[[#This Row],[CANTIDAD]]=""), "", VLOOKUP(GENERAL[[#This Row],[CODIGO]], PRODUCTOS[#All], 4, FALSE) * GENERAL[[#This Row],[CANTIDAD]])</f>
        <v>0</v>
      </c>
      <c r="T662" s="8"/>
    </row>
    <row r="663" spans="2:20" x14ac:dyDescent="0.2">
      <c r="B663" s="11" t="str">
        <f>IF(PRODUCTOS[[#This Row],[CODIGO]]="", "", PRODUCTOS[[#This Row],[CODIGO]])</f>
        <v>MACO-PERR-18</v>
      </c>
      <c r="C663" s="6" t="str">
        <f>IF(GENERAL[[#This Row],[CODIGO]]="", "", VLOOKUP(GENERAL[[#This Row],[CODIGO]], PRODUCTOS[#All], 2, FALSE))</f>
        <v>Perros 1/8"</v>
      </c>
      <c r="D66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63" s="28" t="str">
        <f>IFERROR(IF(GENERAL[[#This Row],[CANTIDAD]]=0, "AGOTADO", IF(GENERAL[[#This Row],[CANTIDAD]]&lt;VLOOKUP(GENERAL[[#This Row],[CODIGO]], PRODUCTOS[#All], 3, FALSE), "MENOR AL MINIMO", "")), "")</f>
        <v>AGOTADO</v>
      </c>
      <c r="F663" s="39">
        <f>IF(OR(GENERAL[[#This Row],[CODIGO]]="", GENERAL[[#This Row],[CANTIDAD]]=""), "", VLOOKUP(GENERAL[[#This Row],[CODIGO]], PRODUCTOS[#All], 4, FALSE) * GENERAL[[#This Row],[CANTIDAD]])</f>
        <v>0</v>
      </c>
      <c r="T663" s="8"/>
    </row>
    <row r="664" spans="2:20" x14ac:dyDescent="0.2">
      <c r="B664" s="11" t="str">
        <f>IF(PRODUCTOS[[#This Row],[CODIGO]]="", "", PRODUCTOS[[#This Row],[CODIGO]])</f>
        <v>MACO-PERR-34</v>
      </c>
      <c r="C664" s="6" t="str">
        <f>IF(GENERAL[[#This Row],[CODIGO]]="", "", VLOOKUP(GENERAL[[#This Row],[CODIGO]], PRODUCTOS[#All], 2, FALSE))</f>
        <v>Perros 3/4"</v>
      </c>
      <c r="D66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64" s="28" t="str">
        <f>IFERROR(IF(GENERAL[[#This Row],[CANTIDAD]]=0, "AGOTADO", IF(GENERAL[[#This Row],[CANTIDAD]]&lt;VLOOKUP(GENERAL[[#This Row],[CODIGO]], PRODUCTOS[#All], 3, FALSE), "MENOR AL MINIMO", "")), "")</f>
        <v>AGOTADO</v>
      </c>
      <c r="F664" s="39">
        <f>IF(OR(GENERAL[[#This Row],[CODIGO]]="", GENERAL[[#This Row],[CANTIDAD]]=""), "", VLOOKUP(GENERAL[[#This Row],[CODIGO]], PRODUCTOS[#All], 4, FALSE) * GENERAL[[#This Row],[CANTIDAD]])</f>
        <v>0</v>
      </c>
      <c r="T664" s="8"/>
    </row>
    <row r="665" spans="2:20" x14ac:dyDescent="0.2">
      <c r="B665" s="11" t="str">
        <f>IF(PRODUCTOS[[#This Row],[CODIGO]]="", "", PRODUCTOS[[#This Row],[CODIGO]])</f>
        <v>MACO-PERR-58</v>
      </c>
      <c r="C665" s="6" t="str">
        <f>IF(GENERAL[[#This Row],[CODIGO]]="", "", VLOOKUP(GENERAL[[#This Row],[CODIGO]], PRODUCTOS[#All], 2, FALSE))</f>
        <v>Perros 5/8"</v>
      </c>
      <c r="D66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65" s="28" t="str">
        <f>IFERROR(IF(GENERAL[[#This Row],[CANTIDAD]]=0, "AGOTADO", IF(GENERAL[[#This Row],[CANTIDAD]]&lt;VLOOKUP(GENERAL[[#This Row],[CODIGO]], PRODUCTOS[#All], 3, FALSE), "MENOR AL MINIMO", "")), "")</f>
        <v>AGOTADO</v>
      </c>
      <c r="F665" s="39">
        <f>IF(OR(GENERAL[[#This Row],[CODIGO]]="", GENERAL[[#This Row],[CANTIDAD]]=""), "", VLOOKUP(GENERAL[[#This Row],[CODIGO]], PRODUCTOS[#All], 4, FALSE) * GENERAL[[#This Row],[CANTIDAD]])</f>
        <v>0</v>
      </c>
      <c r="T665" s="8"/>
    </row>
    <row r="666" spans="2:20" x14ac:dyDescent="0.2">
      <c r="B666" s="11" t="str">
        <f>IF(PRODUCTOS[[#This Row],[CODIGO]]="", "", PRODUCTOS[[#This Row],[CODIGO]])</f>
        <v>MACO-PERTR-101</v>
      </c>
      <c r="C666" s="6" t="str">
        <f>IF(GENERAL[[#This Row],[CODIGO]]="", "", VLOOKUP(GENERAL[[#This Row],[CODIGO]], PRODUCTOS[#All], 2, FALSE))</f>
        <v>Perfil aluminio tipo riel panle solar</v>
      </c>
      <c r="D66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66" s="28" t="str">
        <f>IFERROR(IF(GENERAL[[#This Row],[CANTIDAD]]=0, "AGOTADO", IF(GENERAL[[#This Row],[CANTIDAD]]&lt;VLOOKUP(GENERAL[[#This Row],[CODIGO]], PRODUCTOS[#All], 3, FALSE), "MENOR AL MINIMO", "")), "")</f>
        <v>AGOTADO</v>
      </c>
      <c r="F666" s="39">
        <f>IF(OR(GENERAL[[#This Row],[CODIGO]]="", GENERAL[[#This Row],[CANTIDAD]]=""), "", VLOOKUP(GENERAL[[#This Row],[CODIGO]], PRODUCTOS[#All], 4, FALSE) * GENERAL[[#This Row],[CANTIDAD]])</f>
        <v>0</v>
      </c>
      <c r="T666" s="8"/>
    </row>
    <row r="667" spans="2:20" x14ac:dyDescent="0.2">
      <c r="B667" s="11" t="str">
        <f>IF(PRODUCTOS[[#This Row],[CODIGO]]="", "", PRODUCTOS[[#This Row],[CODIGO]])</f>
        <v>MACO-PIJ-2</v>
      </c>
      <c r="C667" s="6" t="str">
        <f>IF(GENERAL[[#This Row],[CODIGO]]="", "", VLOOKUP(GENERAL[[#This Row],[CODIGO]], PRODUCTOS[#All], 2, FALSE))</f>
        <v>Pija 2 x 1/4"</v>
      </c>
      <c r="D66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67" s="28" t="str">
        <f>IFERROR(IF(GENERAL[[#This Row],[CANTIDAD]]=0, "AGOTADO", IF(GENERAL[[#This Row],[CANTIDAD]]&lt;VLOOKUP(GENERAL[[#This Row],[CODIGO]], PRODUCTOS[#All], 3, FALSE), "MENOR AL MINIMO", "")), "")</f>
        <v>AGOTADO</v>
      </c>
      <c r="F667" s="39">
        <f>IF(OR(GENERAL[[#This Row],[CODIGO]]="", GENERAL[[#This Row],[CANTIDAD]]=""), "", VLOOKUP(GENERAL[[#This Row],[CODIGO]], PRODUCTOS[#All], 4, FALSE) * GENERAL[[#This Row],[CANTIDAD]])</f>
        <v>0</v>
      </c>
      <c r="T667" s="8"/>
    </row>
    <row r="668" spans="2:20" x14ac:dyDescent="0.2">
      <c r="B668" s="11" t="str">
        <f>IF(PRODUCTOS[[#This Row],[CODIGO]]="", "", PRODUCTOS[[#This Row],[CODIGO]])</f>
        <v>MACO-PIJ-4MM</v>
      </c>
      <c r="C668" s="6" t="str">
        <f>IF(GENERAL[[#This Row],[CODIGO]]="", "", VLOOKUP(GENERAL[[#This Row],[CODIGO]], PRODUCTOS[#All], 2, FALSE))</f>
        <v>Pija 4mm x 1 1/2"</v>
      </c>
      <c r="D66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68" s="28" t="str">
        <f>IFERROR(IF(GENERAL[[#This Row],[CANTIDAD]]=0, "AGOTADO", IF(GENERAL[[#This Row],[CANTIDAD]]&lt;VLOOKUP(GENERAL[[#This Row],[CODIGO]], PRODUCTOS[#All], 3, FALSE), "MENOR AL MINIMO", "")), "")</f>
        <v>AGOTADO</v>
      </c>
      <c r="F668" s="39">
        <f>IF(OR(GENERAL[[#This Row],[CODIGO]]="", GENERAL[[#This Row],[CANTIDAD]]=""), "", VLOOKUP(GENERAL[[#This Row],[CODIGO]], PRODUCTOS[#All], 4, FALSE) * GENERAL[[#This Row],[CANTIDAD]])</f>
        <v>0</v>
      </c>
      <c r="T668" s="8"/>
    </row>
    <row r="669" spans="2:20" x14ac:dyDescent="0.2">
      <c r="B669" s="11" t="str">
        <f>IF(PRODUCTOS[[#This Row],[CODIGO]]="", "", PRODUCTOS[[#This Row],[CODIGO]])</f>
        <v>MACO-PIJ-4MM35</v>
      </c>
      <c r="C669" s="6" t="str">
        <f>IF(GENERAL[[#This Row],[CODIGO]]="", "", VLOOKUP(GENERAL[[#This Row],[CODIGO]], PRODUCTOS[#All], 2, FALSE))</f>
        <v>Pja 4mm x 35</v>
      </c>
      <c r="D66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69" s="28" t="str">
        <f>IFERROR(IF(GENERAL[[#This Row],[CANTIDAD]]=0, "AGOTADO", IF(GENERAL[[#This Row],[CANTIDAD]]&lt;VLOOKUP(GENERAL[[#This Row],[CODIGO]], PRODUCTOS[#All], 3, FALSE), "MENOR AL MINIMO", "")), "")</f>
        <v>AGOTADO</v>
      </c>
      <c r="F669" s="39">
        <f>IF(OR(GENERAL[[#This Row],[CODIGO]]="", GENERAL[[#This Row],[CANTIDAD]]=""), "", VLOOKUP(GENERAL[[#This Row],[CODIGO]], PRODUCTOS[#All], 4, FALSE) * GENERAL[[#This Row],[CANTIDAD]])</f>
        <v>0</v>
      </c>
      <c r="T669" s="8"/>
    </row>
    <row r="670" spans="2:20" x14ac:dyDescent="0.2">
      <c r="B670" s="11" t="str">
        <f>IF(PRODUCTOS[[#This Row],[CODIGO]]="", "", PRODUCTOS[[#This Row],[CODIGO]])</f>
        <v>MACO-PIJ-8MM</v>
      </c>
      <c r="C670" s="6" t="str">
        <f>IF(GENERAL[[#This Row],[CODIGO]]="", "", VLOOKUP(GENERAL[[#This Row],[CODIGO]], PRODUCTOS[#All], 2, FALSE))</f>
        <v>Pija 8mm x 2 1/4"</v>
      </c>
      <c r="D67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70" s="28" t="str">
        <f>IFERROR(IF(GENERAL[[#This Row],[CANTIDAD]]=0, "AGOTADO", IF(GENERAL[[#This Row],[CANTIDAD]]&lt;VLOOKUP(GENERAL[[#This Row],[CODIGO]], PRODUCTOS[#All], 3, FALSE), "MENOR AL MINIMO", "")), "")</f>
        <v>AGOTADO</v>
      </c>
      <c r="F670" s="39">
        <f>IF(OR(GENERAL[[#This Row],[CODIGO]]="", GENERAL[[#This Row],[CANTIDAD]]=""), "", VLOOKUP(GENERAL[[#This Row],[CODIGO]], PRODUCTOS[#All], 4, FALSE) * GENERAL[[#This Row],[CANTIDAD]])</f>
        <v>0</v>
      </c>
      <c r="T670" s="8"/>
    </row>
    <row r="671" spans="2:20" x14ac:dyDescent="0.2">
      <c r="B671" s="11" t="str">
        <f>IF(PRODUCTOS[[#This Row],[CODIGO]]="", "", PRODUCTOS[[#This Row],[CODIGO]])</f>
        <v>MACO-PIJHEX14-34</v>
      </c>
      <c r="C671" s="6" t="str">
        <f>IF(GENERAL[[#This Row],[CODIGO]]="", "", VLOOKUP(GENERAL[[#This Row],[CODIGO]], PRODUCTOS[#All], 2, FALSE))</f>
        <v>pija cabeza hexagonal 1/4 x 3/4"</v>
      </c>
      <c r="D67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71" s="28" t="str">
        <f>IFERROR(IF(GENERAL[[#This Row],[CANTIDAD]]=0, "AGOTADO", IF(GENERAL[[#This Row],[CANTIDAD]]&lt;VLOOKUP(GENERAL[[#This Row],[CODIGO]], PRODUCTOS[#All], 3, FALSE), "MENOR AL MINIMO", "")), "")</f>
        <v>AGOTADO</v>
      </c>
      <c r="F671" s="39">
        <f>IF(OR(GENERAL[[#This Row],[CODIGO]]="", GENERAL[[#This Row],[CANTIDAD]]=""), "", VLOOKUP(GENERAL[[#This Row],[CODIGO]], PRODUCTOS[#All], 4, FALSE) * GENERAL[[#This Row],[CANTIDAD]])</f>
        <v>0</v>
      </c>
      <c r="T671" s="8"/>
    </row>
    <row r="672" spans="2:20" x14ac:dyDescent="0.2">
      <c r="B672" s="11" t="str">
        <f>IF(PRODUCTOS[[#This Row],[CODIGO]]="", "", PRODUCTOS[[#This Row],[CODIGO]])</f>
        <v>MACO-PINAZ-038</v>
      </c>
      <c r="C672" s="6" t="str">
        <f>IF(GENERAL[[#This Row],[CODIGO]]="", "", VLOOKUP(GENERAL[[#This Row],[CODIGO]], PRODUCTOS[#All], 2, FALSE))</f>
        <v>Lata de pintura 4L azul</v>
      </c>
      <c r="D67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72" s="28" t="str">
        <f>IFERROR(IF(GENERAL[[#This Row],[CANTIDAD]]=0, "AGOTADO", IF(GENERAL[[#This Row],[CANTIDAD]]&lt;VLOOKUP(GENERAL[[#This Row],[CODIGO]], PRODUCTOS[#All], 3, FALSE), "MENOR AL MINIMO", "")), "")</f>
        <v>AGOTADO</v>
      </c>
      <c r="F672" s="39">
        <f>IF(OR(GENERAL[[#This Row],[CODIGO]]="", GENERAL[[#This Row],[CANTIDAD]]=""), "", VLOOKUP(GENERAL[[#This Row],[CODIGO]], PRODUCTOS[#All], 4, FALSE) * GENERAL[[#This Row],[CANTIDAD]])</f>
        <v>0</v>
      </c>
      <c r="T672" s="8"/>
    </row>
    <row r="673" spans="2:20" x14ac:dyDescent="0.2">
      <c r="B673" s="11" t="str">
        <f>IF(PRODUCTOS[[#This Row],[CODIGO]]="", "", PRODUCTOS[[#This Row],[CODIGO]])</f>
        <v>MACO-PINAZVI-034</v>
      </c>
      <c r="C673" s="6" t="str">
        <f>IF(GENERAL[[#This Row],[CODIGO]]="", "", VLOOKUP(GENERAL[[#This Row],[CODIGO]], PRODUCTOS[#All], 2, FALSE))</f>
        <v>Pintura azul vinílica 4(l)</v>
      </c>
      <c r="D67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73" s="28" t="str">
        <f>IFERROR(IF(GENERAL[[#This Row],[CANTIDAD]]=0, "AGOTADO", IF(GENERAL[[#This Row],[CANTIDAD]]&lt;VLOOKUP(GENERAL[[#This Row],[CODIGO]], PRODUCTOS[#All], 3, FALSE), "MENOR AL MINIMO", "")), "")</f>
        <v>AGOTADO</v>
      </c>
      <c r="F673" s="39">
        <f>IF(OR(GENERAL[[#This Row],[CODIGO]]="", GENERAL[[#This Row],[CANTIDAD]]=""), "", VLOOKUP(GENERAL[[#This Row],[CODIGO]], PRODUCTOS[#All], 4, FALSE) * GENERAL[[#This Row],[CANTIDAD]])</f>
        <v>0</v>
      </c>
      <c r="T673" s="8"/>
    </row>
    <row r="674" spans="2:20" x14ac:dyDescent="0.2">
      <c r="B674" s="11" t="str">
        <f>IF(PRODUCTOS[[#This Row],[CODIGO]]="", "", PRODUCTOS[[#This Row],[CODIGO]])</f>
        <v>MACO-PINBLVI-035</v>
      </c>
      <c r="C674" s="6" t="str">
        <f>IF(GENERAL[[#This Row],[CODIGO]]="", "", VLOOKUP(GENERAL[[#This Row],[CODIGO]], PRODUCTOS[#All], 2, FALSE))</f>
        <v>pintura blanca vinílica (4l)</v>
      </c>
      <c r="D67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74" s="28" t="str">
        <f>IFERROR(IF(GENERAL[[#This Row],[CANTIDAD]]=0, "AGOTADO", IF(GENERAL[[#This Row],[CANTIDAD]]&lt;VLOOKUP(GENERAL[[#This Row],[CODIGO]], PRODUCTOS[#All], 3, FALSE), "MENOR AL MINIMO", "")), "")</f>
        <v>AGOTADO</v>
      </c>
      <c r="F674" s="39">
        <f>IF(OR(GENERAL[[#This Row],[CODIGO]]="", GENERAL[[#This Row],[CANTIDAD]]=""), "", VLOOKUP(GENERAL[[#This Row],[CODIGO]], PRODUCTOS[#All], 4, FALSE) * GENERAL[[#This Row],[CANTIDAD]])</f>
        <v>0</v>
      </c>
      <c r="T674" s="8"/>
    </row>
    <row r="675" spans="2:20" x14ac:dyDescent="0.2">
      <c r="B675" s="11" t="str">
        <f>IF(PRODUCTOS[[#This Row],[CODIGO]]="", "", PRODUCTOS[[#This Row],[CODIGO]])</f>
        <v>MACO-PINCOAMA-046</v>
      </c>
      <c r="C675" s="6" t="str">
        <f>IF(GENERAL[[#This Row],[CODIGO]]="", "", VLOOKUP(GENERAL[[#This Row],[CODIGO]], PRODUCTOS[#All], 2, FALSE))</f>
        <v>Bote de pintura comex amarillo</v>
      </c>
      <c r="D67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75" s="28" t="str">
        <f>IFERROR(IF(GENERAL[[#This Row],[CANTIDAD]]=0, "AGOTADO", IF(GENERAL[[#This Row],[CANTIDAD]]&lt;VLOOKUP(GENERAL[[#This Row],[CODIGO]], PRODUCTOS[#All], 3, FALSE), "MENOR AL MINIMO", "")), "")</f>
        <v>AGOTADO</v>
      </c>
      <c r="F675" s="39">
        <f>IF(OR(GENERAL[[#This Row],[CODIGO]]="", GENERAL[[#This Row],[CANTIDAD]]=""), "", VLOOKUP(GENERAL[[#This Row],[CODIGO]], PRODUCTOS[#All], 4, FALSE) * GENERAL[[#This Row],[CANTIDAD]])</f>
        <v>0</v>
      </c>
      <c r="T675" s="8"/>
    </row>
    <row r="676" spans="2:20" x14ac:dyDescent="0.2">
      <c r="B676" s="11" t="str">
        <f>IF(PRODUCTOS[[#This Row],[CODIGO]]="", "", PRODUCTOS[[#This Row],[CODIGO]])</f>
        <v>MACO-PINCOVER-047</v>
      </c>
      <c r="C676" s="6" t="str">
        <f>IF(GENERAL[[#This Row],[CODIGO]]="", "", VLOOKUP(GENERAL[[#This Row],[CODIGO]], PRODUCTOS[#All], 2, FALSE))</f>
        <v>Bote de pintura comex verde</v>
      </c>
      <c r="D67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76" s="28" t="str">
        <f>IFERROR(IF(GENERAL[[#This Row],[CANTIDAD]]=0, "AGOTADO", IF(GENERAL[[#This Row],[CANTIDAD]]&lt;VLOOKUP(GENERAL[[#This Row],[CODIGO]], PRODUCTOS[#All], 3, FALSE), "MENOR AL MINIMO", "")), "")</f>
        <v>AGOTADO</v>
      </c>
      <c r="F676" s="39">
        <f>IF(OR(GENERAL[[#This Row],[CODIGO]]="", GENERAL[[#This Row],[CANTIDAD]]=""), "", VLOOKUP(GENERAL[[#This Row],[CODIGO]], PRODUCTOS[#All], 4, FALSE) * GENERAL[[#This Row],[CANTIDAD]])</f>
        <v>0</v>
      </c>
      <c r="T676" s="8"/>
    </row>
    <row r="677" spans="2:20" x14ac:dyDescent="0.2">
      <c r="B677" s="11" t="str">
        <f>IF(PRODUCTOS[[#This Row],[CODIGO]]="", "", PRODUCTOS[[#This Row],[CODIGO]])</f>
        <v>MACO-PINFLE-12</v>
      </c>
      <c r="C677" s="6" t="str">
        <f>IF(GENERAL[[#This Row],[CODIGO]]="", "", VLOOKUP(GENERAL[[#This Row],[CODIGO]], PRODUCTOS[#All], 2, FALSE))</f>
        <v>pinza selladora flejes 1/2</v>
      </c>
      <c r="D67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77" s="28" t="str">
        <f>IFERROR(IF(GENERAL[[#This Row],[CANTIDAD]]=0, "AGOTADO", IF(GENERAL[[#This Row],[CANTIDAD]]&lt;VLOOKUP(GENERAL[[#This Row],[CODIGO]], PRODUCTOS[#All], 3, FALSE), "MENOR AL MINIMO", "")), "")</f>
        <v>AGOTADO</v>
      </c>
      <c r="F677" s="39">
        <f>IF(OR(GENERAL[[#This Row],[CODIGO]]="", GENERAL[[#This Row],[CANTIDAD]]=""), "", VLOOKUP(GENERAL[[#This Row],[CODIGO]], PRODUCTOS[#All], 4, FALSE) * GENERAL[[#This Row],[CANTIDAD]])</f>
        <v>0</v>
      </c>
      <c r="T677" s="8"/>
    </row>
    <row r="678" spans="2:20" x14ac:dyDescent="0.2">
      <c r="B678" s="11" t="str">
        <f>IF(PRODUCTOS[[#This Row],[CODIGO]]="", "", PRODUCTOS[[#This Row],[CODIGO]])</f>
        <v>MACO-PINMOR-041</v>
      </c>
      <c r="C678" s="6" t="str">
        <f>IF(GENERAL[[#This Row],[CODIGO]]="", "", VLOOKUP(GENERAL[[#This Row],[CODIGO]], PRODUCTOS[#All], 2, FALSE))</f>
        <v>Lata de pintura 4L morado</v>
      </c>
      <c r="D67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78" s="28" t="str">
        <f>IFERROR(IF(GENERAL[[#This Row],[CANTIDAD]]=0, "AGOTADO", IF(GENERAL[[#This Row],[CANTIDAD]]&lt;VLOOKUP(GENERAL[[#This Row],[CODIGO]], PRODUCTOS[#All], 3, FALSE), "MENOR AL MINIMO", "")), "")</f>
        <v>AGOTADO</v>
      </c>
      <c r="F678" s="39">
        <f>IF(OR(GENERAL[[#This Row],[CODIGO]]="", GENERAL[[#This Row],[CANTIDAD]]=""), "", VLOOKUP(GENERAL[[#This Row],[CODIGO]], PRODUCTOS[#All], 4, FALSE) * GENERAL[[#This Row],[CANTIDAD]])</f>
        <v>0</v>
      </c>
      <c r="T678" s="8"/>
    </row>
    <row r="679" spans="2:20" x14ac:dyDescent="0.2">
      <c r="B679" s="11" t="str">
        <f>IF(PRODUCTOS[[#This Row],[CODIGO]]="", "", PRODUCTOS[[#This Row],[CODIGO]])</f>
        <v>MACO-PINPLACR-037</v>
      </c>
      <c r="C679" s="6" t="str">
        <f>IF(GENERAL[[#This Row],[CODIGO]]="", "", VLOOKUP(GENERAL[[#This Row],[CODIGO]], PRODUCTOS[#All], 2, FALSE))</f>
        <v>Pintura plateada acrílica 3L</v>
      </c>
      <c r="D67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79" s="28" t="str">
        <f>IFERROR(IF(GENERAL[[#This Row],[CANTIDAD]]=0, "AGOTADO", IF(GENERAL[[#This Row],[CANTIDAD]]&lt;VLOOKUP(GENERAL[[#This Row],[CODIGO]], PRODUCTOS[#All], 3, FALSE), "MENOR AL MINIMO", "")), "")</f>
        <v>AGOTADO</v>
      </c>
      <c r="F679" s="39">
        <f>IF(OR(GENERAL[[#This Row],[CODIGO]]="", GENERAL[[#This Row],[CANTIDAD]]=""), "", VLOOKUP(GENERAL[[#This Row],[CODIGO]], PRODUCTOS[#All], 4, FALSE) * GENERAL[[#This Row],[CANTIDAD]])</f>
        <v>0</v>
      </c>
      <c r="T679" s="8"/>
    </row>
    <row r="680" spans="2:20" x14ac:dyDescent="0.2">
      <c r="B680" s="11" t="str">
        <f>IF(PRODUCTOS[[#This Row],[CODIGO]]="", "", PRODUCTOS[[#This Row],[CODIGO]])</f>
        <v>MACO-PINROAE-039</v>
      </c>
      <c r="C680" s="6" t="str">
        <f>IF(GENERAL[[#This Row],[CODIGO]]="", "", VLOOKUP(GENERAL[[#This Row],[CODIGO]], PRODUCTOS[#All], 2, FALSE))</f>
        <v xml:space="preserve">Lata de pintura roja en aerosol </v>
      </c>
      <c r="D68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80" s="28" t="str">
        <f>IFERROR(IF(GENERAL[[#This Row],[CANTIDAD]]=0, "AGOTADO", IF(GENERAL[[#This Row],[CANTIDAD]]&lt;VLOOKUP(GENERAL[[#This Row],[CODIGO]], PRODUCTOS[#All], 3, FALSE), "MENOR AL MINIMO", "")), "")</f>
        <v>AGOTADO</v>
      </c>
      <c r="F680" s="39">
        <f>IF(OR(GENERAL[[#This Row],[CODIGO]]="", GENERAL[[#This Row],[CANTIDAD]]=""), "", VLOOKUP(GENERAL[[#This Row],[CODIGO]], PRODUCTOS[#All], 4, FALSE) * GENERAL[[#This Row],[CANTIDAD]])</f>
        <v>0</v>
      </c>
      <c r="T680" s="8"/>
    </row>
    <row r="681" spans="2:20" x14ac:dyDescent="0.2">
      <c r="B681" s="11" t="str">
        <f>IF(PRODUCTOS[[#This Row],[CODIGO]]="", "", PRODUCTOS[[#This Row],[CODIGO]])</f>
        <v>MACO-PINTUR-040</v>
      </c>
      <c r="C681" s="6" t="str">
        <f>IF(GENERAL[[#This Row],[CODIGO]]="", "", VLOOKUP(GENERAL[[#This Row],[CODIGO]], PRODUCTOS[#All], 2, FALSE))</f>
        <v>Lata de pintura 4L turquesa</v>
      </c>
      <c r="D68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81" s="28" t="str">
        <f>IFERROR(IF(GENERAL[[#This Row],[CANTIDAD]]=0, "AGOTADO", IF(GENERAL[[#This Row],[CANTIDAD]]&lt;VLOOKUP(GENERAL[[#This Row],[CODIGO]], PRODUCTOS[#All], 3, FALSE), "MENOR AL MINIMO", "")), "")</f>
        <v>AGOTADO</v>
      </c>
      <c r="F681" s="39">
        <f>IF(OR(GENERAL[[#This Row],[CODIGO]]="", GENERAL[[#This Row],[CANTIDAD]]=""), "", VLOOKUP(GENERAL[[#This Row],[CODIGO]], PRODUCTOS[#All], 4, FALSE) * GENERAL[[#This Row],[CANTIDAD]])</f>
        <v>0</v>
      </c>
      <c r="T681" s="8"/>
    </row>
    <row r="682" spans="2:20" x14ac:dyDescent="0.2">
      <c r="B682" s="11" t="str">
        <f>IF(PRODUCTOS[[#This Row],[CODIGO]]="", "", PRODUCTOS[[#This Row],[CODIGO]])</f>
        <v>MACO-PINVEVI-033</v>
      </c>
      <c r="C682" s="6" t="str">
        <f>IF(GENERAL[[#This Row],[CODIGO]]="", "", VLOOKUP(GENERAL[[#This Row],[CODIGO]], PRODUCTOS[#All], 2, FALSE))</f>
        <v>Pintura verde vinílica (1L)</v>
      </c>
      <c r="D68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82" s="28" t="str">
        <f>IFERROR(IF(GENERAL[[#This Row],[CANTIDAD]]=0, "AGOTADO", IF(GENERAL[[#This Row],[CANTIDAD]]&lt;VLOOKUP(GENERAL[[#This Row],[CODIGO]], PRODUCTOS[#All], 3, FALSE), "MENOR AL MINIMO", "")), "")</f>
        <v>AGOTADO</v>
      </c>
      <c r="F682" s="39">
        <f>IF(OR(GENERAL[[#This Row],[CODIGO]]="", GENERAL[[#This Row],[CANTIDAD]]=""), "", VLOOKUP(GENERAL[[#This Row],[CODIGO]], PRODUCTOS[#All], 4, FALSE) * GENERAL[[#This Row],[CANTIDAD]])</f>
        <v>0</v>
      </c>
      <c r="T682" s="8"/>
    </row>
    <row r="683" spans="2:20" x14ac:dyDescent="0.2">
      <c r="B683" s="11" t="str">
        <f>IF(PRODUCTOS[[#This Row],[CODIGO]]="", "", PRODUCTOS[[#This Row],[CODIGO]])</f>
        <v>MACO-PISTPI-028</v>
      </c>
      <c r="C683" s="6" t="str">
        <f>IF(GENERAL[[#This Row],[CODIGO]]="", "", VLOOKUP(GENERAL[[#This Row],[CODIGO]], PRODUCTOS[#All], 2, FALSE))</f>
        <v>Pistola de pintura</v>
      </c>
      <c r="D68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83" s="28" t="str">
        <f>IFERROR(IF(GENERAL[[#This Row],[CANTIDAD]]=0, "AGOTADO", IF(GENERAL[[#This Row],[CANTIDAD]]&lt;VLOOKUP(GENERAL[[#This Row],[CODIGO]], PRODUCTOS[#All], 3, FALSE), "MENOR AL MINIMO", "")), "")</f>
        <v>AGOTADO</v>
      </c>
      <c r="F683" s="39">
        <f>IF(OR(GENERAL[[#This Row],[CODIGO]]="", GENERAL[[#This Row],[CANTIDAD]]=""), "", VLOOKUP(GENERAL[[#This Row],[CODIGO]], PRODUCTOS[#All], 4, FALSE) * GENERAL[[#This Row],[CANTIDAD]])</f>
        <v>0</v>
      </c>
      <c r="T683" s="8"/>
    </row>
    <row r="684" spans="2:20" x14ac:dyDescent="0.2">
      <c r="B684" s="11" t="str">
        <f>IF(PRODUCTOS[[#This Row],[CODIGO]]="", "", PRODUCTOS[[#This Row],[CODIGO]])</f>
        <v>MACO-PLACT-104</v>
      </c>
      <c r="C684" s="6" t="str">
        <f>IF(GENERAL[[#This Row],[CODIGO]]="", "", VLOOKUP(GENERAL[[#This Row],[CODIGO]], PRODUCTOS[#All], 2, FALSE))</f>
        <v>Placa conexión a tierra 4 x 2</v>
      </c>
      <c r="D68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84" s="28" t="str">
        <f>IFERROR(IF(GENERAL[[#This Row],[CANTIDAD]]=0, "AGOTADO", IF(GENERAL[[#This Row],[CANTIDAD]]&lt;VLOOKUP(GENERAL[[#This Row],[CODIGO]], PRODUCTOS[#All], 3, FALSE), "MENOR AL MINIMO", "")), "")</f>
        <v>AGOTADO</v>
      </c>
      <c r="F684" s="39">
        <f>IF(OR(GENERAL[[#This Row],[CODIGO]]="", GENERAL[[#This Row],[CANTIDAD]]=""), "", VLOOKUP(GENERAL[[#This Row],[CODIGO]], PRODUCTOS[#All], 4, FALSE) * GENERAL[[#This Row],[CANTIDAD]])</f>
        <v>0</v>
      </c>
      <c r="T684" s="8"/>
    </row>
    <row r="685" spans="2:20" x14ac:dyDescent="0.2">
      <c r="B685" s="11" t="str">
        <f>IF(PRODUCTOS[[#This Row],[CODIGO]]="", "", PRODUCTOS[[#This Row],[CODIGO]])</f>
        <v>MACO-PLAPT-096</v>
      </c>
      <c r="C685" s="6" t="str">
        <f>IF(GENERAL[[#This Row],[CODIGO]]="", "", VLOOKUP(GENERAL[[#This Row],[CODIGO]], PRODUCTOS[#All], 2, FALSE))</f>
        <v>placa de puesta a tierra</v>
      </c>
      <c r="D68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85" s="28" t="str">
        <f>IFERROR(IF(GENERAL[[#This Row],[CANTIDAD]]=0, "AGOTADO", IF(GENERAL[[#This Row],[CANTIDAD]]&lt;VLOOKUP(GENERAL[[#This Row],[CODIGO]], PRODUCTOS[#All], 3, FALSE), "MENOR AL MINIMO", "")), "")</f>
        <v>AGOTADO</v>
      </c>
      <c r="F685" s="39">
        <f>IF(OR(GENERAL[[#This Row],[CODIGO]]="", GENERAL[[#This Row],[CANTIDAD]]=""), "", VLOOKUP(GENERAL[[#This Row],[CODIGO]], PRODUCTOS[#All], 4, FALSE) * GENERAL[[#This Row],[CANTIDAD]])</f>
        <v>0</v>
      </c>
      <c r="T685" s="8"/>
    </row>
    <row r="686" spans="2:20" x14ac:dyDescent="0.2">
      <c r="B686" s="11" t="str">
        <f>IF(PRODUCTOS[[#This Row],[CODIGO]]="", "", PRODUCTOS[[#This Row],[CODIGO]])</f>
        <v>MACO-POLAI-009</v>
      </c>
      <c r="C686" s="6" t="str">
        <f>IF(GENERAL[[#This Row],[CODIGO]]="", "", VLOOKUP(GENERAL[[#This Row],[CODIGO]], PRODUCTOS[#All], 2, FALSE))</f>
        <v>Polainas (pares)</v>
      </c>
      <c r="D68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86" s="28" t="str">
        <f>IFERROR(IF(GENERAL[[#This Row],[CANTIDAD]]=0, "AGOTADO", IF(GENERAL[[#This Row],[CANTIDAD]]&lt;VLOOKUP(GENERAL[[#This Row],[CODIGO]], PRODUCTOS[#All], 3, FALSE), "MENOR AL MINIMO", "")), "")</f>
        <v>AGOTADO</v>
      </c>
      <c r="F686" s="39">
        <f>IF(OR(GENERAL[[#This Row],[CODIGO]]="", GENERAL[[#This Row],[CANTIDAD]]=""), "", VLOOKUP(GENERAL[[#This Row],[CODIGO]], PRODUCTOS[#All], 4, FALSE) * GENERAL[[#This Row],[CANTIDAD]])</f>
        <v>0</v>
      </c>
      <c r="T686" s="8"/>
    </row>
    <row r="687" spans="2:20" x14ac:dyDescent="0.2">
      <c r="B687" s="11" t="str">
        <f>IF(PRODUCTOS[[#This Row],[CODIGO]]="", "", PRODUCTOS[[#This Row],[CODIGO]])</f>
        <v>MACO-PROCAA-12</v>
      </c>
      <c r="C687" s="6" t="str">
        <f>IF(GENERAL[[#This Row],[CODIGO]]="", "", VLOOKUP(GENERAL[[#This Row],[CODIGO]], PRODUCTOS[#All], 2, FALSE))</f>
        <v>Protección de cable azul 1/2</v>
      </c>
      <c r="D68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87" s="28" t="str">
        <f>IFERROR(IF(GENERAL[[#This Row],[CANTIDAD]]=0, "AGOTADO", IF(GENERAL[[#This Row],[CANTIDAD]]&lt;VLOOKUP(GENERAL[[#This Row],[CODIGO]], PRODUCTOS[#All], 3, FALSE), "MENOR AL MINIMO", "")), "")</f>
        <v>AGOTADO</v>
      </c>
      <c r="F687" s="39">
        <f>IF(OR(GENERAL[[#This Row],[CODIGO]]="", GENERAL[[#This Row],[CANTIDAD]]=""), "", VLOOKUP(GENERAL[[#This Row],[CODIGO]], PRODUCTOS[#All], 4, FALSE) * GENERAL[[#This Row],[CANTIDAD]])</f>
        <v>0</v>
      </c>
      <c r="T687" s="8"/>
    </row>
    <row r="688" spans="2:20" x14ac:dyDescent="0.2">
      <c r="B688" s="11" t="str">
        <f>IF(PRODUCTOS[[#This Row],[CODIGO]]="", "", PRODUCTOS[[#This Row],[CODIGO]])</f>
        <v>MACO-PROCAB-12</v>
      </c>
      <c r="C688" s="6" t="str">
        <f>IF(GENERAL[[#This Row],[CODIGO]]="", "", VLOOKUP(GENERAL[[#This Row],[CODIGO]], PRODUCTOS[#All], 2, FALSE))</f>
        <v>Protección de cable blanco 1/2</v>
      </c>
      <c r="D68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88" s="28" t="str">
        <f>IFERROR(IF(GENERAL[[#This Row],[CANTIDAD]]=0, "AGOTADO", IF(GENERAL[[#This Row],[CANTIDAD]]&lt;VLOOKUP(GENERAL[[#This Row],[CODIGO]], PRODUCTOS[#All], 3, FALSE), "MENOR AL MINIMO", "")), "")</f>
        <v>AGOTADO</v>
      </c>
      <c r="F688" s="39">
        <f>IF(OR(GENERAL[[#This Row],[CODIGO]]="", GENERAL[[#This Row],[CANTIDAD]]=""), "", VLOOKUP(GENERAL[[#This Row],[CODIGO]], PRODUCTOS[#All], 4, FALSE) * GENERAL[[#This Row],[CANTIDAD]])</f>
        <v>0</v>
      </c>
      <c r="T688" s="8"/>
    </row>
    <row r="689" spans="2:20" x14ac:dyDescent="0.2">
      <c r="B689" s="11" t="str">
        <f>IF(PRODUCTOS[[#This Row],[CODIGO]]="", "", PRODUCTOS[[#This Row],[CODIGO]])</f>
        <v>MACO-PROCAN-516</v>
      </c>
      <c r="C689" s="6" t="str">
        <f>IF(GENERAL[[#This Row],[CODIGO]]="", "", VLOOKUP(GENERAL[[#This Row],[CODIGO]], PRODUCTOS[#All], 2, FALSE))</f>
        <v>Protección de cable negro 5/16</v>
      </c>
      <c r="D68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89" s="28" t="str">
        <f>IFERROR(IF(GENERAL[[#This Row],[CANTIDAD]]=0, "AGOTADO", IF(GENERAL[[#This Row],[CANTIDAD]]&lt;VLOOKUP(GENERAL[[#This Row],[CODIGO]], PRODUCTOS[#All], 3, FALSE), "MENOR AL MINIMO", "")), "")</f>
        <v>AGOTADO</v>
      </c>
      <c r="F689" s="39">
        <f>IF(OR(GENERAL[[#This Row],[CODIGO]]="", GENERAL[[#This Row],[CANTIDAD]]=""), "", VLOOKUP(GENERAL[[#This Row],[CODIGO]], PRODUCTOS[#All], 4, FALSE) * GENERAL[[#This Row],[CANTIDAD]])</f>
        <v>0</v>
      </c>
      <c r="T689" s="8"/>
    </row>
    <row r="690" spans="2:20" x14ac:dyDescent="0.2">
      <c r="B690" s="11" t="str">
        <f>IF(PRODUCTOS[[#This Row],[CODIGO]]="", "", PRODUCTOS[[#This Row],[CODIGO]])</f>
        <v>MACO-PUCON12-18</v>
      </c>
      <c r="C690" s="6" t="str">
        <f>IF(GENERAL[[#This Row],[CODIGO]]="", "", VLOOKUP(GENERAL[[#This Row],[CODIGO]], PRODUCTOS[#All], 2, FALSE))</f>
        <v>Punta conector de glandula 1/2 para cable de 1/8 - 1/4</v>
      </c>
      <c r="D69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90" s="28" t="str">
        <f>IFERROR(IF(GENERAL[[#This Row],[CANTIDAD]]=0, "AGOTADO", IF(GENERAL[[#This Row],[CANTIDAD]]&lt;VLOOKUP(GENERAL[[#This Row],[CODIGO]], PRODUCTOS[#All], 3, FALSE), "MENOR AL MINIMO", "")), "")</f>
        <v>AGOTADO</v>
      </c>
      <c r="F690" s="39">
        <f>IF(OR(GENERAL[[#This Row],[CODIGO]]="", GENERAL[[#This Row],[CANTIDAD]]=""), "", VLOOKUP(GENERAL[[#This Row],[CODIGO]], PRODUCTOS[#All], 4, FALSE) * GENERAL[[#This Row],[CANTIDAD]])</f>
        <v>0</v>
      </c>
      <c r="T690" s="8"/>
    </row>
    <row r="691" spans="2:20" x14ac:dyDescent="0.2">
      <c r="B691" s="11" t="str">
        <f>IF(PRODUCTOS[[#This Row],[CODIGO]]="", "", PRODUCTOS[[#This Row],[CODIGO]])</f>
        <v>MACO-PUCON12-38</v>
      </c>
      <c r="C691" s="6" t="str">
        <f>IF(GENERAL[[#This Row],[CODIGO]]="", "", VLOOKUP(GENERAL[[#This Row],[CODIGO]], PRODUCTOS[#All], 2, FALSE))</f>
        <v>Punta conector de galndula 1/2 para ccable de 3/8</v>
      </c>
      <c r="D69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91" s="28" t="str">
        <f>IFERROR(IF(GENERAL[[#This Row],[CANTIDAD]]=0, "AGOTADO", IF(GENERAL[[#This Row],[CANTIDAD]]&lt;VLOOKUP(GENERAL[[#This Row],[CODIGO]], PRODUCTOS[#All], 3, FALSE), "MENOR AL MINIMO", "")), "")</f>
        <v>AGOTADO</v>
      </c>
      <c r="F691" s="39">
        <f>IF(OR(GENERAL[[#This Row],[CODIGO]]="", GENERAL[[#This Row],[CANTIDAD]]=""), "", VLOOKUP(GENERAL[[#This Row],[CODIGO]], PRODUCTOS[#All], 4, FALSE) * GENERAL[[#This Row],[CANTIDAD]])</f>
        <v>0</v>
      </c>
      <c r="T691" s="8"/>
    </row>
    <row r="692" spans="2:20" x14ac:dyDescent="0.2">
      <c r="B692" s="11" t="str">
        <f>IF(PRODUCTOS[[#This Row],[CODIGO]]="", "", PRODUCTOS[[#This Row],[CODIGO]])</f>
        <v>MACO-QUITGRAZ-021</v>
      </c>
      <c r="C692" s="6" t="str">
        <f>IF(GENERAL[[#This Row],[CODIGO]]="", "", VLOOKUP(GENERAL[[#This Row],[CODIGO]], PRODUCTOS[#All], 2, FALSE))</f>
        <v>Quita grasa B10 - azul  5lts</v>
      </c>
      <c r="D69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92" s="28" t="str">
        <f>IFERROR(IF(GENERAL[[#This Row],[CANTIDAD]]=0, "AGOTADO", IF(GENERAL[[#This Row],[CANTIDAD]]&lt;VLOOKUP(GENERAL[[#This Row],[CODIGO]], PRODUCTOS[#All], 3, FALSE), "MENOR AL MINIMO", "")), "")</f>
        <v>AGOTADO</v>
      </c>
      <c r="F692" s="39">
        <f>IF(OR(GENERAL[[#This Row],[CODIGO]]="", GENERAL[[#This Row],[CANTIDAD]]=""), "", VLOOKUP(GENERAL[[#This Row],[CODIGO]], PRODUCTOS[#All], 4, FALSE) * GENERAL[[#This Row],[CANTIDAD]])</f>
        <v>0</v>
      </c>
      <c r="T692" s="8"/>
    </row>
    <row r="693" spans="2:20" x14ac:dyDescent="0.2">
      <c r="B693" s="11" t="str">
        <f>IF(PRODUCTOS[[#This Row],[CODIGO]]="", "", PRODUCTOS[[#This Row],[CODIGO]])</f>
        <v>MACO-REFL100-081</v>
      </c>
      <c r="C693" s="6" t="str">
        <f>IF(GENERAL[[#This Row],[CODIGO]]="", "", VLOOKUP(GENERAL[[#This Row],[CODIGO]], PRODUCTOS[#All], 2, FALSE))</f>
        <v>Reflector lea 100W geopower</v>
      </c>
      <c r="D69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93" s="28" t="str">
        <f>IFERROR(IF(GENERAL[[#This Row],[CANTIDAD]]=0, "AGOTADO", IF(GENERAL[[#This Row],[CANTIDAD]]&lt;VLOOKUP(GENERAL[[#This Row],[CODIGO]], PRODUCTOS[#All], 3, FALSE), "MENOR AL MINIMO", "")), "")</f>
        <v>AGOTADO</v>
      </c>
      <c r="F693" s="39">
        <f>IF(OR(GENERAL[[#This Row],[CODIGO]]="", GENERAL[[#This Row],[CANTIDAD]]=""), "", VLOOKUP(GENERAL[[#This Row],[CODIGO]], PRODUCTOS[#All], 4, FALSE) * GENERAL[[#This Row],[CANTIDAD]])</f>
        <v>0</v>
      </c>
      <c r="T693" s="8"/>
    </row>
    <row r="694" spans="2:20" x14ac:dyDescent="0.2">
      <c r="B694" s="11" t="str">
        <f>IF(PRODUCTOS[[#This Row],[CODIGO]]="", "", PRODUCTOS[[#This Row],[CODIGO]])</f>
        <v>MACO-RESEPO-043</v>
      </c>
      <c r="C694" s="6" t="str">
        <f>IF(GENERAL[[#This Row],[CODIGO]]="", "", VLOOKUP(GENERAL[[#This Row],[CODIGO]], PRODUCTOS[#All], 2, FALSE))</f>
        <v xml:space="preserve">Resina epoxica </v>
      </c>
      <c r="D69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94" s="28" t="str">
        <f>IFERROR(IF(GENERAL[[#This Row],[CANTIDAD]]=0, "AGOTADO", IF(GENERAL[[#This Row],[CANTIDAD]]&lt;VLOOKUP(GENERAL[[#This Row],[CODIGO]], PRODUCTOS[#All], 3, FALSE), "MENOR AL MINIMO", "")), "")</f>
        <v>AGOTADO</v>
      </c>
      <c r="F694" s="39">
        <f>IF(OR(GENERAL[[#This Row],[CODIGO]]="", GENERAL[[#This Row],[CANTIDAD]]=""), "", VLOOKUP(GENERAL[[#This Row],[CODIGO]], PRODUCTOS[#All], 4, FALSE) * GENERAL[[#This Row],[CANTIDAD]])</f>
        <v>0</v>
      </c>
      <c r="T694" s="8"/>
    </row>
    <row r="695" spans="2:20" x14ac:dyDescent="0.2">
      <c r="B695" s="11" t="str">
        <f>IF(PRODUCTOS[[#This Row],[CODIGO]]="", "", PRODUCTOS[[#This Row],[CODIGO]])</f>
        <v>MACO-RESIS-023</v>
      </c>
      <c r="C695" s="6" t="str">
        <f>IF(GENERAL[[#This Row],[CODIGO]]="", "", VLOOKUP(GENERAL[[#This Row],[CODIGO]], PRODUCTOS[#All], 2, FALSE))</f>
        <v>Resistol 850 - 500ml</v>
      </c>
      <c r="D69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95" s="28" t="str">
        <f>IFERROR(IF(GENERAL[[#This Row],[CANTIDAD]]=0, "AGOTADO", IF(GENERAL[[#This Row],[CANTIDAD]]&lt;VLOOKUP(GENERAL[[#This Row],[CODIGO]], PRODUCTOS[#All], 3, FALSE), "MENOR AL MINIMO", "")), "")</f>
        <v>AGOTADO</v>
      </c>
      <c r="F695" s="39">
        <f>IF(OR(GENERAL[[#This Row],[CODIGO]]="", GENERAL[[#This Row],[CANTIDAD]]=""), "", VLOOKUP(GENERAL[[#This Row],[CODIGO]], PRODUCTOS[#All], 4, FALSE) * GENERAL[[#This Row],[CANTIDAD]])</f>
        <v>0</v>
      </c>
      <c r="H695" s="67" t="s">
        <v>1970</v>
      </c>
      <c r="T695" s="8"/>
    </row>
    <row r="696" spans="2:20" x14ac:dyDescent="0.2">
      <c r="B696" s="11" t="str">
        <f>IF(PRODUCTOS[[#This Row],[CODIGO]]="", "", PRODUCTOS[[#This Row],[CODIGO]])</f>
        <v>MACO-RON-12</v>
      </c>
      <c r="C696" s="6" t="str">
        <f>IF(GENERAL[[#This Row],[CODIGO]]="", "", VLOOKUP(GENERAL[[#This Row],[CODIGO]], PRODUCTOS[#All], 2, FALSE))</f>
        <v>Rondana 1/2"</v>
      </c>
      <c r="D69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96" s="28" t="str">
        <f>IFERROR(IF(GENERAL[[#This Row],[CANTIDAD]]=0, "AGOTADO", IF(GENERAL[[#This Row],[CANTIDAD]]&lt;VLOOKUP(GENERAL[[#This Row],[CODIGO]], PRODUCTOS[#All], 3, FALSE), "MENOR AL MINIMO", "")), "")</f>
        <v>AGOTADO</v>
      </c>
      <c r="F696" s="39">
        <f>IF(OR(GENERAL[[#This Row],[CODIGO]]="", GENERAL[[#This Row],[CANTIDAD]]=""), "", VLOOKUP(GENERAL[[#This Row],[CODIGO]], PRODUCTOS[#All], 4, FALSE) * GENERAL[[#This Row],[CANTIDAD]])</f>
        <v>0</v>
      </c>
      <c r="H696" s="62">
        <f>SUM(F652:F696)</f>
        <v>0</v>
      </c>
      <c r="T696" s="8"/>
    </row>
    <row r="697" spans="2:20" x14ac:dyDescent="0.2">
      <c r="B697" s="11" t="str">
        <f>IF(PRODUCTOS[[#This Row],[CODIGO]]="", "", PRODUCTOS[[#This Row],[CODIGO]])</f>
        <v>MACO-RON-14MM</v>
      </c>
      <c r="C697" s="6" t="str">
        <f>IF(GENERAL[[#This Row],[CODIGO]]="", "", VLOOKUP(GENERAL[[#This Row],[CODIGO]], PRODUCTOS[#All], 2, FALSE))</f>
        <v>Rondana 14mm</v>
      </c>
      <c r="D69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97" s="28" t="str">
        <f>IFERROR(IF(GENERAL[[#This Row],[CANTIDAD]]=0, "AGOTADO", IF(GENERAL[[#This Row],[CANTIDAD]]&lt;VLOOKUP(GENERAL[[#This Row],[CODIGO]], PRODUCTOS[#All], 3, FALSE), "MENOR AL MINIMO", "")), "")</f>
        <v>AGOTADO</v>
      </c>
      <c r="F697" s="39">
        <f>IF(OR(GENERAL[[#This Row],[CODIGO]]="", GENERAL[[#This Row],[CANTIDAD]]=""), "", VLOOKUP(GENERAL[[#This Row],[CODIGO]], PRODUCTOS[#All], 4, FALSE) * GENERAL[[#This Row],[CANTIDAD]])</f>
        <v>0</v>
      </c>
      <c r="T697" s="8"/>
    </row>
    <row r="698" spans="2:20" x14ac:dyDescent="0.2">
      <c r="B698" s="11" t="str">
        <f>IF(PRODUCTOS[[#This Row],[CODIGO]]="", "", PRODUCTOS[[#This Row],[CODIGO]])</f>
        <v>MACO-RON-15MM</v>
      </c>
      <c r="C698" s="6" t="str">
        <f>IF(GENERAL[[#This Row],[CODIGO]]="", "", VLOOKUP(GENERAL[[#This Row],[CODIGO]], PRODUCTOS[#All], 2, FALSE))</f>
        <v>Ronadana 15mm</v>
      </c>
      <c r="D69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98" s="28" t="str">
        <f>IFERROR(IF(GENERAL[[#This Row],[CANTIDAD]]=0, "AGOTADO", IF(GENERAL[[#This Row],[CANTIDAD]]&lt;VLOOKUP(GENERAL[[#This Row],[CODIGO]], PRODUCTOS[#All], 3, FALSE), "MENOR AL MINIMO", "")), "")</f>
        <v>AGOTADO</v>
      </c>
      <c r="F698" s="39">
        <f>IF(OR(GENERAL[[#This Row],[CODIGO]]="", GENERAL[[#This Row],[CANTIDAD]]=""), "", VLOOKUP(GENERAL[[#This Row],[CODIGO]], PRODUCTOS[#All], 4, FALSE) * GENERAL[[#This Row],[CANTIDAD]])</f>
        <v>0</v>
      </c>
      <c r="T698" s="8"/>
    </row>
    <row r="699" spans="2:20" x14ac:dyDescent="0.2">
      <c r="B699" s="11" t="str">
        <f>IF(PRODUCTOS[[#This Row],[CODIGO]]="", "", PRODUCTOS[[#This Row],[CODIGO]])</f>
        <v>MACO-RON-16MM</v>
      </c>
      <c r="C699" s="6" t="str">
        <f>IF(GENERAL[[#This Row],[CODIGO]]="", "", VLOOKUP(GENERAL[[#This Row],[CODIGO]], PRODUCTOS[#All], 2, FALSE))</f>
        <v>Rondana 16mm</v>
      </c>
      <c r="D69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699" s="28" t="str">
        <f>IFERROR(IF(GENERAL[[#This Row],[CANTIDAD]]=0, "AGOTADO", IF(GENERAL[[#This Row],[CANTIDAD]]&lt;VLOOKUP(GENERAL[[#This Row],[CODIGO]], PRODUCTOS[#All], 3, FALSE), "MENOR AL MINIMO", "")), "")</f>
        <v>AGOTADO</v>
      </c>
      <c r="F699" s="39">
        <f>IF(OR(GENERAL[[#This Row],[CODIGO]]="", GENERAL[[#This Row],[CANTIDAD]]=""), "", VLOOKUP(GENERAL[[#This Row],[CODIGO]], PRODUCTOS[#All], 4, FALSE) * GENERAL[[#This Row],[CANTIDAD]])</f>
        <v>0</v>
      </c>
      <c r="T699" s="8"/>
    </row>
    <row r="700" spans="2:20" x14ac:dyDescent="0.2">
      <c r="B700" s="11" t="str">
        <f>IF(PRODUCTOS[[#This Row],[CODIGO]]="", "", PRODUCTOS[[#This Row],[CODIGO]])</f>
        <v>MACO-RON-18MM</v>
      </c>
      <c r="C700" s="6" t="str">
        <f>IF(GENERAL[[#This Row],[CODIGO]]="", "", VLOOKUP(GENERAL[[#This Row],[CODIGO]], PRODUCTOS[#All], 2, FALSE))</f>
        <v>Rondana 18mm</v>
      </c>
      <c r="D70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00" s="28" t="str">
        <f>IFERROR(IF(GENERAL[[#This Row],[CANTIDAD]]=0, "AGOTADO", IF(GENERAL[[#This Row],[CANTIDAD]]&lt;VLOOKUP(GENERAL[[#This Row],[CODIGO]], PRODUCTOS[#All], 3, FALSE), "MENOR AL MINIMO", "")), "")</f>
        <v>AGOTADO</v>
      </c>
      <c r="F700" s="39">
        <f>IF(OR(GENERAL[[#This Row],[CODIGO]]="", GENERAL[[#This Row],[CANTIDAD]]=""), "", VLOOKUP(GENERAL[[#This Row],[CODIGO]], PRODUCTOS[#All], 4, FALSE) * GENERAL[[#This Row],[CANTIDAD]])</f>
        <v>0</v>
      </c>
      <c r="T700" s="8"/>
    </row>
    <row r="701" spans="2:20" x14ac:dyDescent="0.2">
      <c r="B701" s="11" t="str">
        <f>IF(PRODUCTOS[[#This Row],[CODIGO]]="", "", PRODUCTOS[[#This Row],[CODIGO]])</f>
        <v>MACO-RON-20MM</v>
      </c>
      <c r="C701" s="6" t="str">
        <f>IF(GENERAL[[#This Row],[CODIGO]]="", "", VLOOKUP(GENERAL[[#This Row],[CODIGO]], PRODUCTOS[#All], 2, FALSE))</f>
        <v>Ronadana 20mm</v>
      </c>
      <c r="D70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01" s="28" t="str">
        <f>IFERROR(IF(GENERAL[[#This Row],[CANTIDAD]]=0, "AGOTADO", IF(GENERAL[[#This Row],[CANTIDAD]]&lt;VLOOKUP(GENERAL[[#This Row],[CODIGO]], PRODUCTOS[#All], 3, FALSE), "MENOR AL MINIMO", "")), "")</f>
        <v>AGOTADO</v>
      </c>
      <c r="F701" s="39">
        <f>IF(OR(GENERAL[[#This Row],[CODIGO]]="", GENERAL[[#This Row],[CANTIDAD]]=""), "", VLOOKUP(GENERAL[[#This Row],[CODIGO]], PRODUCTOS[#All], 4, FALSE) * GENERAL[[#This Row],[CANTIDAD]])</f>
        <v>0</v>
      </c>
      <c r="T701" s="8"/>
    </row>
    <row r="702" spans="2:20" x14ac:dyDescent="0.2">
      <c r="B702" s="11" t="str">
        <f>IF(PRODUCTOS[[#This Row],[CODIGO]]="", "", PRODUCTOS[[#This Row],[CODIGO]])</f>
        <v>MACO-RON-34</v>
      </c>
      <c r="C702" s="6" t="str">
        <f>IF(GENERAL[[#This Row],[CODIGO]]="", "", VLOOKUP(GENERAL[[#This Row],[CODIGO]], PRODUCTOS[#All], 2, FALSE))</f>
        <v>Rondana 3/4"</v>
      </c>
      <c r="D70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02" s="28" t="str">
        <f>IFERROR(IF(GENERAL[[#This Row],[CANTIDAD]]=0, "AGOTADO", IF(GENERAL[[#This Row],[CANTIDAD]]&lt;VLOOKUP(GENERAL[[#This Row],[CODIGO]], PRODUCTOS[#All], 3, FALSE), "MENOR AL MINIMO", "")), "")</f>
        <v>AGOTADO</v>
      </c>
      <c r="F702" s="39">
        <f>IF(OR(GENERAL[[#This Row],[CODIGO]]="", GENERAL[[#This Row],[CANTIDAD]]=""), "", VLOOKUP(GENERAL[[#This Row],[CODIGO]], PRODUCTOS[#All], 4, FALSE) * GENERAL[[#This Row],[CANTIDAD]])</f>
        <v>0</v>
      </c>
      <c r="T702" s="8"/>
    </row>
    <row r="703" spans="2:20" x14ac:dyDescent="0.2">
      <c r="B703" s="11" t="str">
        <f>IF(PRODUCTOS[[#This Row],[CODIGO]]="", "", PRODUCTOS[[#This Row],[CODIGO]])</f>
        <v>MACO-RON-38</v>
      </c>
      <c r="C703" s="6" t="str">
        <f>IF(GENERAL[[#This Row],[CODIGO]]="", "", VLOOKUP(GENERAL[[#This Row],[CODIGO]], PRODUCTOS[#All], 2, FALSE))</f>
        <v>Rondana 3/8"</v>
      </c>
      <c r="D70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03" s="28" t="str">
        <f>IFERROR(IF(GENERAL[[#This Row],[CANTIDAD]]=0, "AGOTADO", IF(GENERAL[[#This Row],[CANTIDAD]]&lt;VLOOKUP(GENERAL[[#This Row],[CODIGO]], PRODUCTOS[#All], 3, FALSE), "MENOR AL MINIMO", "")), "")</f>
        <v>AGOTADO</v>
      </c>
      <c r="F703" s="39">
        <f>IF(OR(GENERAL[[#This Row],[CODIGO]]="", GENERAL[[#This Row],[CANTIDAD]]=""), "", VLOOKUP(GENERAL[[#This Row],[CODIGO]], PRODUCTOS[#All], 4, FALSE) * GENERAL[[#This Row],[CANTIDAD]])</f>
        <v>0</v>
      </c>
      <c r="T703" s="8"/>
    </row>
    <row r="704" spans="2:20" x14ac:dyDescent="0.2">
      <c r="B704" s="11" t="str">
        <f>IF(PRODUCTOS[[#This Row],[CODIGO]]="", "", PRODUCTOS[[#This Row],[CODIGO]])</f>
        <v>MACO-RON-516</v>
      </c>
      <c r="C704" s="6" t="str">
        <f>IF(GENERAL[[#This Row],[CODIGO]]="", "", VLOOKUP(GENERAL[[#This Row],[CODIGO]], PRODUCTOS[#All], 2, FALSE))</f>
        <v>Rondana 5/16"</v>
      </c>
      <c r="D70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04" s="28" t="str">
        <f>IFERROR(IF(GENERAL[[#This Row],[CANTIDAD]]=0, "AGOTADO", IF(GENERAL[[#This Row],[CANTIDAD]]&lt;VLOOKUP(GENERAL[[#This Row],[CODIGO]], PRODUCTOS[#All], 3, FALSE), "MENOR AL MINIMO", "")), "")</f>
        <v>AGOTADO</v>
      </c>
      <c r="F704" s="39">
        <f>IF(OR(GENERAL[[#This Row],[CODIGO]]="", GENERAL[[#This Row],[CANTIDAD]]=""), "", VLOOKUP(GENERAL[[#This Row],[CODIGO]], PRODUCTOS[#All], 4, FALSE) * GENERAL[[#This Row],[CANTIDAD]])</f>
        <v>0</v>
      </c>
      <c r="T704" s="8"/>
    </row>
    <row r="705" spans="2:20" x14ac:dyDescent="0.2">
      <c r="B705" s="11" t="str">
        <f>IF(PRODUCTOS[[#This Row],[CODIGO]]="", "", PRODUCTOS[[#This Row],[CODIGO]])</f>
        <v>MACO-RON-58</v>
      </c>
      <c r="C705" s="6" t="str">
        <f>IF(GENERAL[[#This Row],[CODIGO]]="", "", VLOOKUP(GENERAL[[#This Row],[CODIGO]], PRODUCTOS[#All], 2, FALSE))</f>
        <v>Rondana 5/8"</v>
      </c>
      <c r="D70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05" s="28" t="str">
        <f>IFERROR(IF(GENERAL[[#This Row],[CANTIDAD]]=0, "AGOTADO", IF(GENERAL[[#This Row],[CANTIDAD]]&lt;VLOOKUP(GENERAL[[#This Row],[CODIGO]], PRODUCTOS[#All], 3, FALSE), "MENOR AL MINIMO", "")), "")</f>
        <v>AGOTADO</v>
      </c>
      <c r="F705" s="39">
        <f>IF(OR(GENERAL[[#This Row],[CODIGO]]="", GENERAL[[#This Row],[CANTIDAD]]=""), "", VLOOKUP(GENERAL[[#This Row],[CODIGO]], PRODUCTOS[#All], 4, FALSE) * GENERAL[[#This Row],[CANTIDAD]])</f>
        <v>0</v>
      </c>
      <c r="T705" s="8"/>
    </row>
    <row r="706" spans="2:20" x14ac:dyDescent="0.2">
      <c r="B706" s="11" t="str">
        <f>IF(PRODUCTOS[[#This Row],[CODIGO]]="", "", PRODUCTOS[[#This Row],[CODIGO]])</f>
        <v>MACO-RON-716</v>
      </c>
      <c r="C706" s="6" t="str">
        <f>IF(GENERAL[[#This Row],[CODIGO]]="", "", VLOOKUP(GENERAL[[#This Row],[CODIGO]], PRODUCTOS[#All], 2, FALSE))</f>
        <v>Rondana 7/16"</v>
      </c>
      <c r="D70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06" s="28" t="str">
        <f>IFERROR(IF(GENERAL[[#This Row],[CANTIDAD]]=0, "AGOTADO", IF(GENERAL[[#This Row],[CANTIDAD]]&lt;VLOOKUP(GENERAL[[#This Row],[CODIGO]], PRODUCTOS[#All], 3, FALSE), "MENOR AL MINIMO", "")), "")</f>
        <v>AGOTADO</v>
      </c>
      <c r="F706" s="39">
        <f>IF(OR(GENERAL[[#This Row],[CODIGO]]="", GENERAL[[#This Row],[CANTIDAD]]=""), "", VLOOKUP(GENERAL[[#This Row],[CODIGO]], PRODUCTOS[#All], 4, FALSE) * GENERAL[[#This Row],[CANTIDAD]])</f>
        <v>0</v>
      </c>
      <c r="H706" s="67" t="s">
        <v>1971</v>
      </c>
      <c r="T706" s="8"/>
    </row>
    <row r="707" spans="2:20" x14ac:dyDescent="0.2">
      <c r="B707" s="11" t="str">
        <f>IF(PRODUCTOS[[#This Row],[CODIGO]]="", "", PRODUCTOS[[#This Row],[CODIGO]])</f>
        <v>MACO-RONB-13MM</v>
      </c>
      <c r="C707" s="6" t="str">
        <f>IF(GENERAL[[#This Row],[CODIGO]]="", "", VLOOKUP(GENERAL[[#This Row],[CODIGO]], PRODUCTOS[#All], 2, FALSE))</f>
        <v>Rondana de bloqueo 13mm</v>
      </c>
      <c r="D70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07" s="28" t="str">
        <f>IFERROR(IF(GENERAL[[#This Row],[CANTIDAD]]=0, "AGOTADO", IF(GENERAL[[#This Row],[CANTIDAD]]&lt;VLOOKUP(GENERAL[[#This Row],[CODIGO]], PRODUCTOS[#All], 3, FALSE), "MENOR AL MINIMO", "")), "")</f>
        <v>AGOTADO</v>
      </c>
      <c r="F707" s="39">
        <f>IF(OR(GENERAL[[#This Row],[CODIGO]]="", GENERAL[[#This Row],[CANTIDAD]]=""), "", VLOOKUP(GENERAL[[#This Row],[CODIGO]], PRODUCTOS[#All], 4, FALSE) * GENERAL[[#This Row],[CANTIDAD]])</f>
        <v>0</v>
      </c>
      <c r="H707" s="62">
        <f>SUM(F697:F707)</f>
        <v>0</v>
      </c>
      <c r="T707" s="8"/>
    </row>
    <row r="708" spans="2:20" x14ac:dyDescent="0.2">
      <c r="B708" s="11" t="str">
        <f>IF(PRODUCTOS[[#This Row],[CODIGO]]="", "", PRODUCTOS[[#This Row],[CODIGO]])</f>
        <v>MACO-RONB-38</v>
      </c>
      <c r="C708" s="6" t="str">
        <f>IF(GENERAL[[#This Row],[CODIGO]]="", "", VLOOKUP(GENERAL[[#This Row],[CODIGO]], PRODUCTOS[#All], 2, FALSE))</f>
        <v>Rondana de bloqueo 3/8"</v>
      </c>
      <c r="D70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08" s="28" t="str">
        <f>IFERROR(IF(GENERAL[[#This Row],[CANTIDAD]]=0, "AGOTADO", IF(GENERAL[[#This Row],[CANTIDAD]]&lt;VLOOKUP(GENERAL[[#This Row],[CODIGO]], PRODUCTOS[#All], 3, FALSE), "MENOR AL MINIMO", "")), "")</f>
        <v>AGOTADO</v>
      </c>
      <c r="F708" s="39">
        <f>IF(OR(GENERAL[[#This Row],[CODIGO]]="", GENERAL[[#This Row],[CANTIDAD]]=""), "", VLOOKUP(GENERAL[[#This Row],[CODIGO]], PRODUCTOS[#All], 4, FALSE) * GENERAL[[#This Row],[CANTIDAD]])</f>
        <v>0</v>
      </c>
      <c r="T708" s="8"/>
    </row>
    <row r="709" spans="2:20" x14ac:dyDescent="0.2">
      <c r="B709" s="11" t="str">
        <f>IF(PRODUCTOS[[#This Row],[CODIGO]]="", "", PRODUCTOS[[#This Row],[CODIGO]])</f>
        <v>MACO-RONP-34</v>
      </c>
      <c r="C709" s="6" t="str">
        <f>IF(GENERAL[[#This Row],[CODIGO]]="", "", VLOOKUP(GENERAL[[#This Row],[CODIGO]], PRODUCTOS[#All], 2, FALSE))</f>
        <v>Rondana de presión 3/4</v>
      </c>
      <c r="D70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09" s="28" t="str">
        <f>IFERROR(IF(GENERAL[[#This Row],[CANTIDAD]]=0, "AGOTADO", IF(GENERAL[[#This Row],[CANTIDAD]]&lt;VLOOKUP(GENERAL[[#This Row],[CODIGO]], PRODUCTOS[#All], 3, FALSE), "MENOR AL MINIMO", "")), "")</f>
        <v>AGOTADO</v>
      </c>
      <c r="F709" s="39">
        <f>IF(OR(GENERAL[[#This Row],[CODIGO]]="", GENERAL[[#This Row],[CANTIDAD]]=""), "", VLOOKUP(GENERAL[[#This Row],[CODIGO]], PRODUCTOS[#All], 4, FALSE) * GENERAL[[#This Row],[CANTIDAD]])</f>
        <v>0</v>
      </c>
      <c r="T709" s="8"/>
    </row>
    <row r="710" spans="2:20" x14ac:dyDescent="0.2">
      <c r="B710" s="11" t="str">
        <f>IF(PRODUCTOS[[#This Row],[CODIGO]]="", "", PRODUCTOS[[#This Row],[CODIGO]])</f>
        <v>MACO-RONP-716</v>
      </c>
      <c r="C710" s="6" t="str">
        <f>IF(GENERAL[[#This Row],[CODIGO]]="", "", VLOOKUP(GENERAL[[#This Row],[CODIGO]], PRODUCTOS[#All], 2, FALSE))</f>
        <v>Rondana de presión 7/16</v>
      </c>
      <c r="D71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10" s="28" t="str">
        <f>IFERROR(IF(GENERAL[[#This Row],[CANTIDAD]]=0, "AGOTADO", IF(GENERAL[[#This Row],[CANTIDAD]]&lt;VLOOKUP(GENERAL[[#This Row],[CODIGO]], PRODUCTOS[#All], 3, FALSE), "MENOR AL MINIMO", "")), "")</f>
        <v>AGOTADO</v>
      </c>
      <c r="F710" s="39">
        <f>IF(OR(GENERAL[[#This Row],[CODIGO]]="", GENERAL[[#This Row],[CANTIDAD]]=""), "", VLOOKUP(GENERAL[[#This Row],[CODIGO]], PRODUCTOS[#All], 4, FALSE) * GENERAL[[#This Row],[CANTIDAD]])</f>
        <v>0</v>
      </c>
      <c r="T710" s="8"/>
    </row>
    <row r="711" spans="2:20" x14ac:dyDescent="0.2">
      <c r="B711" s="11" t="str">
        <f>IF(PRODUCTOS[[#This Row],[CODIGO]]="", "", PRODUCTOS[[#This Row],[CODIGO]])</f>
        <v>MACO-RONR-12</v>
      </c>
      <c r="C711" s="6" t="str">
        <f>IF(GENERAL[[#This Row],[CODIGO]]="", "", VLOOKUP(GENERAL[[#This Row],[CODIGO]], PRODUCTOS[#All], 2, FALSE))</f>
        <v>Rondana Reforzada 1/2"</v>
      </c>
      <c r="D71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11" s="28" t="str">
        <f>IFERROR(IF(GENERAL[[#This Row],[CANTIDAD]]=0, "AGOTADO", IF(GENERAL[[#This Row],[CANTIDAD]]&lt;VLOOKUP(GENERAL[[#This Row],[CODIGO]], PRODUCTOS[#All], 3, FALSE), "MENOR AL MINIMO", "")), "")</f>
        <v>AGOTADO</v>
      </c>
      <c r="F711" s="39">
        <f>IF(OR(GENERAL[[#This Row],[CODIGO]]="", GENERAL[[#This Row],[CANTIDAD]]=""), "", VLOOKUP(GENERAL[[#This Row],[CODIGO]], PRODUCTOS[#All], 4, FALSE) * GENERAL[[#This Row],[CANTIDAD]])</f>
        <v>0</v>
      </c>
      <c r="T711" s="8"/>
    </row>
    <row r="712" spans="2:20" x14ac:dyDescent="0.2">
      <c r="B712" s="11" t="str">
        <f>IF(PRODUCTOS[[#This Row],[CODIGO]]="", "", PRODUCTOS[[#This Row],[CODIGO]])</f>
        <v>MACO-RONS-10MM</v>
      </c>
      <c r="C712" s="6" t="str">
        <f>IF(GENERAL[[#This Row],[CODIGO]]="", "", VLOOKUP(GENERAL[[#This Row],[CODIGO]], PRODUCTOS[#All], 2, FALSE))</f>
        <v>Rondana de seguridad 10mm</v>
      </c>
      <c r="D71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12" s="28" t="str">
        <f>IFERROR(IF(GENERAL[[#This Row],[CANTIDAD]]=0, "AGOTADO", IF(GENERAL[[#This Row],[CANTIDAD]]&lt;VLOOKUP(GENERAL[[#This Row],[CODIGO]], PRODUCTOS[#All], 3, FALSE), "MENOR AL MINIMO", "")), "")</f>
        <v>AGOTADO</v>
      </c>
      <c r="F712" s="39">
        <f>IF(OR(GENERAL[[#This Row],[CODIGO]]="", GENERAL[[#This Row],[CANTIDAD]]=""), "", VLOOKUP(GENERAL[[#This Row],[CODIGO]], PRODUCTOS[#All], 4, FALSE) * GENERAL[[#This Row],[CANTIDAD]])</f>
        <v>0</v>
      </c>
      <c r="T712" s="8"/>
    </row>
    <row r="713" spans="2:20" x14ac:dyDescent="0.2">
      <c r="B713" s="11" t="str">
        <f>IF(PRODUCTOS[[#This Row],[CODIGO]]="", "", PRODUCTOS[[#This Row],[CODIGO]])</f>
        <v>MACO-RONS-13MM</v>
      </c>
      <c r="C713" s="6" t="str">
        <f>IF(GENERAL[[#This Row],[CODIGO]]="", "", VLOOKUP(GENERAL[[#This Row],[CODIGO]], PRODUCTOS[#All], 2, FALSE))</f>
        <v>Rondana de seguridad 13mm</v>
      </c>
      <c r="D71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13" s="28" t="str">
        <f>IFERROR(IF(GENERAL[[#This Row],[CANTIDAD]]=0, "AGOTADO", IF(GENERAL[[#This Row],[CANTIDAD]]&lt;VLOOKUP(GENERAL[[#This Row],[CODIGO]], PRODUCTOS[#All], 3, FALSE), "MENOR AL MINIMO", "")), "")</f>
        <v>AGOTADO</v>
      </c>
      <c r="F713" s="39">
        <f>IF(OR(GENERAL[[#This Row],[CODIGO]]="", GENERAL[[#This Row],[CANTIDAD]]=""), "", VLOOKUP(GENERAL[[#This Row],[CODIGO]], PRODUCTOS[#All], 4, FALSE) * GENERAL[[#This Row],[CANTIDAD]])</f>
        <v>0</v>
      </c>
      <c r="T713" s="8"/>
    </row>
    <row r="714" spans="2:20" x14ac:dyDescent="0.2">
      <c r="B714" s="11" t="str">
        <f>IF(PRODUCTOS[[#This Row],[CODIGO]]="", "", PRODUCTOS[[#This Row],[CODIGO]])</f>
        <v>MACO-RONS-16MM</v>
      </c>
      <c r="C714" s="6" t="str">
        <f>IF(GENERAL[[#This Row],[CODIGO]]="", "", VLOOKUP(GENERAL[[#This Row],[CODIGO]], PRODUCTOS[#All], 2, FALSE))</f>
        <v>Rondana de seguridad 16mm</v>
      </c>
      <c r="D71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14" s="28" t="str">
        <f>IFERROR(IF(GENERAL[[#This Row],[CANTIDAD]]=0, "AGOTADO", IF(GENERAL[[#This Row],[CANTIDAD]]&lt;VLOOKUP(GENERAL[[#This Row],[CODIGO]], PRODUCTOS[#All], 3, FALSE), "MENOR AL MINIMO", "")), "")</f>
        <v>AGOTADO</v>
      </c>
      <c r="F714" s="39">
        <f>IF(OR(GENERAL[[#This Row],[CODIGO]]="", GENERAL[[#This Row],[CANTIDAD]]=""), "", VLOOKUP(GENERAL[[#This Row],[CODIGO]], PRODUCTOS[#All], 4, FALSE) * GENERAL[[#This Row],[CANTIDAD]])</f>
        <v>0</v>
      </c>
      <c r="T714" s="8"/>
    </row>
    <row r="715" spans="2:20" x14ac:dyDescent="0.2">
      <c r="B715" s="11" t="str">
        <f>IF(PRODUCTOS[[#This Row],[CODIGO]]="", "", PRODUCTOS[[#This Row],[CODIGO]])</f>
        <v>MACO-RONS-20MM</v>
      </c>
      <c r="C715" s="6" t="str">
        <f>IF(GENERAL[[#This Row],[CODIGO]]="", "", VLOOKUP(GENERAL[[#This Row],[CODIGO]], PRODUCTOS[#All], 2, FALSE))</f>
        <v>Rondana de seguridad 20mm</v>
      </c>
      <c r="D71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15" s="28" t="str">
        <f>IFERROR(IF(GENERAL[[#This Row],[CANTIDAD]]=0, "AGOTADO", IF(GENERAL[[#This Row],[CANTIDAD]]&lt;VLOOKUP(GENERAL[[#This Row],[CODIGO]], PRODUCTOS[#All], 3, FALSE), "MENOR AL MINIMO", "")), "")</f>
        <v>AGOTADO</v>
      </c>
      <c r="F715" s="39">
        <f>IF(OR(GENERAL[[#This Row],[CODIGO]]="", GENERAL[[#This Row],[CANTIDAD]]=""), "", VLOOKUP(GENERAL[[#This Row],[CODIGO]], PRODUCTOS[#All], 4, FALSE) * GENERAL[[#This Row],[CANTIDAD]])</f>
        <v>0</v>
      </c>
      <c r="T715" s="8"/>
    </row>
    <row r="716" spans="2:20" x14ac:dyDescent="0.2">
      <c r="B716" s="11" t="str">
        <f>IF(PRODUCTOS[[#This Row],[CODIGO]]="", "", PRODUCTOS[[#This Row],[CODIGO]])</f>
        <v>MACO-RONS-8MM</v>
      </c>
      <c r="C716" s="6" t="str">
        <f>IF(GENERAL[[#This Row],[CODIGO]]="", "", VLOOKUP(GENERAL[[#This Row],[CODIGO]], PRODUCTOS[#All], 2, FALSE))</f>
        <v>Rondana de seguridad 8mm</v>
      </c>
      <c r="D71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16" s="28" t="str">
        <f>IFERROR(IF(GENERAL[[#This Row],[CANTIDAD]]=0, "AGOTADO", IF(GENERAL[[#This Row],[CANTIDAD]]&lt;VLOOKUP(GENERAL[[#This Row],[CODIGO]], PRODUCTOS[#All], 3, FALSE), "MENOR AL MINIMO", "")), "")</f>
        <v>AGOTADO</v>
      </c>
      <c r="F716" s="39">
        <f>IF(OR(GENERAL[[#This Row],[CODIGO]]="", GENERAL[[#This Row],[CANTIDAD]]=""), "", VLOOKUP(GENERAL[[#This Row],[CODIGO]], PRODUCTOS[#All], 4, FALSE) * GENERAL[[#This Row],[CANTIDAD]])</f>
        <v>0</v>
      </c>
      <c r="T716" s="8"/>
    </row>
    <row r="717" spans="2:20" x14ac:dyDescent="0.2">
      <c r="B717" s="37" t="str">
        <f>IF(PRODUCTOS[[#This Row],[CODIGO]]="", "", PRODUCTOS[[#This Row],[CODIGO]])</f>
        <v>MACO-RONS-9MM</v>
      </c>
      <c r="C717" s="12" t="str">
        <f>IF(GENERAL[[#This Row],[CODIGO]]="", "", VLOOKUP(GENERAL[[#This Row],[CODIGO]], PRODUCTOS[#All], 2, FALSE))</f>
        <v>Rondana de seguridad 9mm</v>
      </c>
      <c r="D717" s="22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17" s="29" t="str">
        <f>IFERROR(IF(GENERAL[[#This Row],[CANTIDAD]]=0, "AGOTADO", IF(GENERAL[[#This Row],[CANTIDAD]]&lt;VLOOKUP(GENERAL[[#This Row],[CODIGO]], PRODUCTOS[#All], 3, FALSE), "MENOR AL MINIMO", "")), "")</f>
        <v>AGOTADO</v>
      </c>
      <c r="F717" s="41">
        <f>IF(OR(GENERAL[[#This Row],[CODIGO]]="", GENERAL[[#This Row],[CANTIDAD]]=""), "", VLOOKUP(GENERAL[[#This Row],[CODIGO]], PRODUCTOS[#All], 4, FALSE) * GENERAL[[#This Row],[CANTIDAD]])</f>
        <v>0</v>
      </c>
      <c r="T717" s="8"/>
    </row>
    <row r="718" spans="2:20" x14ac:dyDescent="0.2">
      <c r="B718" s="11" t="str">
        <f>IF(PRODUCTOS[[#This Row],[CODIGO]]="", "", PRODUCTOS[[#This Row],[CODIGO]])</f>
        <v>MACO-SELLGI-410</v>
      </c>
      <c r="C718" s="6" t="str">
        <f>IF(GENERAL[[#This Row],[CODIGO]]="", "", VLOOKUP(GENERAL[[#This Row],[CODIGO]], PRODUCTOS[#All], 2, FALSE))</f>
        <v>Sellado giratoria 8 - 410</v>
      </c>
      <c r="D71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18" s="28" t="str">
        <f>IFERROR(IF(GENERAL[[#This Row],[CANTIDAD]]=0, "AGOTADO", IF(GENERAL[[#This Row],[CANTIDAD]]&lt;VLOOKUP(GENERAL[[#This Row],[CODIGO]], PRODUCTOS[#All], 3, FALSE), "MENOR AL MINIMO", "")), "")</f>
        <v>AGOTADO</v>
      </c>
      <c r="F718" s="39">
        <f>IF(OR(GENERAL[[#This Row],[CODIGO]]="", GENERAL[[#This Row],[CANTIDAD]]=""), "", VLOOKUP(GENERAL[[#This Row],[CODIGO]], PRODUCTOS[#All], 4, FALSE) * GENERAL[[#This Row],[CANTIDAD]])</f>
        <v>0</v>
      </c>
      <c r="T718" s="8"/>
    </row>
    <row r="719" spans="2:20" x14ac:dyDescent="0.2">
      <c r="B719" s="11" t="str">
        <f>IF(PRODUCTOS[[#This Row],[CODIGO]]="", "", PRODUCTOS[[#This Row],[CODIGO]])</f>
        <v>MACO-SILIC-042</v>
      </c>
      <c r="C719" s="6" t="str">
        <f>IF(GENERAL[[#This Row],[CODIGO]]="", "", VLOOKUP(GENERAL[[#This Row],[CODIGO]], PRODUCTOS[#All], 2, FALSE))</f>
        <v xml:space="preserve">Silicon </v>
      </c>
      <c r="D71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19" s="28" t="str">
        <f>IFERROR(IF(GENERAL[[#This Row],[CANTIDAD]]=0, "AGOTADO", IF(GENERAL[[#This Row],[CANTIDAD]]&lt;VLOOKUP(GENERAL[[#This Row],[CODIGO]], PRODUCTOS[#All], 3, FALSE), "MENOR AL MINIMO", "")), "")</f>
        <v>AGOTADO</v>
      </c>
      <c r="F719" s="39">
        <f>IF(OR(GENERAL[[#This Row],[CODIGO]]="", GENERAL[[#This Row],[CANTIDAD]]=""), "", VLOOKUP(GENERAL[[#This Row],[CODIGO]], PRODUCTOS[#All], 4, FALSE) * GENERAL[[#This Row],[CANTIDAD]])</f>
        <v>0</v>
      </c>
      <c r="T719" s="8"/>
    </row>
    <row r="720" spans="2:20" x14ac:dyDescent="0.2">
      <c r="B720" s="11" t="str">
        <f>IF(PRODUCTOS[[#This Row],[CODIGO]]="", "", PRODUCTOS[[#This Row],[CODIGO]])</f>
        <v>MACO-SOPBR24-65</v>
      </c>
      <c r="C720" s="6" t="str">
        <f>IF(GENERAL[[#This Row],[CODIGO]]="", "", VLOOKUP(GENERAL[[#This Row],[CODIGO]], PRODUCTOS[#All], 2, FALSE))</f>
        <v>Soporte de brazo 24" - 65"</v>
      </c>
      <c r="D72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20" s="28" t="str">
        <f>IFERROR(IF(GENERAL[[#This Row],[CANTIDAD]]=0, "AGOTADO", IF(GENERAL[[#This Row],[CANTIDAD]]&lt;VLOOKUP(GENERAL[[#This Row],[CODIGO]], PRODUCTOS[#All], 3, FALSE), "MENOR AL MINIMO", "")), "")</f>
        <v>AGOTADO</v>
      </c>
      <c r="F720" s="39">
        <f>IF(OR(GENERAL[[#This Row],[CODIGO]]="", GENERAL[[#This Row],[CANTIDAD]]=""), "", VLOOKUP(GENERAL[[#This Row],[CODIGO]], PRODUCTOS[#All], 4, FALSE) * GENERAL[[#This Row],[CANTIDAD]])</f>
        <v>0</v>
      </c>
      <c r="T720" s="8"/>
    </row>
    <row r="721" spans="2:20" x14ac:dyDescent="0.2">
      <c r="B721" s="11" t="str">
        <f>IF(PRODUCTOS[[#This Row],[CODIGO]]="", "", PRODUCTOS[[#This Row],[CODIGO]])</f>
        <v>MACO-SOPES-094</v>
      </c>
      <c r="C721" s="6" t="str">
        <f>IF(GENERAL[[#This Row],[CODIGO]]="", "", VLOOKUP(GENERAL[[#This Row],[CODIGO]], PRODUCTOS[#All], 2, FALSE))</f>
        <v>Soporte estructura solar connera</v>
      </c>
      <c r="D72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21" s="28" t="str">
        <f>IFERROR(IF(GENERAL[[#This Row],[CANTIDAD]]=0, "AGOTADO", IF(GENERAL[[#This Row],[CANTIDAD]]&lt;VLOOKUP(GENERAL[[#This Row],[CODIGO]], PRODUCTOS[#All], 3, FALSE), "MENOR AL MINIMO", "")), "")</f>
        <v>AGOTADO</v>
      </c>
      <c r="F721" s="39">
        <f>IF(OR(GENERAL[[#This Row],[CODIGO]]="", GENERAL[[#This Row],[CANTIDAD]]=""), "", VLOOKUP(GENERAL[[#This Row],[CODIGO]], PRODUCTOS[#All], 4, FALSE) * GENERAL[[#This Row],[CANTIDAD]])</f>
        <v>0</v>
      </c>
      <c r="T721" s="8"/>
    </row>
    <row r="722" spans="2:20" x14ac:dyDescent="0.2">
      <c r="B722" s="11" t="str">
        <f>IF(PRODUCTOS[[#This Row],[CODIGO]]="", "", PRODUCTOS[[#This Row],[CODIGO]])</f>
        <v>MACO-SOPL-100</v>
      </c>
      <c r="C722" s="6" t="str">
        <f>IF(GENERAL[[#This Row],[CODIGO]]="", "", VLOOKUP(GENERAL[[#This Row],[CODIGO]], PRODUCTOS[#All], 2, FALSE))</f>
        <v xml:space="preserve">Soporte tipo L </v>
      </c>
      <c r="D72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22" s="28" t="str">
        <f>IFERROR(IF(GENERAL[[#This Row],[CANTIDAD]]=0, "AGOTADO", IF(GENERAL[[#This Row],[CANTIDAD]]&lt;VLOOKUP(GENERAL[[#This Row],[CODIGO]], PRODUCTOS[#All], 3, FALSE), "MENOR AL MINIMO", "")), "")</f>
        <v>AGOTADO</v>
      </c>
      <c r="F722" s="39">
        <f>IF(OR(GENERAL[[#This Row],[CODIGO]]="", GENERAL[[#This Row],[CANTIDAD]]=""), "", VLOOKUP(GENERAL[[#This Row],[CODIGO]], PRODUCTOS[#All], 4, FALSE) * GENERAL[[#This Row],[CANTIDAD]])</f>
        <v>0</v>
      </c>
      <c r="T722" s="8"/>
    </row>
    <row r="723" spans="2:20" x14ac:dyDescent="0.2">
      <c r="B723" s="11" t="str">
        <f>IF(PRODUCTOS[[#This Row],[CODIGO]]="", "", PRODUCTOS[[#This Row],[CODIGO]])</f>
        <v>MACO-SOPRIE-099</v>
      </c>
      <c r="C723" s="6" t="str">
        <f>IF(GENERAL[[#This Row],[CODIGO]]="", "", VLOOKUP(GENERAL[[#This Row],[CODIGO]], PRODUCTOS[#All], 2, FALSE))</f>
        <v xml:space="preserve">Soporte tipo l tornillo t montaje de riel panel </v>
      </c>
      <c r="D72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23" s="28" t="str">
        <f>IFERROR(IF(GENERAL[[#This Row],[CANTIDAD]]=0, "AGOTADO", IF(GENERAL[[#This Row],[CANTIDAD]]&lt;VLOOKUP(GENERAL[[#This Row],[CODIGO]], PRODUCTOS[#All], 3, FALSE), "MENOR AL MINIMO", "")), "")</f>
        <v>AGOTADO</v>
      </c>
      <c r="F723" s="39">
        <f>IF(OR(GENERAL[[#This Row],[CODIGO]]="", GENERAL[[#This Row],[CANTIDAD]]=""), "", VLOOKUP(GENERAL[[#This Row],[CODIGO]], PRODUCTOS[#All], 4, FALSE) * GENERAL[[#This Row],[CANTIDAD]])</f>
        <v>0</v>
      </c>
      <c r="T723" s="8"/>
    </row>
    <row r="724" spans="2:20" x14ac:dyDescent="0.2">
      <c r="B724" s="11" t="str">
        <f>IF(PRODUCTOS[[#This Row],[CODIGO]]="", "", PRODUCTOS[[#This Row],[CODIGO]])</f>
        <v>MACO-TAMAR-316</v>
      </c>
      <c r="C724" s="6" t="str">
        <f>IF(GENERAL[[#This Row],[CODIGO]]="", "", VLOOKUP(GENERAL[[#This Row],[CODIGO]], PRODUCTOS[#All], 2, FALSE))</f>
        <v>Taquete mariposa 3/16 (completos)</v>
      </c>
      <c r="D72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24" s="28" t="str">
        <f>IFERROR(IF(GENERAL[[#This Row],[CANTIDAD]]=0, "AGOTADO", IF(GENERAL[[#This Row],[CANTIDAD]]&lt;VLOOKUP(GENERAL[[#This Row],[CODIGO]], PRODUCTOS[#All], 3, FALSE), "MENOR AL MINIMO", "")), "")</f>
        <v>AGOTADO</v>
      </c>
      <c r="F724" s="39">
        <f>IF(OR(GENERAL[[#This Row],[CODIGO]]="", GENERAL[[#This Row],[CANTIDAD]]=""), "", VLOOKUP(GENERAL[[#This Row],[CODIGO]], PRODUCTOS[#All], 4, FALSE) * GENERAL[[#This Row],[CANTIDAD]])</f>
        <v>0</v>
      </c>
      <c r="T724" s="8"/>
    </row>
    <row r="725" spans="2:20" x14ac:dyDescent="0.2">
      <c r="B725" s="11" t="str">
        <f>IF(PRODUCTOS[[#This Row],[CODIGO]]="", "", PRODUCTOS[[#This Row],[CODIGO]])</f>
        <v>MACO-TAQ6MM-45MM</v>
      </c>
      <c r="C725" s="6" t="str">
        <f>IF(GENERAL[[#This Row],[CODIGO]]="", "", VLOOKUP(GENERAL[[#This Row],[CODIGO]], PRODUCTOS[#All], 2, FALSE))</f>
        <v>Taquetes 6mm x 45mm</v>
      </c>
      <c r="D72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25" s="28" t="str">
        <f>IFERROR(IF(GENERAL[[#This Row],[CANTIDAD]]=0, "AGOTADO", IF(GENERAL[[#This Row],[CANTIDAD]]&lt;VLOOKUP(GENERAL[[#This Row],[CODIGO]], PRODUCTOS[#All], 3, FALSE), "MENOR AL MINIMO", "")), "")</f>
        <v>AGOTADO</v>
      </c>
      <c r="F725" s="39">
        <f>IF(OR(GENERAL[[#This Row],[CODIGO]]="", GENERAL[[#This Row],[CANTIDAD]]=""), "", VLOOKUP(GENERAL[[#This Row],[CODIGO]], PRODUCTOS[#All], 4, FALSE) * GENERAL[[#This Row],[CANTIDAD]])</f>
        <v>0</v>
      </c>
      <c r="T725" s="8"/>
    </row>
    <row r="726" spans="2:20" x14ac:dyDescent="0.2">
      <c r="B726" s="11" t="str">
        <f>IF(PRODUCTOS[[#This Row],[CODIGO]]="", "", PRODUCTOS[[#This Row],[CODIGO]])</f>
        <v>MACO-TAQMAR-12</v>
      </c>
      <c r="C726" s="6" t="str">
        <f>IF(GENERAL[[#This Row],[CODIGO]]="", "", VLOOKUP(GENERAL[[#This Row],[CODIGO]], PRODUCTOS[#All], 2, FALSE))</f>
        <v>Taquete mariposa 1/2 (incompletos)</v>
      </c>
      <c r="D72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26" s="28" t="str">
        <f>IFERROR(IF(GENERAL[[#This Row],[CANTIDAD]]=0, "AGOTADO", IF(GENERAL[[#This Row],[CANTIDAD]]&lt;VLOOKUP(GENERAL[[#This Row],[CODIGO]], PRODUCTOS[#All], 3, FALSE), "MENOR AL MINIMO", "")), "")</f>
        <v>AGOTADO</v>
      </c>
      <c r="F726" s="39">
        <f>IF(OR(GENERAL[[#This Row],[CODIGO]]="", GENERAL[[#This Row],[CANTIDAD]]=""), "", VLOOKUP(GENERAL[[#This Row],[CODIGO]], PRODUCTOS[#All], 4, FALSE) * GENERAL[[#This Row],[CANTIDAD]])</f>
        <v>0</v>
      </c>
      <c r="T726" s="8"/>
    </row>
    <row r="727" spans="2:20" x14ac:dyDescent="0.2">
      <c r="B727" s="11" t="str">
        <f>IF(PRODUCTOS[[#This Row],[CODIGO]]="", "", PRODUCTOS[[#This Row],[CODIGO]])</f>
        <v>MACO-TAQMAR-18</v>
      </c>
      <c r="C727" s="6" t="str">
        <f>IF(GENERAL[[#This Row],[CODIGO]]="", "", VLOOKUP(GENERAL[[#This Row],[CODIGO]], PRODUCTOS[#All], 2, FALSE))</f>
        <v>Taquete mariposa 1/8 (incompletos)</v>
      </c>
      <c r="D72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27" s="28" t="str">
        <f>IFERROR(IF(GENERAL[[#This Row],[CANTIDAD]]=0, "AGOTADO", IF(GENERAL[[#This Row],[CANTIDAD]]&lt;VLOOKUP(GENERAL[[#This Row],[CODIGO]], PRODUCTOS[#All], 3, FALSE), "MENOR AL MINIMO", "")), "")</f>
        <v>AGOTADO</v>
      </c>
      <c r="F727" s="39">
        <f>IF(OR(GENERAL[[#This Row],[CODIGO]]="", GENERAL[[#This Row],[CANTIDAD]]=""), "", VLOOKUP(GENERAL[[#This Row],[CODIGO]], PRODUCTOS[#All], 4, FALSE) * GENERAL[[#This Row],[CANTIDAD]])</f>
        <v>0</v>
      </c>
      <c r="T727" s="8"/>
    </row>
    <row r="728" spans="2:20" x14ac:dyDescent="0.2">
      <c r="B728" s="11" t="str">
        <f>IF(PRODUCTOS[[#This Row],[CODIGO]]="", "", PRODUCTOS[[#This Row],[CODIGO]])</f>
        <v>MACO-TINER-022</v>
      </c>
      <c r="C728" s="6" t="str">
        <f>IF(GENERAL[[#This Row],[CODIGO]]="", "", VLOOKUP(GENERAL[[#This Row],[CODIGO]], PRODUCTOS[#All], 2, FALSE))</f>
        <v>Tiner 4lts</v>
      </c>
      <c r="D72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28" s="28" t="str">
        <f>IFERROR(IF(GENERAL[[#This Row],[CANTIDAD]]=0, "AGOTADO", IF(GENERAL[[#This Row],[CANTIDAD]]&lt;VLOOKUP(GENERAL[[#This Row],[CODIGO]], PRODUCTOS[#All], 3, FALSE), "MENOR AL MINIMO", "")), "")</f>
        <v>AGOTADO</v>
      </c>
      <c r="F728" s="39">
        <f>IF(OR(GENERAL[[#This Row],[CODIGO]]="", GENERAL[[#This Row],[CANTIDAD]]=""), "", VLOOKUP(GENERAL[[#This Row],[CODIGO]], PRODUCTOS[#All], 4, FALSE) * GENERAL[[#This Row],[CANTIDAD]])</f>
        <v>0</v>
      </c>
      <c r="T728" s="8"/>
    </row>
    <row r="729" spans="2:20" x14ac:dyDescent="0.2">
      <c r="B729" s="11" t="str">
        <f>IF(PRODUCTOS[[#This Row],[CODIGO]]="", "", PRODUCTOS[[#This Row],[CODIGO]])</f>
        <v>MACO-TOR-10MM</v>
      </c>
      <c r="C729" s="6" t="str">
        <f>IF(GENERAL[[#This Row],[CODIGO]]="", "", VLOOKUP(GENERAL[[#This Row],[CODIGO]], PRODUCTOS[#All], 2, FALSE))</f>
        <v>Tornillo 10mm</v>
      </c>
      <c r="D72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29" s="28" t="str">
        <f>IFERROR(IF(GENERAL[[#This Row],[CANTIDAD]]=0, "AGOTADO", IF(GENERAL[[#This Row],[CANTIDAD]]&lt;VLOOKUP(GENERAL[[#This Row],[CODIGO]], PRODUCTOS[#All], 3, FALSE), "MENOR AL MINIMO", "")), "")</f>
        <v>AGOTADO</v>
      </c>
      <c r="F729" s="39">
        <f>IF(OR(GENERAL[[#This Row],[CODIGO]]="", GENERAL[[#This Row],[CANTIDAD]]=""), "", VLOOKUP(GENERAL[[#This Row],[CODIGO]], PRODUCTOS[#All], 4, FALSE) * GENERAL[[#This Row],[CANTIDAD]])</f>
        <v>0</v>
      </c>
      <c r="T729" s="8"/>
    </row>
    <row r="730" spans="2:20" x14ac:dyDescent="0.2">
      <c r="B730" s="11" t="str">
        <f>IF(PRODUCTOS[[#This Row],[CODIGO]]="", "", PRODUCTOS[[#This Row],[CODIGO]])</f>
        <v>MACO-TOR12-112</v>
      </c>
      <c r="C730" s="6" t="str">
        <f>IF(GENERAL[[#This Row],[CODIGO]]="", "", VLOOKUP(GENERAL[[#This Row],[CODIGO]], PRODUCTOS[#All], 2, FALSE))</f>
        <v>Tronillo 1/2 x 1 1/2"</v>
      </c>
      <c r="D73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30" s="28" t="str">
        <f>IFERROR(IF(GENERAL[[#This Row],[CANTIDAD]]=0, "AGOTADO", IF(GENERAL[[#This Row],[CANTIDAD]]&lt;VLOOKUP(GENERAL[[#This Row],[CODIGO]], PRODUCTOS[#All], 3, FALSE), "MENOR AL MINIMO", "")), "")</f>
        <v>AGOTADO</v>
      </c>
      <c r="F730" s="39">
        <f>IF(OR(GENERAL[[#This Row],[CODIGO]]="", GENERAL[[#This Row],[CANTIDAD]]=""), "", VLOOKUP(GENERAL[[#This Row],[CODIGO]], PRODUCTOS[#All], 4, FALSE) * GENERAL[[#This Row],[CANTIDAD]])</f>
        <v>0</v>
      </c>
      <c r="T730" s="8"/>
    </row>
    <row r="731" spans="2:20" x14ac:dyDescent="0.2">
      <c r="B731" s="11" t="str">
        <f>IF(PRODUCTOS[[#This Row],[CODIGO]]="", "", PRODUCTOS[[#This Row],[CODIGO]])</f>
        <v>MACO-TOR12-138</v>
      </c>
      <c r="C731" s="6" t="str">
        <f>IF(GENERAL[[#This Row],[CODIGO]]="", "", VLOOKUP(GENERAL[[#This Row],[CODIGO]], PRODUCTOS[#All], 2, FALSE))</f>
        <v>Tornillo 1/2 x 1 3/8"</v>
      </c>
      <c r="D73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31" s="28" t="str">
        <f>IFERROR(IF(GENERAL[[#This Row],[CANTIDAD]]=0, "AGOTADO", IF(GENERAL[[#This Row],[CANTIDAD]]&lt;VLOOKUP(GENERAL[[#This Row],[CODIGO]], PRODUCTOS[#All], 3, FALSE), "MENOR AL MINIMO", "")), "")</f>
        <v>AGOTADO</v>
      </c>
      <c r="F731" s="39">
        <f>IF(OR(GENERAL[[#This Row],[CODIGO]]="", GENERAL[[#This Row],[CANTIDAD]]=""), "", VLOOKUP(GENERAL[[#This Row],[CODIGO]], PRODUCTOS[#All], 4, FALSE) * GENERAL[[#This Row],[CANTIDAD]])</f>
        <v>0</v>
      </c>
      <c r="T731" s="8"/>
    </row>
    <row r="732" spans="2:20" x14ac:dyDescent="0.2">
      <c r="B732" s="11" t="str">
        <f>IF(PRODUCTOS[[#This Row],[CODIGO]]="", "", PRODUCTOS[[#This Row],[CODIGO]])</f>
        <v>MACO-TOR12-2</v>
      </c>
      <c r="C732" s="6" t="str">
        <f>IF(GENERAL[[#This Row],[CODIGO]]="", "", VLOOKUP(GENERAL[[#This Row],[CODIGO]], PRODUCTOS[#All], 2, FALSE))</f>
        <v>Tornillo 1/2 x 2"</v>
      </c>
      <c r="D73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32" s="28" t="str">
        <f>IFERROR(IF(GENERAL[[#This Row],[CANTIDAD]]=0, "AGOTADO", IF(GENERAL[[#This Row],[CANTIDAD]]&lt;VLOOKUP(GENERAL[[#This Row],[CODIGO]], PRODUCTOS[#All], 3, FALSE), "MENOR AL MINIMO", "")), "")</f>
        <v>AGOTADO</v>
      </c>
      <c r="F732" s="39">
        <f>IF(OR(GENERAL[[#This Row],[CODIGO]]="", GENERAL[[#This Row],[CANTIDAD]]=""), "", VLOOKUP(GENERAL[[#This Row],[CODIGO]], PRODUCTOS[#All], 4, FALSE) * GENERAL[[#This Row],[CANTIDAD]])</f>
        <v>0</v>
      </c>
      <c r="T732" s="8"/>
    </row>
    <row r="733" spans="2:20" x14ac:dyDescent="0.2">
      <c r="B733" s="11" t="str">
        <f>IF(PRODUCTOS[[#This Row],[CODIGO]]="", "", PRODUCTOS[[#This Row],[CODIGO]])</f>
        <v>MACO-TOR12-2</v>
      </c>
      <c r="C733" s="6" t="str">
        <f>IF(GENERAL[[#This Row],[CODIGO]]="", "", VLOOKUP(GENERAL[[#This Row],[CODIGO]], PRODUCTOS[#All], 2, FALSE))</f>
        <v>Tornillo 1/2 x 2"</v>
      </c>
      <c r="D73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33" s="28" t="str">
        <f>IFERROR(IF(GENERAL[[#This Row],[CANTIDAD]]=0, "AGOTADO", IF(GENERAL[[#This Row],[CANTIDAD]]&lt;VLOOKUP(GENERAL[[#This Row],[CODIGO]], PRODUCTOS[#All], 3, FALSE), "MENOR AL MINIMO", "")), "")</f>
        <v>AGOTADO</v>
      </c>
      <c r="F733" s="39">
        <f>IF(OR(GENERAL[[#This Row],[CODIGO]]="", GENERAL[[#This Row],[CANTIDAD]]=""), "", VLOOKUP(GENERAL[[#This Row],[CODIGO]], PRODUCTOS[#All], 4, FALSE) * GENERAL[[#This Row],[CANTIDAD]])</f>
        <v>0</v>
      </c>
      <c r="T733" s="8"/>
    </row>
    <row r="734" spans="2:20" x14ac:dyDescent="0.2">
      <c r="B734" s="11" t="str">
        <f>IF(PRODUCTOS[[#This Row],[CODIGO]]="", "", PRODUCTOS[[#This Row],[CODIGO]])</f>
        <v>MACO-TOR12-212</v>
      </c>
      <c r="C734" s="6" t="str">
        <f>IF(GENERAL[[#This Row],[CODIGO]]="", "", VLOOKUP(GENERAL[[#This Row],[CODIGO]], PRODUCTOS[#All], 2, FALSE))</f>
        <v>Tornillo 1/2 x 2 1/2"</v>
      </c>
      <c r="D73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34" s="28" t="str">
        <f>IFERROR(IF(GENERAL[[#This Row],[CANTIDAD]]=0, "AGOTADO", IF(GENERAL[[#This Row],[CANTIDAD]]&lt;VLOOKUP(GENERAL[[#This Row],[CODIGO]], PRODUCTOS[#All], 3, FALSE), "MENOR AL MINIMO", "")), "")</f>
        <v>AGOTADO</v>
      </c>
      <c r="F734" s="39">
        <f>IF(OR(GENERAL[[#This Row],[CODIGO]]="", GENERAL[[#This Row],[CANTIDAD]]=""), "", VLOOKUP(GENERAL[[#This Row],[CODIGO]], PRODUCTOS[#All], 4, FALSE) * GENERAL[[#This Row],[CANTIDAD]])</f>
        <v>0</v>
      </c>
      <c r="T734" s="8"/>
    </row>
    <row r="735" spans="2:20" x14ac:dyDescent="0.2">
      <c r="B735" s="11" t="str">
        <f>IF(PRODUCTOS[[#This Row],[CODIGO]]="", "", PRODUCTOS[[#This Row],[CODIGO]])</f>
        <v>MACO-TOR14-434</v>
      </c>
      <c r="C735" s="6" t="str">
        <f>IF(GENERAL[[#This Row],[CODIGO]]="", "", VLOOKUP(GENERAL[[#This Row],[CODIGO]], PRODUCTOS[#All], 2, FALSE))</f>
        <v>Tornillo 1/4" x 4 3/4"</v>
      </c>
      <c r="D73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35" s="28" t="str">
        <f>IFERROR(IF(GENERAL[[#This Row],[CANTIDAD]]=0, "AGOTADO", IF(GENERAL[[#This Row],[CANTIDAD]]&lt;VLOOKUP(GENERAL[[#This Row],[CODIGO]], PRODUCTOS[#All], 3, FALSE), "MENOR AL MINIMO", "")), "")</f>
        <v>AGOTADO</v>
      </c>
      <c r="F735" s="39">
        <f>IF(OR(GENERAL[[#This Row],[CODIGO]]="", GENERAL[[#This Row],[CANTIDAD]]=""), "", VLOOKUP(GENERAL[[#This Row],[CODIGO]], PRODUCTOS[#All], 4, FALSE) * GENERAL[[#This Row],[CANTIDAD]])</f>
        <v>0</v>
      </c>
      <c r="T735" s="8"/>
    </row>
    <row r="736" spans="2:20" x14ac:dyDescent="0.2">
      <c r="B736" s="11" t="str">
        <f>IF(PRODUCTOS[[#This Row],[CODIGO]]="", "", PRODUCTOS[[#This Row],[CODIGO]])</f>
        <v>MACO-TOR23-3</v>
      </c>
      <c r="C736" s="6" t="str">
        <f>IF(GENERAL[[#This Row],[CODIGO]]="", "", VLOOKUP(GENERAL[[#This Row],[CODIGO]], PRODUCTOS[#All], 2, FALSE))</f>
        <v xml:space="preserve">Tronillo 5/3 x 3" </v>
      </c>
      <c r="D73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36" s="28" t="str">
        <f>IFERROR(IF(GENERAL[[#This Row],[CANTIDAD]]=0, "AGOTADO", IF(GENERAL[[#This Row],[CANTIDAD]]&lt;VLOOKUP(GENERAL[[#This Row],[CODIGO]], PRODUCTOS[#All], 3, FALSE), "MENOR AL MINIMO", "")), "")</f>
        <v>AGOTADO</v>
      </c>
      <c r="F736" s="39">
        <f>IF(OR(GENERAL[[#This Row],[CODIGO]]="", GENERAL[[#This Row],[CANTIDAD]]=""), "", VLOOKUP(GENERAL[[#This Row],[CODIGO]], PRODUCTOS[#All], 4, FALSE) * GENERAL[[#This Row],[CANTIDAD]])</f>
        <v>0</v>
      </c>
      <c r="T736" s="8"/>
    </row>
    <row r="737" spans="2:20" x14ac:dyDescent="0.2">
      <c r="B737" s="11" t="str">
        <f>IF(PRODUCTOS[[#This Row],[CODIGO]]="", "", PRODUCTOS[[#This Row],[CODIGO]])</f>
        <v>MACO-TOR34-312</v>
      </c>
      <c r="C737" s="6" t="str">
        <f>IF(GENERAL[[#This Row],[CODIGO]]="", "", VLOOKUP(GENERAL[[#This Row],[CODIGO]], PRODUCTOS[#All], 2, FALSE))</f>
        <v>Tornillo 3/4 x 3 1/2"</v>
      </c>
      <c r="D73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37" s="28" t="str">
        <f>IFERROR(IF(GENERAL[[#This Row],[CANTIDAD]]=0, "AGOTADO", IF(GENERAL[[#This Row],[CANTIDAD]]&lt;VLOOKUP(GENERAL[[#This Row],[CODIGO]], PRODUCTOS[#All], 3, FALSE), "MENOR AL MINIMO", "")), "")</f>
        <v>AGOTADO</v>
      </c>
      <c r="F737" s="39">
        <f>IF(OR(GENERAL[[#This Row],[CODIGO]]="", GENERAL[[#This Row],[CANTIDAD]]=""), "", VLOOKUP(GENERAL[[#This Row],[CODIGO]], PRODUCTOS[#All], 4, FALSE) * GENERAL[[#This Row],[CANTIDAD]])</f>
        <v>0</v>
      </c>
      <c r="T737" s="8"/>
    </row>
    <row r="738" spans="2:20" x14ac:dyDescent="0.2">
      <c r="B738" s="11" t="str">
        <f>IF(PRODUCTOS[[#This Row],[CODIGO]]="", "", PRODUCTOS[[#This Row],[CODIGO]])</f>
        <v>MACO-TOR34-412</v>
      </c>
      <c r="C738" s="6" t="str">
        <f>IF(GENERAL[[#This Row],[CODIGO]]="", "", VLOOKUP(GENERAL[[#This Row],[CODIGO]], PRODUCTOS[#All], 2, FALSE))</f>
        <v>Tornillo 3/4 x 4 1/2"</v>
      </c>
      <c r="D73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38" s="28" t="str">
        <f>IFERROR(IF(GENERAL[[#This Row],[CANTIDAD]]=0, "AGOTADO", IF(GENERAL[[#This Row],[CANTIDAD]]&lt;VLOOKUP(GENERAL[[#This Row],[CODIGO]], PRODUCTOS[#All], 3, FALSE), "MENOR AL MINIMO", "")), "")</f>
        <v>AGOTADO</v>
      </c>
      <c r="F738" s="39">
        <f>IF(OR(GENERAL[[#This Row],[CODIGO]]="", GENERAL[[#This Row],[CANTIDAD]]=""), "", VLOOKUP(GENERAL[[#This Row],[CODIGO]], PRODUCTOS[#All], 4, FALSE) * GENERAL[[#This Row],[CANTIDAD]])</f>
        <v>0</v>
      </c>
      <c r="T738" s="8"/>
    </row>
    <row r="739" spans="2:20" x14ac:dyDescent="0.2">
      <c r="B739" s="11" t="str">
        <f>IF(PRODUCTOS[[#This Row],[CODIGO]]="", "", PRODUCTOS[[#This Row],[CODIGO]])</f>
        <v>MACO-TOR34-58</v>
      </c>
      <c r="C739" s="6" t="str">
        <f>IF(GENERAL[[#This Row],[CODIGO]]="", "", VLOOKUP(GENERAL[[#This Row],[CODIGO]], PRODUCTOS[#All], 2, FALSE))</f>
        <v>Tornillo 3/4 x 5/8"</v>
      </c>
      <c r="D73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39" s="28" t="str">
        <f>IFERROR(IF(GENERAL[[#This Row],[CANTIDAD]]=0, "AGOTADO", IF(GENERAL[[#This Row],[CANTIDAD]]&lt;VLOOKUP(GENERAL[[#This Row],[CODIGO]], PRODUCTOS[#All], 3, FALSE), "MENOR AL MINIMO", "")), "")</f>
        <v>AGOTADO</v>
      </c>
      <c r="F739" s="39">
        <f>IF(OR(GENERAL[[#This Row],[CODIGO]]="", GENERAL[[#This Row],[CANTIDAD]]=""), "", VLOOKUP(GENERAL[[#This Row],[CODIGO]], PRODUCTOS[#All], 4, FALSE) * GENERAL[[#This Row],[CANTIDAD]])</f>
        <v>0</v>
      </c>
      <c r="T739" s="8"/>
    </row>
    <row r="740" spans="2:20" x14ac:dyDescent="0.2">
      <c r="B740" s="11" t="str">
        <f>IF(PRODUCTOS[[#This Row],[CODIGO]]="", "", PRODUCTOS[[#This Row],[CODIGO]])</f>
        <v>MACO-TOR38-1</v>
      </c>
      <c r="C740" s="6" t="str">
        <f>IF(GENERAL[[#This Row],[CODIGO]]="", "", VLOOKUP(GENERAL[[#This Row],[CODIGO]], PRODUCTOS[#All], 2, FALSE))</f>
        <v>Tornillo 3/8 x 1"</v>
      </c>
      <c r="D74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40" s="28" t="str">
        <f>IFERROR(IF(GENERAL[[#This Row],[CANTIDAD]]=0, "AGOTADO", IF(GENERAL[[#This Row],[CANTIDAD]]&lt;VLOOKUP(GENERAL[[#This Row],[CODIGO]], PRODUCTOS[#All], 3, FALSE), "MENOR AL MINIMO", "")), "")</f>
        <v>AGOTADO</v>
      </c>
      <c r="F740" s="39">
        <f>IF(OR(GENERAL[[#This Row],[CODIGO]]="", GENERAL[[#This Row],[CANTIDAD]]=""), "", VLOOKUP(GENERAL[[#This Row],[CODIGO]], PRODUCTOS[#All], 4, FALSE) * GENERAL[[#This Row],[CANTIDAD]])</f>
        <v>0</v>
      </c>
      <c r="T740" s="8"/>
    </row>
    <row r="741" spans="2:20" x14ac:dyDescent="0.2">
      <c r="B741" s="11" t="str">
        <f>IF(PRODUCTOS[[#This Row],[CODIGO]]="", "", PRODUCTOS[[#This Row],[CODIGO]])</f>
        <v>MACO-TOR38-112</v>
      </c>
      <c r="C741" s="6" t="str">
        <f>IF(GENERAL[[#This Row],[CODIGO]]="", "", VLOOKUP(GENERAL[[#This Row],[CODIGO]], PRODUCTOS[#All], 2, FALSE))</f>
        <v>Tronillo 3/8 x 1 1/2"</v>
      </c>
      <c r="D74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41" s="28" t="str">
        <f>IFERROR(IF(GENERAL[[#This Row],[CANTIDAD]]=0, "AGOTADO", IF(GENERAL[[#This Row],[CANTIDAD]]&lt;VLOOKUP(GENERAL[[#This Row],[CODIGO]], PRODUCTOS[#All], 3, FALSE), "MENOR AL MINIMO", "")), "")</f>
        <v>AGOTADO</v>
      </c>
      <c r="F741" s="39">
        <f>IF(OR(GENERAL[[#This Row],[CODIGO]]="", GENERAL[[#This Row],[CANTIDAD]]=""), "", VLOOKUP(GENERAL[[#This Row],[CODIGO]], PRODUCTOS[#All], 4, FALSE) * GENERAL[[#This Row],[CANTIDAD]])</f>
        <v>0</v>
      </c>
      <c r="T741" s="8"/>
    </row>
    <row r="742" spans="2:20" x14ac:dyDescent="0.2">
      <c r="B742" s="11" t="str">
        <f>IF(PRODUCTOS[[#This Row],[CODIGO]]="", "", PRODUCTOS[[#This Row],[CODIGO]])</f>
        <v>MACO-TOR38-2</v>
      </c>
      <c r="C742" s="6" t="str">
        <f>IF(GENERAL[[#This Row],[CODIGO]]="", "", VLOOKUP(GENERAL[[#This Row],[CODIGO]], PRODUCTOS[#All], 2, FALSE))</f>
        <v>Tornillo 3/8 x 2"</v>
      </c>
      <c r="D74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42" s="28" t="str">
        <f>IFERROR(IF(GENERAL[[#This Row],[CANTIDAD]]=0, "AGOTADO", IF(GENERAL[[#This Row],[CANTIDAD]]&lt;VLOOKUP(GENERAL[[#This Row],[CODIGO]], PRODUCTOS[#All], 3, FALSE), "MENOR AL MINIMO", "")), "")</f>
        <v>AGOTADO</v>
      </c>
      <c r="F742" s="39">
        <f>IF(OR(GENERAL[[#This Row],[CODIGO]]="", GENERAL[[#This Row],[CANTIDAD]]=""), "", VLOOKUP(GENERAL[[#This Row],[CODIGO]], PRODUCTOS[#All], 4, FALSE) * GENERAL[[#This Row],[CANTIDAD]])</f>
        <v>0</v>
      </c>
      <c r="T742" s="8"/>
    </row>
    <row r="743" spans="2:20" x14ac:dyDescent="0.2">
      <c r="B743" s="11" t="str">
        <f>IF(PRODUCTOS[[#This Row],[CODIGO]]="", "", PRODUCTOS[[#This Row],[CODIGO]])</f>
        <v>MACO-TOR38-212</v>
      </c>
      <c r="C743" s="6" t="str">
        <f>IF(GENERAL[[#This Row],[CODIGO]]="", "", VLOOKUP(GENERAL[[#This Row],[CODIGO]], PRODUCTOS[#All], 2, FALSE))</f>
        <v>Tornillo 3/8 x 2 1/2"</v>
      </c>
      <c r="D74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43" s="28" t="str">
        <f>IFERROR(IF(GENERAL[[#This Row],[CANTIDAD]]=0, "AGOTADO", IF(GENERAL[[#This Row],[CANTIDAD]]&lt;VLOOKUP(GENERAL[[#This Row],[CODIGO]], PRODUCTOS[#All], 3, FALSE), "MENOR AL MINIMO", "")), "")</f>
        <v>AGOTADO</v>
      </c>
      <c r="F743" s="39">
        <f>IF(OR(GENERAL[[#This Row],[CODIGO]]="", GENERAL[[#This Row],[CANTIDAD]]=""), "", VLOOKUP(GENERAL[[#This Row],[CODIGO]], PRODUCTOS[#All], 4, FALSE) * GENERAL[[#This Row],[CANTIDAD]])</f>
        <v>0</v>
      </c>
      <c r="T743" s="8"/>
    </row>
    <row r="744" spans="2:20" x14ac:dyDescent="0.2">
      <c r="B744" s="11" t="str">
        <f>IF(PRODUCTOS[[#This Row],[CODIGO]]="", "", PRODUCTOS[[#This Row],[CODIGO]])</f>
        <v>MACO-TOR38-34</v>
      </c>
      <c r="C744" s="6" t="str">
        <f>IF(GENERAL[[#This Row],[CODIGO]]="", "", VLOOKUP(GENERAL[[#This Row],[CODIGO]], PRODUCTOS[#All], 2, FALSE))</f>
        <v>Tornillo 3/8 x 3/4</v>
      </c>
      <c r="D74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44" s="28" t="str">
        <f>IFERROR(IF(GENERAL[[#This Row],[CANTIDAD]]=0, "AGOTADO", IF(GENERAL[[#This Row],[CANTIDAD]]&lt;VLOOKUP(GENERAL[[#This Row],[CODIGO]], PRODUCTOS[#All], 3, FALSE), "MENOR AL MINIMO", "")), "")</f>
        <v>AGOTADO</v>
      </c>
      <c r="F744" s="39">
        <f>IF(OR(GENERAL[[#This Row],[CODIGO]]="", GENERAL[[#This Row],[CANTIDAD]]=""), "", VLOOKUP(GENERAL[[#This Row],[CODIGO]], PRODUCTOS[#All], 4, FALSE) * GENERAL[[#This Row],[CANTIDAD]])</f>
        <v>0</v>
      </c>
      <c r="T744" s="8"/>
    </row>
    <row r="745" spans="2:20" x14ac:dyDescent="0.2">
      <c r="B745" s="11" t="str">
        <f>IF(PRODUCTOS[[#This Row],[CODIGO]]="", "", PRODUCTOS[[#This Row],[CODIGO]])</f>
        <v>MACO-TOR4MM-100MM</v>
      </c>
      <c r="C745" s="6" t="str">
        <f>IF(GENERAL[[#This Row],[CODIGO]]="", "", VLOOKUP(GENERAL[[#This Row],[CODIGO]], PRODUCTOS[#All], 2, FALSE))</f>
        <v xml:space="preserve">Tornillo 4mm x 100mm </v>
      </c>
      <c r="D74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45" s="28" t="str">
        <f>IFERROR(IF(GENERAL[[#This Row],[CANTIDAD]]=0, "AGOTADO", IF(GENERAL[[#This Row],[CANTIDAD]]&lt;VLOOKUP(GENERAL[[#This Row],[CODIGO]], PRODUCTOS[#All], 3, FALSE), "MENOR AL MINIMO", "")), "")</f>
        <v>AGOTADO</v>
      </c>
      <c r="F745" s="39">
        <f>IF(OR(GENERAL[[#This Row],[CODIGO]]="", GENERAL[[#This Row],[CANTIDAD]]=""), "", VLOOKUP(GENERAL[[#This Row],[CODIGO]], PRODUCTOS[#All], 4, FALSE) * GENERAL[[#This Row],[CANTIDAD]])</f>
        <v>0</v>
      </c>
      <c r="T745" s="8"/>
    </row>
    <row r="746" spans="2:20" x14ac:dyDescent="0.2">
      <c r="B746" s="11" t="str">
        <f>IF(PRODUCTOS[[#This Row],[CODIGO]]="", "", PRODUCTOS[[#This Row],[CODIGO]])</f>
        <v>MACO-TOR516-1</v>
      </c>
      <c r="C746" s="6" t="str">
        <f>IF(GENERAL[[#This Row],[CODIGO]]="", "", VLOOKUP(GENERAL[[#This Row],[CODIGO]], PRODUCTOS[#All], 2, FALSE))</f>
        <v xml:space="preserve">Tornillo 5/16 x 1" </v>
      </c>
      <c r="D74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46" s="28" t="str">
        <f>IFERROR(IF(GENERAL[[#This Row],[CANTIDAD]]=0, "AGOTADO", IF(GENERAL[[#This Row],[CANTIDAD]]&lt;VLOOKUP(GENERAL[[#This Row],[CODIGO]], PRODUCTOS[#All], 3, FALSE), "MENOR AL MINIMO", "")), "")</f>
        <v>AGOTADO</v>
      </c>
      <c r="F746" s="39">
        <f>IF(OR(GENERAL[[#This Row],[CODIGO]]="", GENERAL[[#This Row],[CANTIDAD]]=""), "", VLOOKUP(GENERAL[[#This Row],[CODIGO]], PRODUCTOS[#All], 4, FALSE) * GENERAL[[#This Row],[CANTIDAD]])</f>
        <v>0</v>
      </c>
      <c r="T746" s="8"/>
    </row>
    <row r="747" spans="2:20" x14ac:dyDescent="0.2">
      <c r="B747" s="11" t="str">
        <f>IF(PRODUCTOS[[#This Row],[CODIGO]]="", "", PRODUCTOS[[#This Row],[CODIGO]])</f>
        <v>MACO-TOR53-112</v>
      </c>
      <c r="C747" s="6" t="str">
        <f>IF(GENERAL[[#This Row],[CODIGO]]="", "", VLOOKUP(GENERAL[[#This Row],[CODIGO]], PRODUCTOS[#All], 2, FALSE))</f>
        <v>Tornillo 5/3 x 1 1/2"</v>
      </c>
      <c r="D74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47" s="28" t="str">
        <f>IFERROR(IF(GENERAL[[#This Row],[CANTIDAD]]=0, "AGOTADO", IF(GENERAL[[#This Row],[CANTIDAD]]&lt;VLOOKUP(GENERAL[[#This Row],[CODIGO]], PRODUCTOS[#All], 3, FALSE), "MENOR AL MINIMO", "")), "")</f>
        <v>AGOTADO</v>
      </c>
      <c r="F747" s="39">
        <f>IF(OR(GENERAL[[#This Row],[CODIGO]]="", GENERAL[[#This Row],[CANTIDAD]]=""), "", VLOOKUP(GENERAL[[#This Row],[CODIGO]], PRODUCTOS[#All], 4, FALSE) * GENERAL[[#This Row],[CANTIDAD]])</f>
        <v>0</v>
      </c>
      <c r="T747" s="8"/>
    </row>
    <row r="748" spans="2:20" x14ac:dyDescent="0.2">
      <c r="B748" s="11" t="str">
        <f>IF(PRODUCTOS[[#This Row],[CODIGO]]="", "", PRODUCTOS[[#This Row],[CODIGO]])</f>
        <v>MACO-TOR53-2</v>
      </c>
      <c r="C748" s="6" t="str">
        <f>IF(GENERAL[[#This Row],[CODIGO]]="", "", VLOOKUP(GENERAL[[#This Row],[CODIGO]], PRODUCTOS[#All], 2, FALSE))</f>
        <v>Tornillo 5/3 x 2"</v>
      </c>
      <c r="D74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48" s="28" t="str">
        <f>IFERROR(IF(GENERAL[[#This Row],[CANTIDAD]]=0, "AGOTADO", IF(GENERAL[[#This Row],[CANTIDAD]]&lt;VLOOKUP(GENERAL[[#This Row],[CODIGO]], PRODUCTOS[#All], 3, FALSE), "MENOR AL MINIMO", "")), "")</f>
        <v>AGOTADO</v>
      </c>
      <c r="F748" s="39">
        <f>IF(OR(GENERAL[[#This Row],[CODIGO]]="", GENERAL[[#This Row],[CANTIDAD]]=""), "", VLOOKUP(GENERAL[[#This Row],[CODIGO]], PRODUCTOS[#All], 4, FALSE) * GENERAL[[#This Row],[CANTIDAD]])</f>
        <v>0</v>
      </c>
      <c r="T748" s="8"/>
    </row>
    <row r="749" spans="2:20" x14ac:dyDescent="0.2">
      <c r="B749" s="11" t="str">
        <f>IF(PRODUCTOS[[#This Row],[CODIGO]]="", "", PRODUCTOS[[#This Row],[CODIGO]])</f>
        <v>MACO-TOR53-212</v>
      </c>
      <c r="C749" s="6" t="str">
        <f>IF(GENERAL[[#This Row],[CODIGO]]="", "", VLOOKUP(GENERAL[[#This Row],[CODIGO]], PRODUCTOS[#All], 2, FALSE))</f>
        <v>Tornillo 5/3 x 2 1/2"</v>
      </c>
      <c r="D74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49" s="28" t="str">
        <f>IFERROR(IF(GENERAL[[#This Row],[CANTIDAD]]=0, "AGOTADO", IF(GENERAL[[#This Row],[CANTIDAD]]&lt;VLOOKUP(GENERAL[[#This Row],[CODIGO]], PRODUCTOS[#All], 3, FALSE), "MENOR AL MINIMO", "")), "")</f>
        <v>AGOTADO</v>
      </c>
      <c r="F749" s="39">
        <f>IF(OR(GENERAL[[#This Row],[CODIGO]]="", GENERAL[[#This Row],[CANTIDAD]]=""), "", VLOOKUP(GENERAL[[#This Row],[CODIGO]], PRODUCTOS[#All], 4, FALSE) * GENERAL[[#This Row],[CANTIDAD]])</f>
        <v>0</v>
      </c>
      <c r="T749" s="8"/>
    </row>
    <row r="750" spans="2:20" x14ac:dyDescent="0.2">
      <c r="B750" s="11" t="str">
        <f>IF(PRODUCTOS[[#This Row],[CODIGO]]="", "", PRODUCTOS[[#This Row],[CODIGO]])</f>
        <v>MACO-TOR53-4</v>
      </c>
      <c r="C750" s="6" t="str">
        <f>IF(GENERAL[[#This Row],[CODIGO]]="", "", VLOOKUP(GENERAL[[#This Row],[CODIGO]], PRODUCTOS[#All], 2, FALSE))</f>
        <v>Tornillo 5/3 x 4"</v>
      </c>
      <c r="D75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50" s="28" t="str">
        <f>IFERROR(IF(GENERAL[[#This Row],[CANTIDAD]]=0, "AGOTADO", IF(GENERAL[[#This Row],[CANTIDAD]]&lt;VLOOKUP(GENERAL[[#This Row],[CODIGO]], PRODUCTOS[#All], 3, FALSE), "MENOR AL MINIMO", "")), "")</f>
        <v>AGOTADO</v>
      </c>
      <c r="F750" s="39">
        <f>IF(OR(GENERAL[[#This Row],[CODIGO]]="", GENERAL[[#This Row],[CANTIDAD]]=""), "", VLOOKUP(GENERAL[[#This Row],[CODIGO]], PRODUCTOS[#All], 4, FALSE) * GENERAL[[#This Row],[CANTIDAD]])</f>
        <v>0</v>
      </c>
      <c r="T750" s="8"/>
    </row>
    <row r="751" spans="2:20" x14ac:dyDescent="0.2">
      <c r="B751" s="11" t="str">
        <f>IF(PRODUCTOS[[#This Row],[CODIGO]]="", "", PRODUCTOS[[#This Row],[CODIGO]])</f>
        <v>MACO-TOR716-1</v>
      </c>
      <c r="C751" s="6" t="str">
        <f>IF(GENERAL[[#This Row],[CODIGO]]="", "", VLOOKUP(GENERAL[[#This Row],[CODIGO]], PRODUCTOS[#All], 2, FALSE))</f>
        <v>Tornillo 7/16 x 1"</v>
      </c>
      <c r="D75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51" s="28" t="str">
        <f>IFERROR(IF(GENERAL[[#This Row],[CANTIDAD]]=0, "AGOTADO", IF(GENERAL[[#This Row],[CANTIDAD]]&lt;VLOOKUP(GENERAL[[#This Row],[CODIGO]], PRODUCTOS[#All], 3, FALSE), "MENOR AL MINIMO", "")), "")</f>
        <v>AGOTADO</v>
      </c>
      <c r="F751" s="39">
        <f>IF(OR(GENERAL[[#This Row],[CODIGO]]="", GENERAL[[#This Row],[CANTIDAD]]=""), "", VLOOKUP(GENERAL[[#This Row],[CODIGO]], PRODUCTOS[#All], 4, FALSE) * GENERAL[[#This Row],[CANTIDAD]])</f>
        <v>0</v>
      </c>
      <c r="T751" s="8"/>
    </row>
    <row r="752" spans="2:20" x14ac:dyDescent="0.2">
      <c r="B752" s="11" t="str">
        <f>IF(PRODUCTOS[[#This Row],[CODIGO]]="", "", PRODUCTOS[[#This Row],[CODIGO]])</f>
        <v>MACO-TOR716-112</v>
      </c>
      <c r="C752" s="6" t="str">
        <f>IF(GENERAL[[#This Row],[CODIGO]]="", "", VLOOKUP(GENERAL[[#This Row],[CODIGO]], PRODUCTOS[#All], 2, FALSE))</f>
        <v>Tornillo 7/16 x 1 1/2"</v>
      </c>
      <c r="D75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52" s="28" t="str">
        <f>IFERROR(IF(GENERAL[[#This Row],[CANTIDAD]]=0, "AGOTADO", IF(GENERAL[[#This Row],[CANTIDAD]]&lt;VLOOKUP(GENERAL[[#This Row],[CODIGO]], PRODUCTOS[#All], 3, FALSE), "MENOR AL MINIMO", "")), "")</f>
        <v>AGOTADO</v>
      </c>
      <c r="F752" s="39">
        <f>IF(OR(GENERAL[[#This Row],[CODIGO]]="", GENERAL[[#This Row],[CANTIDAD]]=""), "", VLOOKUP(GENERAL[[#This Row],[CODIGO]], PRODUCTOS[#All], 4, FALSE) * GENERAL[[#This Row],[CANTIDAD]])</f>
        <v>0</v>
      </c>
      <c r="T752" s="8"/>
    </row>
    <row r="753" spans="2:20" x14ac:dyDescent="0.2">
      <c r="B753" s="11" t="str">
        <f>IF(PRODUCTOS[[#This Row],[CODIGO]]="", "", PRODUCTOS[[#This Row],[CODIGO]])</f>
        <v>MACO-TOR716-134</v>
      </c>
      <c r="C753" s="6" t="str">
        <f>IF(GENERAL[[#This Row],[CODIGO]]="", "", VLOOKUP(GENERAL[[#This Row],[CODIGO]], PRODUCTOS[#All], 2, FALSE))</f>
        <v>Tornillo 7/16 x 1 3/4"</v>
      </c>
      <c r="D75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53" s="28" t="str">
        <f>IFERROR(IF(GENERAL[[#This Row],[CANTIDAD]]=0, "AGOTADO", IF(GENERAL[[#This Row],[CANTIDAD]]&lt;VLOOKUP(GENERAL[[#This Row],[CODIGO]], PRODUCTOS[#All], 3, FALSE), "MENOR AL MINIMO", "")), "")</f>
        <v>AGOTADO</v>
      </c>
      <c r="F753" s="39">
        <f>IF(OR(GENERAL[[#This Row],[CODIGO]]="", GENERAL[[#This Row],[CANTIDAD]]=""), "", VLOOKUP(GENERAL[[#This Row],[CODIGO]], PRODUCTOS[#All], 4, FALSE) * GENERAL[[#This Row],[CANTIDAD]])</f>
        <v>0</v>
      </c>
      <c r="T753" s="8"/>
    </row>
    <row r="754" spans="2:20" x14ac:dyDescent="0.2">
      <c r="B754" s="11" t="str">
        <f>IF(PRODUCTOS[[#This Row],[CODIGO]]="", "", PRODUCTOS[[#This Row],[CODIGO]])</f>
        <v>MACO-TOR716-2</v>
      </c>
      <c r="C754" s="6" t="str">
        <f>IF(GENERAL[[#This Row],[CODIGO]]="", "", VLOOKUP(GENERAL[[#This Row],[CODIGO]], PRODUCTOS[#All], 2, FALSE))</f>
        <v>Tornillo 7/16 x 2"</v>
      </c>
      <c r="D75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54" s="28" t="str">
        <f>IFERROR(IF(GENERAL[[#This Row],[CANTIDAD]]=0, "AGOTADO", IF(GENERAL[[#This Row],[CANTIDAD]]&lt;VLOOKUP(GENERAL[[#This Row],[CODIGO]], PRODUCTOS[#All], 3, FALSE), "MENOR AL MINIMO", "")), "")</f>
        <v>AGOTADO</v>
      </c>
      <c r="F754" s="39">
        <f>IF(OR(GENERAL[[#This Row],[CODIGO]]="", GENERAL[[#This Row],[CANTIDAD]]=""), "", VLOOKUP(GENERAL[[#This Row],[CODIGO]], PRODUCTOS[#All], 4, FALSE) * GENERAL[[#This Row],[CANTIDAD]])</f>
        <v>0</v>
      </c>
      <c r="T754" s="8"/>
    </row>
    <row r="755" spans="2:20" x14ac:dyDescent="0.2">
      <c r="B755" s="11" t="str">
        <f>IF(PRODUCTOS[[#This Row],[CODIGO]]="", "", PRODUCTOS[[#This Row],[CODIGO]])</f>
        <v>MACO-TOR-716-212</v>
      </c>
      <c r="C755" s="6" t="str">
        <f>IF(GENERAL[[#This Row],[CODIGO]]="", "", VLOOKUP(GENERAL[[#This Row],[CODIGO]], PRODUCTOS[#All], 2, FALSE))</f>
        <v>Tornillo 7/16 x 2 1/2"</v>
      </c>
      <c r="D75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55" s="28" t="str">
        <f>IFERROR(IF(GENERAL[[#This Row],[CANTIDAD]]=0, "AGOTADO", IF(GENERAL[[#This Row],[CANTIDAD]]&lt;VLOOKUP(GENERAL[[#This Row],[CODIGO]], PRODUCTOS[#All], 3, FALSE), "MENOR AL MINIMO", "")), "")</f>
        <v>AGOTADO</v>
      </c>
      <c r="F755" s="39">
        <f>IF(OR(GENERAL[[#This Row],[CODIGO]]="", GENERAL[[#This Row],[CANTIDAD]]=""), "", VLOOKUP(GENERAL[[#This Row],[CODIGO]], PRODUCTOS[#All], 4, FALSE) * GENERAL[[#This Row],[CANTIDAD]])</f>
        <v>0</v>
      </c>
      <c r="T755" s="8"/>
    </row>
    <row r="756" spans="2:20" x14ac:dyDescent="0.2">
      <c r="B756" s="11" t="str">
        <f>IF(PRODUCTOS[[#This Row],[CODIGO]]="", "", PRODUCTOS[[#This Row],[CODIGO]])</f>
        <v>MACO-TOR-716-212</v>
      </c>
      <c r="C756" s="6" t="str">
        <f>IF(GENERAL[[#This Row],[CODIGO]]="", "", VLOOKUP(GENERAL[[#This Row],[CODIGO]], PRODUCTOS[#All], 2, FALSE))</f>
        <v>Tornillo 7/16 x 2 1/2"</v>
      </c>
      <c r="D75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56" s="28" t="str">
        <f>IFERROR(IF(GENERAL[[#This Row],[CANTIDAD]]=0, "AGOTADO", IF(GENERAL[[#This Row],[CANTIDAD]]&lt;VLOOKUP(GENERAL[[#This Row],[CODIGO]], PRODUCTOS[#All], 3, FALSE), "MENOR AL MINIMO", "")), "")</f>
        <v>AGOTADO</v>
      </c>
      <c r="F756" s="39">
        <f>IF(OR(GENERAL[[#This Row],[CODIGO]]="", GENERAL[[#This Row],[CANTIDAD]]=""), "", VLOOKUP(GENERAL[[#This Row],[CODIGO]], PRODUCTOS[#All], 4, FALSE) * GENERAL[[#This Row],[CANTIDAD]])</f>
        <v>0</v>
      </c>
      <c r="T756" s="8"/>
    </row>
    <row r="757" spans="2:20" x14ac:dyDescent="0.2">
      <c r="B757" s="11" t="str">
        <f>IF(PRODUCTOS[[#This Row],[CODIGO]]="", "", PRODUCTOS[[#This Row],[CODIGO]])</f>
        <v>MACO-TOR716-3</v>
      </c>
      <c r="C757" s="6" t="str">
        <f>IF(GENERAL[[#This Row],[CODIGO]]="", "", VLOOKUP(GENERAL[[#This Row],[CODIGO]], PRODUCTOS[#All], 2, FALSE))</f>
        <v>Tornillo 7/16 x 3"</v>
      </c>
      <c r="D75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57" s="28" t="str">
        <f>IFERROR(IF(GENERAL[[#This Row],[CANTIDAD]]=0, "AGOTADO", IF(GENERAL[[#This Row],[CANTIDAD]]&lt;VLOOKUP(GENERAL[[#This Row],[CODIGO]], PRODUCTOS[#All], 3, FALSE), "MENOR AL MINIMO", "")), "")</f>
        <v>AGOTADO</v>
      </c>
      <c r="F757" s="39">
        <f>IF(OR(GENERAL[[#This Row],[CODIGO]]="", GENERAL[[#This Row],[CANTIDAD]]=""), "", VLOOKUP(GENERAL[[#This Row],[CODIGO]], PRODUCTOS[#All], 4, FALSE) * GENERAL[[#This Row],[CANTIDAD]])</f>
        <v>0</v>
      </c>
      <c r="T757" s="8"/>
    </row>
    <row r="758" spans="2:20" x14ac:dyDescent="0.2">
      <c r="B758" s="11" t="str">
        <f>IF(PRODUCTOS[[#This Row],[CODIGO]]="", "", PRODUCTOS[[#This Row],[CODIGO]])</f>
        <v>MACO-TOR716-312</v>
      </c>
      <c r="C758" s="6" t="str">
        <f>IF(GENERAL[[#This Row],[CODIGO]]="", "", VLOOKUP(GENERAL[[#This Row],[CODIGO]], PRODUCTOS[#All], 2, FALSE))</f>
        <v>Tornillo 7/16 x 3 1/2"</v>
      </c>
      <c r="D75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58" s="28" t="str">
        <f>IFERROR(IF(GENERAL[[#This Row],[CANTIDAD]]=0, "AGOTADO", IF(GENERAL[[#This Row],[CANTIDAD]]&lt;VLOOKUP(GENERAL[[#This Row],[CODIGO]], PRODUCTOS[#All], 3, FALSE), "MENOR AL MINIMO", "")), "")</f>
        <v>AGOTADO</v>
      </c>
      <c r="F758" s="39">
        <f>IF(OR(GENERAL[[#This Row],[CODIGO]]="", GENERAL[[#This Row],[CANTIDAD]]=""), "", VLOOKUP(GENERAL[[#This Row],[CODIGO]], PRODUCTOS[#All], 4, FALSE) * GENERAL[[#This Row],[CANTIDAD]])</f>
        <v>0</v>
      </c>
      <c r="T758" s="8"/>
    </row>
    <row r="759" spans="2:20" x14ac:dyDescent="0.2">
      <c r="B759" s="11" t="str">
        <f>IF(PRODUCTOS[[#This Row],[CODIGO]]="", "", PRODUCTOS[[#This Row],[CODIGO]])</f>
        <v>MACO-TOR716-34</v>
      </c>
      <c r="C759" s="6" t="str">
        <f>IF(GENERAL[[#This Row],[CODIGO]]="", "", VLOOKUP(GENERAL[[#This Row],[CODIGO]], PRODUCTOS[#All], 2, FALSE))</f>
        <v>Tornillo 7/16 x 3/4</v>
      </c>
      <c r="D75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59" s="28" t="str">
        <f>IFERROR(IF(GENERAL[[#This Row],[CANTIDAD]]=0, "AGOTADO", IF(GENERAL[[#This Row],[CANTIDAD]]&lt;VLOOKUP(GENERAL[[#This Row],[CODIGO]], PRODUCTOS[#All], 3, FALSE), "MENOR AL MINIMO", "")), "")</f>
        <v>AGOTADO</v>
      </c>
      <c r="F759" s="39">
        <f>IF(OR(GENERAL[[#This Row],[CODIGO]]="", GENERAL[[#This Row],[CANTIDAD]]=""), "", VLOOKUP(GENERAL[[#This Row],[CODIGO]], PRODUCTOS[#All], 4, FALSE) * GENERAL[[#This Row],[CANTIDAD]])</f>
        <v>0</v>
      </c>
      <c r="T759" s="8"/>
    </row>
    <row r="760" spans="2:20" x14ac:dyDescent="0.2">
      <c r="B760" s="11" t="str">
        <f>IF(PRODUCTOS[[#This Row],[CODIGO]]="", "", PRODUCTOS[[#This Row],[CODIGO]])</f>
        <v>MACO-TORAIS-36P</v>
      </c>
      <c r="C760" s="6" t="str">
        <f>IF(GENERAL[[#This Row],[CODIGO]]="", "", VLOOKUP(GENERAL[[#This Row],[CODIGO]], PRODUCTOS[#All], 2, FALSE))</f>
        <v>Tornillo para aislador (con juego de 36pz)</v>
      </c>
      <c r="D76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60" s="28" t="str">
        <f>IFERROR(IF(GENERAL[[#This Row],[CANTIDAD]]=0, "AGOTADO", IF(GENERAL[[#This Row],[CANTIDAD]]&lt;VLOOKUP(GENERAL[[#This Row],[CODIGO]], PRODUCTOS[#All], 3, FALSE), "MENOR AL MINIMO", "")), "")</f>
        <v>AGOTADO</v>
      </c>
      <c r="F760" s="39">
        <f>IF(OR(GENERAL[[#This Row],[CODIGO]]="", GENERAL[[#This Row],[CANTIDAD]]=""), "", VLOOKUP(GENERAL[[#This Row],[CODIGO]], PRODUCTOS[#All], 4, FALSE) * GENERAL[[#This Row],[CANTIDAD]])</f>
        <v>0</v>
      </c>
      <c r="T760" s="8"/>
    </row>
    <row r="761" spans="2:20" x14ac:dyDescent="0.2">
      <c r="B761" s="11" t="str">
        <f>IF(PRODUCTOS[[#This Row],[CODIGO]]="", "", PRODUCTOS[[#This Row],[CODIGO]])</f>
        <v>MACO-TORSO12-3</v>
      </c>
      <c r="C761" s="6" t="str">
        <f>IF(GENERAL[[#This Row],[CODIGO]]="", "", VLOOKUP(GENERAL[[#This Row],[CODIGO]], PRODUCTOS[#All], 2, FALSE))</f>
        <v>Tornillo socket 1/2 x 3"</v>
      </c>
      <c r="D76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61" s="28" t="str">
        <f>IFERROR(IF(GENERAL[[#This Row],[CANTIDAD]]=0, "AGOTADO", IF(GENERAL[[#This Row],[CANTIDAD]]&lt;VLOOKUP(GENERAL[[#This Row],[CODIGO]], PRODUCTOS[#All], 3, FALSE), "MENOR AL MINIMO", "")), "")</f>
        <v>AGOTADO</v>
      </c>
      <c r="F761" s="39">
        <f>IF(OR(GENERAL[[#This Row],[CODIGO]]="", GENERAL[[#This Row],[CANTIDAD]]=""), "", VLOOKUP(GENERAL[[#This Row],[CODIGO]], PRODUCTOS[#All], 4, FALSE) * GENERAL[[#This Row],[CANTIDAD]])</f>
        <v>0</v>
      </c>
      <c r="T761" s="8"/>
    </row>
    <row r="762" spans="2:20" x14ac:dyDescent="0.2">
      <c r="B762" s="11" t="str">
        <f>IF(PRODUCTOS[[#This Row],[CODIGO]]="", "", PRODUCTOS[[#This Row],[CODIGO]])</f>
        <v>MACO-TORSO12MM-45MM</v>
      </c>
      <c r="C762" s="6" t="str">
        <f>IF(GENERAL[[#This Row],[CODIGO]]="", "", VLOOKUP(GENERAL[[#This Row],[CODIGO]], PRODUCTOS[#All], 2, FALSE))</f>
        <v>Tornillo socket 12mm x 45mm</v>
      </c>
      <c r="D76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62" s="28" t="str">
        <f>IFERROR(IF(GENERAL[[#This Row],[CANTIDAD]]=0, "AGOTADO", IF(GENERAL[[#This Row],[CANTIDAD]]&lt;VLOOKUP(GENERAL[[#This Row],[CODIGO]], PRODUCTOS[#All], 3, FALSE), "MENOR AL MINIMO", "")), "")</f>
        <v>AGOTADO</v>
      </c>
      <c r="F762" s="39">
        <f>IF(OR(GENERAL[[#This Row],[CODIGO]]="", GENERAL[[#This Row],[CANTIDAD]]=""), "", VLOOKUP(GENERAL[[#This Row],[CODIGO]], PRODUCTOS[#All], 4, FALSE) * GENERAL[[#This Row],[CANTIDAD]])</f>
        <v>0</v>
      </c>
      <c r="T762" s="8"/>
    </row>
    <row r="763" spans="2:20" x14ac:dyDescent="0.2">
      <c r="B763" s="11" t="str">
        <f>IF(PRODUCTOS[[#This Row],[CODIGO]]="", "", PRODUCTOS[[#This Row],[CODIGO]])</f>
        <v>MACO-TORSO516-112</v>
      </c>
      <c r="C763" s="6" t="str">
        <f>IF(GENERAL[[#This Row],[CODIGO]]="", "", VLOOKUP(GENERAL[[#This Row],[CODIGO]], PRODUCTOS[#All], 2, FALSE))</f>
        <v>Tornillo socket 5/16 x 1 1/2"</v>
      </c>
      <c r="D76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63" s="28" t="str">
        <f>IFERROR(IF(GENERAL[[#This Row],[CANTIDAD]]=0, "AGOTADO", IF(GENERAL[[#This Row],[CANTIDAD]]&lt;VLOOKUP(GENERAL[[#This Row],[CODIGO]], PRODUCTOS[#All], 3, FALSE), "MENOR AL MINIMO", "")), "")</f>
        <v>AGOTADO</v>
      </c>
      <c r="F763" s="39">
        <f>IF(OR(GENERAL[[#This Row],[CODIGO]]="", GENERAL[[#This Row],[CANTIDAD]]=""), "", VLOOKUP(GENERAL[[#This Row],[CODIGO]], PRODUCTOS[#All], 4, FALSE) * GENERAL[[#This Row],[CANTIDAD]])</f>
        <v>0</v>
      </c>
      <c r="T763" s="8"/>
    </row>
    <row r="764" spans="2:20" x14ac:dyDescent="0.2">
      <c r="B764" s="11" t="str">
        <f>IF(PRODUCTOS[[#This Row],[CODIGO]]="", "", PRODUCTOS[[#This Row],[CODIGO]])</f>
        <v>MACO-TORSO516-212</v>
      </c>
      <c r="C764" s="6" t="str">
        <f>IF(GENERAL[[#This Row],[CODIGO]]="", "", VLOOKUP(GENERAL[[#This Row],[CODIGO]], PRODUCTOS[#All], 2, FALSE))</f>
        <v>Tornillo socket 5/16 x 2 1/2"</v>
      </c>
      <c r="D76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64" s="28" t="str">
        <f>IFERROR(IF(GENERAL[[#This Row],[CANTIDAD]]=0, "AGOTADO", IF(GENERAL[[#This Row],[CANTIDAD]]&lt;VLOOKUP(GENERAL[[#This Row],[CODIGO]], PRODUCTOS[#All], 3, FALSE), "MENOR AL MINIMO", "")), "")</f>
        <v>AGOTADO</v>
      </c>
      <c r="F764" s="39">
        <f>IF(OR(GENERAL[[#This Row],[CODIGO]]="", GENERAL[[#This Row],[CANTIDAD]]=""), "", VLOOKUP(GENERAL[[#This Row],[CODIGO]], PRODUCTOS[#All], 4, FALSE) * GENERAL[[#This Row],[CANTIDAD]])</f>
        <v>0</v>
      </c>
      <c r="T764" s="8"/>
    </row>
    <row r="765" spans="2:20" x14ac:dyDescent="0.2">
      <c r="B765" s="11" t="str">
        <f>IF(PRODUCTOS[[#This Row],[CODIGO]]="", "", PRODUCTOS[[#This Row],[CODIGO]])</f>
        <v>MACO-TORSO516-58</v>
      </c>
      <c r="C765" s="6" t="str">
        <f>IF(GENERAL[[#This Row],[CODIGO]]="", "", VLOOKUP(GENERAL[[#This Row],[CODIGO]], PRODUCTOS[#All], 2, FALSE))</f>
        <v>Tornillo socket 5/16 x 5/8</v>
      </c>
      <c r="D76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65" s="28" t="str">
        <f>IFERROR(IF(GENERAL[[#This Row],[CANTIDAD]]=0, "AGOTADO", IF(GENERAL[[#This Row],[CANTIDAD]]&lt;VLOOKUP(GENERAL[[#This Row],[CODIGO]], PRODUCTOS[#All], 3, FALSE), "MENOR AL MINIMO", "")), "")</f>
        <v>AGOTADO</v>
      </c>
      <c r="F765" s="39">
        <f>IF(OR(GENERAL[[#This Row],[CODIGO]]="", GENERAL[[#This Row],[CANTIDAD]]=""), "", VLOOKUP(GENERAL[[#This Row],[CODIGO]], PRODUCTOS[#All], 4, FALSE) * GENERAL[[#This Row],[CANTIDAD]])</f>
        <v>0</v>
      </c>
      <c r="T765" s="8"/>
    </row>
    <row r="766" spans="2:20" x14ac:dyDescent="0.2">
      <c r="B766" s="11" t="str">
        <f>IF(PRODUCTOS[[#This Row],[CODIGO]]="", "", PRODUCTOS[[#This Row],[CODIGO]])</f>
        <v>MACO-TORSO716-3</v>
      </c>
      <c r="C766" s="6" t="str">
        <f>IF(GENERAL[[#This Row],[CODIGO]]="", "", VLOOKUP(GENERAL[[#This Row],[CODIGO]], PRODUCTOS[#All], 2, FALSE))</f>
        <v>Tornillo socket 7/16 x 3"</v>
      </c>
      <c r="D76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66" s="28" t="str">
        <f>IFERROR(IF(GENERAL[[#This Row],[CANTIDAD]]=0, "AGOTADO", IF(GENERAL[[#This Row],[CANTIDAD]]&lt;VLOOKUP(GENERAL[[#This Row],[CODIGO]], PRODUCTOS[#All], 3, FALSE), "MENOR AL MINIMO", "")), "")</f>
        <v>AGOTADO</v>
      </c>
      <c r="F766" s="39">
        <f>IF(OR(GENERAL[[#This Row],[CODIGO]]="", GENERAL[[#This Row],[CANTIDAD]]=""), "", VLOOKUP(GENERAL[[#This Row],[CODIGO]], PRODUCTOS[#All], 4, FALSE) * GENERAL[[#This Row],[CANTIDAD]])</f>
        <v>0</v>
      </c>
      <c r="T766" s="8"/>
    </row>
    <row r="767" spans="2:20" x14ac:dyDescent="0.2">
      <c r="B767" s="11" t="str">
        <f>IF(PRODUCTOS[[#This Row],[CODIGO]]="", "", PRODUCTOS[[#This Row],[CODIGO]])</f>
        <v>MACO-TORSO716-34</v>
      </c>
      <c r="C767" s="6" t="str">
        <f>IF(GENERAL[[#This Row],[CODIGO]]="", "", VLOOKUP(GENERAL[[#This Row],[CODIGO]], PRODUCTOS[#All], 2, FALSE))</f>
        <v>Tornillo socket 7/16 x 3/4</v>
      </c>
      <c r="D76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67" s="28" t="str">
        <f>IFERROR(IF(GENERAL[[#This Row],[CANTIDAD]]=0, "AGOTADO", IF(GENERAL[[#This Row],[CANTIDAD]]&lt;VLOOKUP(GENERAL[[#This Row],[CODIGO]], PRODUCTOS[#All], 3, FALSE), "MENOR AL MINIMO", "")), "")</f>
        <v>AGOTADO</v>
      </c>
      <c r="F767" s="39">
        <f>IF(OR(GENERAL[[#This Row],[CODIGO]]="", GENERAL[[#This Row],[CANTIDAD]]=""), "", VLOOKUP(GENERAL[[#This Row],[CODIGO]], PRODUCTOS[#All], 4, FALSE) * GENERAL[[#This Row],[CANTIDAD]])</f>
        <v>0</v>
      </c>
      <c r="T767" s="8"/>
    </row>
    <row r="768" spans="2:20" x14ac:dyDescent="0.2">
      <c r="B768" s="11" t="str">
        <f>IF(PRODUCTOS[[#This Row],[CODIGO]]="", "", PRODUCTOS[[#This Row],[CODIGO]])</f>
        <v>MACO-TUER-10MM</v>
      </c>
      <c r="C768" s="6" t="str">
        <f>IF(GENERAL[[#This Row],[CODIGO]]="", "", VLOOKUP(GENERAL[[#This Row],[CODIGO]], PRODUCTOS[#All], 2, FALSE))</f>
        <v>Tuerca 10mm</v>
      </c>
      <c r="D76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68" s="28" t="str">
        <f>IFERROR(IF(GENERAL[[#This Row],[CANTIDAD]]=0, "AGOTADO", IF(GENERAL[[#This Row],[CANTIDAD]]&lt;VLOOKUP(GENERAL[[#This Row],[CODIGO]], PRODUCTOS[#All], 3, FALSE), "MENOR AL MINIMO", "")), "")</f>
        <v>AGOTADO</v>
      </c>
      <c r="F768" s="39">
        <f>IF(OR(GENERAL[[#This Row],[CODIGO]]="", GENERAL[[#This Row],[CANTIDAD]]=""), "", VLOOKUP(GENERAL[[#This Row],[CODIGO]], PRODUCTOS[#All], 4, FALSE) * GENERAL[[#This Row],[CANTIDAD]])</f>
        <v>0</v>
      </c>
      <c r="T768" s="8"/>
    </row>
    <row r="769" spans="2:20" x14ac:dyDescent="0.2">
      <c r="B769" s="11" t="str">
        <f>IF(PRODUCTOS[[#This Row],[CODIGO]]="", "", PRODUCTOS[[#This Row],[CODIGO]])</f>
        <v>MACO-TUER-12</v>
      </c>
      <c r="C769" s="6" t="str">
        <f>IF(GENERAL[[#This Row],[CODIGO]]="", "", VLOOKUP(GENERAL[[#This Row],[CODIGO]], PRODUCTOS[#All], 2, FALSE))</f>
        <v>Tuerca 1/2"</v>
      </c>
      <c r="D76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69" s="28" t="str">
        <f>IFERROR(IF(GENERAL[[#This Row],[CANTIDAD]]=0, "AGOTADO", IF(GENERAL[[#This Row],[CANTIDAD]]&lt;VLOOKUP(GENERAL[[#This Row],[CODIGO]], PRODUCTOS[#All], 3, FALSE), "MENOR AL MINIMO", "")), "")</f>
        <v>AGOTADO</v>
      </c>
      <c r="F769" s="39">
        <f>IF(OR(GENERAL[[#This Row],[CODIGO]]="", GENERAL[[#This Row],[CANTIDAD]]=""), "", VLOOKUP(GENERAL[[#This Row],[CODIGO]], PRODUCTOS[#All], 4, FALSE) * GENERAL[[#This Row],[CANTIDAD]])</f>
        <v>0</v>
      </c>
      <c r="T769" s="8"/>
    </row>
    <row r="770" spans="2:20" x14ac:dyDescent="0.2">
      <c r="B770" s="11" t="str">
        <f>IF(PRODUCTOS[[#This Row],[CODIGO]]="", "", PRODUCTOS[[#This Row],[CODIGO]])</f>
        <v>MACO-TUER-14</v>
      </c>
      <c r="C770" s="6" t="str">
        <f>IF(GENERAL[[#This Row],[CODIGO]]="", "", VLOOKUP(GENERAL[[#This Row],[CODIGO]], PRODUCTOS[#All], 2, FALSE))</f>
        <v>Tuerca 1/4"</v>
      </c>
      <c r="D77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70" s="28" t="str">
        <f>IFERROR(IF(GENERAL[[#This Row],[CANTIDAD]]=0, "AGOTADO", IF(GENERAL[[#This Row],[CANTIDAD]]&lt;VLOOKUP(GENERAL[[#This Row],[CODIGO]], PRODUCTOS[#All], 3, FALSE), "MENOR AL MINIMO", "")), "")</f>
        <v>AGOTADO</v>
      </c>
      <c r="F770" s="39">
        <f>IF(OR(GENERAL[[#This Row],[CODIGO]]="", GENERAL[[#This Row],[CANTIDAD]]=""), "", VLOOKUP(GENERAL[[#This Row],[CODIGO]], PRODUCTOS[#All], 4, FALSE) * GENERAL[[#This Row],[CANTIDAD]])</f>
        <v>0</v>
      </c>
      <c r="T770" s="8"/>
    </row>
    <row r="771" spans="2:20" x14ac:dyDescent="0.2">
      <c r="B771" s="11" t="str">
        <f>IF(PRODUCTOS[[#This Row],[CODIGO]]="", "", PRODUCTOS[[#This Row],[CODIGO]])</f>
        <v>MACO-TUER-14MM</v>
      </c>
      <c r="C771" s="6" t="str">
        <f>IF(GENERAL[[#This Row],[CODIGO]]="", "", VLOOKUP(GENERAL[[#This Row],[CODIGO]], PRODUCTOS[#All], 2, FALSE))</f>
        <v>Tuerca 14mm</v>
      </c>
      <c r="D77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71" s="28" t="str">
        <f>IFERROR(IF(GENERAL[[#This Row],[CANTIDAD]]=0, "AGOTADO", IF(GENERAL[[#This Row],[CANTIDAD]]&lt;VLOOKUP(GENERAL[[#This Row],[CODIGO]], PRODUCTOS[#All], 3, FALSE), "MENOR AL MINIMO", "")), "")</f>
        <v>AGOTADO</v>
      </c>
      <c r="F771" s="39">
        <f>IF(OR(GENERAL[[#This Row],[CODIGO]]="", GENERAL[[#This Row],[CANTIDAD]]=""), "", VLOOKUP(GENERAL[[#This Row],[CODIGO]], PRODUCTOS[#All], 4, FALSE) * GENERAL[[#This Row],[CANTIDAD]])</f>
        <v>0</v>
      </c>
      <c r="T771" s="8"/>
    </row>
    <row r="772" spans="2:20" x14ac:dyDescent="0.2">
      <c r="B772" s="11" t="str">
        <f>IF(PRODUCTOS[[#This Row],[CODIGO]]="", "", PRODUCTOS[[#This Row],[CODIGO]])</f>
        <v>MACO-TUER-34</v>
      </c>
      <c r="C772" s="6" t="str">
        <f>IF(GENERAL[[#This Row],[CODIGO]]="", "", VLOOKUP(GENERAL[[#This Row],[CODIGO]], PRODUCTOS[#All], 2, FALSE))</f>
        <v>Tuerca 3/4"</v>
      </c>
      <c r="D77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72" s="28" t="str">
        <f>IFERROR(IF(GENERAL[[#This Row],[CANTIDAD]]=0, "AGOTADO", IF(GENERAL[[#This Row],[CANTIDAD]]&lt;VLOOKUP(GENERAL[[#This Row],[CODIGO]], PRODUCTOS[#All], 3, FALSE), "MENOR AL MINIMO", "")), "")</f>
        <v>AGOTADO</v>
      </c>
      <c r="F772" s="39">
        <f>IF(OR(GENERAL[[#This Row],[CODIGO]]="", GENERAL[[#This Row],[CANTIDAD]]=""), "", VLOOKUP(GENERAL[[#This Row],[CODIGO]], PRODUCTOS[#All], 4, FALSE) * GENERAL[[#This Row],[CANTIDAD]])</f>
        <v>0</v>
      </c>
      <c r="T772" s="8"/>
    </row>
    <row r="773" spans="2:20" x14ac:dyDescent="0.2">
      <c r="B773" s="11" t="str">
        <f>IF(PRODUCTOS[[#This Row],[CODIGO]]="", "", PRODUCTOS[[#This Row],[CODIGO]])</f>
        <v>MACO-TUER-38</v>
      </c>
      <c r="C773" s="6" t="str">
        <f>IF(GENERAL[[#This Row],[CODIGO]]="", "", VLOOKUP(GENERAL[[#This Row],[CODIGO]], PRODUCTOS[#All], 2, FALSE))</f>
        <v>Tuerca 3/8"</v>
      </c>
      <c r="D77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73" s="28" t="str">
        <f>IFERROR(IF(GENERAL[[#This Row],[CANTIDAD]]=0, "AGOTADO", IF(GENERAL[[#This Row],[CANTIDAD]]&lt;VLOOKUP(GENERAL[[#This Row],[CODIGO]], PRODUCTOS[#All], 3, FALSE), "MENOR AL MINIMO", "")), "")</f>
        <v>AGOTADO</v>
      </c>
      <c r="F773" s="39">
        <f>IF(OR(GENERAL[[#This Row],[CODIGO]]="", GENERAL[[#This Row],[CANTIDAD]]=""), "", VLOOKUP(GENERAL[[#This Row],[CODIGO]], PRODUCTOS[#All], 4, FALSE) * GENERAL[[#This Row],[CANTIDAD]])</f>
        <v>0</v>
      </c>
      <c r="T773" s="8"/>
    </row>
    <row r="774" spans="2:20" x14ac:dyDescent="0.2">
      <c r="B774" s="11" t="str">
        <f>IF(PRODUCTOS[[#This Row],[CODIGO]]="", "", PRODUCTOS[[#This Row],[CODIGO]])</f>
        <v>MACO-TUER-516</v>
      </c>
      <c r="C774" s="6" t="str">
        <f>IF(GENERAL[[#This Row],[CODIGO]]="", "", VLOOKUP(GENERAL[[#This Row],[CODIGO]], PRODUCTOS[#All], 2, FALSE))</f>
        <v>Tuerca 5/16"</v>
      </c>
      <c r="D77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74" s="28" t="str">
        <f>IFERROR(IF(GENERAL[[#This Row],[CANTIDAD]]=0, "AGOTADO", IF(GENERAL[[#This Row],[CANTIDAD]]&lt;VLOOKUP(GENERAL[[#This Row],[CODIGO]], PRODUCTOS[#All], 3, FALSE), "MENOR AL MINIMO", "")), "")</f>
        <v>AGOTADO</v>
      </c>
      <c r="F774" s="39">
        <f>IF(OR(GENERAL[[#This Row],[CODIGO]]="", GENERAL[[#This Row],[CANTIDAD]]=""), "", VLOOKUP(GENERAL[[#This Row],[CODIGO]], PRODUCTOS[#All], 4, FALSE) * GENERAL[[#This Row],[CANTIDAD]])</f>
        <v>0</v>
      </c>
      <c r="T774" s="8"/>
    </row>
    <row r="775" spans="2:20" x14ac:dyDescent="0.2">
      <c r="B775" s="11" t="str">
        <f>IF(PRODUCTOS[[#This Row],[CODIGO]]="", "", PRODUCTOS[[#This Row],[CODIGO]])</f>
        <v>MACO-TUER-53</v>
      </c>
      <c r="C775" s="6" t="str">
        <f>IF(GENERAL[[#This Row],[CODIGO]]="", "", VLOOKUP(GENERAL[[#This Row],[CODIGO]], PRODUCTOS[#All], 2, FALSE))</f>
        <v>Tuerca 5/3"</v>
      </c>
      <c r="D77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75" s="28" t="str">
        <f>IFERROR(IF(GENERAL[[#This Row],[CANTIDAD]]=0, "AGOTADO", IF(GENERAL[[#This Row],[CANTIDAD]]&lt;VLOOKUP(GENERAL[[#This Row],[CODIGO]], PRODUCTOS[#All], 3, FALSE), "MENOR AL MINIMO", "")), "")</f>
        <v>AGOTADO</v>
      </c>
      <c r="F775" s="39">
        <f>IF(OR(GENERAL[[#This Row],[CODIGO]]="", GENERAL[[#This Row],[CANTIDAD]]=""), "", VLOOKUP(GENERAL[[#This Row],[CODIGO]], PRODUCTOS[#All], 4, FALSE) * GENERAL[[#This Row],[CANTIDAD]])</f>
        <v>0</v>
      </c>
      <c r="T775" s="8"/>
    </row>
    <row r="776" spans="2:20" x14ac:dyDescent="0.2">
      <c r="B776" s="11" t="str">
        <f>IF(PRODUCTOS[[#This Row],[CODIGO]]="", "", PRODUCTOS[[#This Row],[CODIGO]])</f>
        <v>MACO-TUER-58</v>
      </c>
      <c r="C776" s="6" t="str">
        <f>IF(GENERAL[[#This Row],[CODIGO]]="", "", VLOOKUP(GENERAL[[#This Row],[CODIGO]], PRODUCTOS[#All], 2, FALSE))</f>
        <v>Tuerca 5/8"</v>
      </c>
      <c r="D77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76" s="28" t="str">
        <f>IFERROR(IF(GENERAL[[#This Row],[CANTIDAD]]=0, "AGOTADO", IF(GENERAL[[#This Row],[CANTIDAD]]&lt;VLOOKUP(GENERAL[[#This Row],[CODIGO]], PRODUCTOS[#All], 3, FALSE), "MENOR AL MINIMO", "")), "")</f>
        <v>AGOTADO</v>
      </c>
      <c r="F776" s="39">
        <f>IF(OR(GENERAL[[#This Row],[CODIGO]]="", GENERAL[[#This Row],[CANTIDAD]]=""), "", VLOOKUP(GENERAL[[#This Row],[CODIGO]], PRODUCTOS[#All], 4, FALSE) * GENERAL[[#This Row],[CANTIDAD]])</f>
        <v>0</v>
      </c>
      <c r="T776" s="8"/>
    </row>
    <row r="777" spans="2:20" x14ac:dyDescent="0.2">
      <c r="B777" s="11" t="str">
        <f>IF(PRODUCTOS[[#This Row],[CODIGO]]="", "", PRODUCTOS[[#This Row],[CODIGO]])</f>
        <v>MACO-TUER-6MM</v>
      </c>
      <c r="C777" s="6" t="str">
        <f>IF(GENERAL[[#This Row],[CODIGO]]="", "", VLOOKUP(GENERAL[[#This Row],[CODIGO]], PRODUCTOS[#All], 2, FALSE))</f>
        <v>Tuerca 6mm</v>
      </c>
      <c r="D77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77" s="28" t="str">
        <f>IFERROR(IF(GENERAL[[#This Row],[CANTIDAD]]=0, "AGOTADO", IF(GENERAL[[#This Row],[CANTIDAD]]&lt;VLOOKUP(GENERAL[[#This Row],[CODIGO]], PRODUCTOS[#All], 3, FALSE), "MENOR AL MINIMO", "")), "")</f>
        <v>AGOTADO</v>
      </c>
      <c r="F777" s="39">
        <f>IF(OR(GENERAL[[#This Row],[CODIGO]]="", GENERAL[[#This Row],[CANTIDAD]]=""), "", VLOOKUP(GENERAL[[#This Row],[CODIGO]], PRODUCTOS[#All], 4, FALSE) * GENERAL[[#This Row],[CANTIDAD]])</f>
        <v>0</v>
      </c>
      <c r="T777" s="8"/>
    </row>
    <row r="778" spans="2:20" x14ac:dyDescent="0.2">
      <c r="B778" s="11" t="str">
        <f>IF(PRODUCTOS[[#This Row],[CODIGO]]="", "", PRODUCTOS[[#This Row],[CODIGO]])</f>
        <v>MACO-TUER-716</v>
      </c>
      <c r="C778" s="6" t="str">
        <f>IF(GENERAL[[#This Row],[CODIGO]]="", "", VLOOKUP(GENERAL[[#This Row],[CODIGO]], PRODUCTOS[#All], 2, FALSE))</f>
        <v>Tuerca 7/16"</v>
      </c>
      <c r="D77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78" s="28" t="str">
        <f>IFERROR(IF(GENERAL[[#This Row],[CANTIDAD]]=0, "AGOTADO", IF(GENERAL[[#This Row],[CANTIDAD]]&lt;VLOOKUP(GENERAL[[#This Row],[CODIGO]], PRODUCTOS[#All], 3, FALSE), "MENOR AL MINIMO", "")), "")</f>
        <v>AGOTADO</v>
      </c>
      <c r="F778" s="39">
        <f>IF(OR(GENERAL[[#This Row],[CODIGO]]="", GENERAL[[#This Row],[CANTIDAD]]=""), "", VLOOKUP(GENERAL[[#This Row],[CODIGO]], PRODUCTOS[#All], 4, FALSE) * GENERAL[[#This Row],[CANTIDAD]])</f>
        <v>0</v>
      </c>
      <c r="T778" s="8"/>
    </row>
    <row r="779" spans="2:20" x14ac:dyDescent="0.2">
      <c r="B779" s="11" t="str">
        <f>IF(PRODUCTOS[[#This Row],[CODIGO]]="", "", PRODUCTOS[[#This Row],[CODIGO]])</f>
        <v>MACO-TUER-916</v>
      </c>
      <c r="C779" s="6" t="str">
        <f>IF(GENERAL[[#This Row],[CODIGO]]="", "", VLOOKUP(GENERAL[[#This Row],[CODIGO]], PRODUCTOS[#All], 2, FALSE))</f>
        <v>Tuerca 9/16"</v>
      </c>
      <c r="D77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79" s="28" t="str">
        <f>IFERROR(IF(GENERAL[[#This Row],[CANTIDAD]]=0, "AGOTADO", IF(GENERAL[[#This Row],[CANTIDAD]]&lt;VLOOKUP(GENERAL[[#This Row],[CODIGO]], PRODUCTOS[#All], 3, FALSE), "MENOR AL MINIMO", "")), "")</f>
        <v>AGOTADO</v>
      </c>
      <c r="F779" s="39">
        <f>IF(OR(GENERAL[[#This Row],[CODIGO]]="", GENERAL[[#This Row],[CANTIDAD]]=""), "", VLOOKUP(GENERAL[[#This Row],[CODIGO]], PRODUCTOS[#All], 4, FALSE) * GENERAL[[#This Row],[CANTIDAD]])</f>
        <v>0</v>
      </c>
      <c r="T779" s="8"/>
    </row>
    <row r="780" spans="2:20" x14ac:dyDescent="0.2">
      <c r="B780" s="11" t="str">
        <f>IF(PRODUCTOS[[#This Row],[CODIGO]]="", "", PRODUCTOS[[#This Row],[CODIGO]])</f>
        <v>MACO-TUER-9MM</v>
      </c>
      <c r="C780" s="6" t="str">
        <f>IF(GENERAL[[#This Row],[CODIGO]]="", "", VLOOKUP(GENERAL[[#This Row],[CODIGO]], PRODUCTOS[#All], 2, FALSE))</f>
        <v xml:space="preserve">Tuerca 9mm </v>
      </c>
      <c r="D78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80" s="28" t="str">
        <f>IFERROR(IF(GENERAL[[#This Row],[CANTIDAD]]=0, "AGOTADO", IF(GENERAL[[#This Row],[CANTIDAD]]&lt;VLOOKUP(GENERAL[[#This Row],[CODIGO]], PRODUCTOS[#All], 3, FALSE), "MENOR AL MINIMO", "")), "")</f>
        <v>AGOTADO</v>
      </c>
      <c r="F780" s="39">
        <f>IF(OR(GENERAL[[#This Row],[CODIGO]]="", GENERAL[[#This Row],[CANTIDAD]]=""), "", VLOOKUP(GENERAL[[#This Row],[CODIGO]], PRODUCTOS[#All], 4, FALSE) * GENERAL[[#This Row],[CANTIDAD]])</f>
        <v>0</v>
      </c>
      <c r="T780" s="8"/>
    </row>
    <row r="781" spans="2:20" x14ac:dyDescent="0.2">
      <c r="B781" s="11" t="str">
        <f>IF(PRODUCTOS[[#This Row],[CODIGO]]="", "", PRODUCTOS[[#This Row],[CODIGO]])</f>
        <v>MACO-TUERAC-38</v>
      </c>
      <c r="C781" s="6" t="str">
        <f>IF(GENERAL[[#This Row],[CODIGO]]="", "", VLOOKUP(GENERAL[[#This Row],[CODIGO]], PRODUCTOS[#All], 2, FALSE))</f>
        <v>Tuerca de acople 3/8</v>
      </c>
      <c r="D78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81" s="28" t="str">
        <f>IFERROR(IF(GENERAL[[#This Row],[CANTIDAD]]=0, "AGOTADO", IF(GENERAL[[#This Row],[CANTIDAD]]&lt;VLOOKUP(GENERAL[[#This Row],[CODIGO]], PRODUCTOS[#All], 3, FALSE), "MENOR AL MINIMO", "")), "")</f>
        <v>AGOTADO</v>
      </c>
      <c r="F781" s="39">
        <f>IF(OR(GENERAL[[#This Row],[CODIGO]]="", GENERAL[[#This Row],[CANTIDAD]]=""), "", VLOOKUP(GENERAL[[#This Row],[CODIGO]], PRODUCTOS[#All], 4, FALSE) * GENERAL[[#This Row],[CANTIDAD]])</f>
        <v>0</v>
      </c>
      <c r="T781" s="8"/>
    </row>
    <row r="782" spans="2:20" x14ac:dyDescent="0.2">
      <c r="B782" s="11" t="str">
        <f>IF(PRODUCTOS[[#This Row],[CODIGO]]="", "", PRODUCTOS[[#This Row],[CODIGO]])</f>
        <v>MACO-TUERPL-106</v>
      </c>
      <c r="C782" s="6" t="str">
        <f>IF(GENERAL[[#This Row],[CODIGO]]="", "", VLOOKUP(GENERAL[[#This Row],[CODIGO]], PRODUCTOS[#All], 2, FALSE))</f>
        <v xml:space="preserve">Tuercas de plásctico </v>
      </c>
      <c r="D78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82" s="28" t="str">
        <f>IFERROR(IF(GENERAL[[#This Row],[CANTIDAD]]=0, "AGOTADO", IF(GENERAL[[#This Row],[CANTIDAD]]&lt;VLOOKUP(GENERAL[[#This Row],[CODIGO]], PRODUCTOS[#All], 3, FALSE), "MENOR AL MINIMO", "")), "")</f>
        <v>AGOTADO</v>
      </c>
      <c r="F782" s="39">
        <f>IF(OR(GENERAL[[#This Row],[CODIGO]]="", GENERAL[[#This Row],[CANTIDAD]]=""), "", VLOOKUP(GENERAL[[#This Row],[CODIGO]], PRODUCTOS[#All], 4, FALSE) * GENERAL[[#This Row],[CANTIDAD]])</f>
        <v>0</v>
      </c>
      <c r="T782" s="8"/>
    </row>
    <row r="783" spans="2:20" x14ac:dyDescent="0.2">
      <c r="B783" s="11" t="str">
        <f>IF(PRODUCTOS[[#This Row],[CODIGO]]="", "", PRODUCTOS[[#This Row],[CODIGO]])</f>
        <v>MACO-TUERSEG-12</v>
      </c>
      <c r="C783" s="6" t="str">
        <f>IF(GENERAL[[#This Row],[CODIGO]]="", "", VLOOKUP(GENERAL[[#This Row],[CODIGO]], PRODUCTOS[#All], 2, FALSE))</f>
        <v>Tuerca de seguridad 1/2"</v>
      </c>
      <c r="D78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83" s="28" t="str">
        <f>IFERROR(IF(GENERAL[[#This Row],[CANTIDAD]]=0, "AGOTADO", IF(GENERAL[[#This Row],[CANTIDAD]]&lt;VLOOKUP(GENERAL[[#This Row],[CODIGO]], PRODUCTOS[#All], 3, FALSE), "MENOR AL MINIMO", "")), "")</f>
        <v>AGOTADO</v>
      </c>
      <c r="F783" s="39">
        <f>IF(OR(GENERAL[[#This Row],[CODIGO]]="", GENERAL[[#This Row],[CANTIDAD]]=""), "", VLOOKUP(GENERAL[[#This Row],[CODIGO]], PRODUCTOS[#All], 4, FALSE) * GENERAL[[#This Row],[CANTIDAD]])</f>
        <v>0</v>
      </c>
      <c r="T783" s="8"/>
    </row>
    <row r="784" spans="2:20" x14ac:dyDescent="0.2">
      <c r="B784" s="11" t="str">
        <f>IF(PRODUCTOS[[#This Row],[CODIGO]]="", "", PRODUCTOS[[#This Row],[CODIGO]])</f>
        <v>MACO-VARC-14</v>
      </c>
      <c r="C784" s="6" t="str">
        <f>IF(GENERAL[[#This Row],[CODIGO]]="", "", VLOOKUP(GENERAL[[#This Row],[CODIGO]], PRODUCTOS[#All], 2, FALSE))</f>
        <v xml:space="preserve">Varilla para arcaid carbón 1/4 </v>
      </c>
      <c r="D78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84" s="28" t="str">
        <f>IFERROR(IF(GENERAL[[#This Row],[CANTIDAD]]=0, "AGOTADO", IF(GENERAL[[#This Row],[CANTIDAD]]&lt;VLOOKUP(GENERAL[[#This Row],[CODIGO]], PRODUCTOS[#All], 3, FALSE), "MENOR AL MINIMO", "")), "")</f>
        <v>AGOTADO</v>
      </c>
      <c r="F784" s="39">
        <f>IF(OR(GENERAL[[#This Row],[CODIGO]]="", GENERAL[[#This Row],[CANTIDAD]]=""), "", VLOOKUP(GENERAL[[#This Row],[CODIGO]], PRODUCTOS[#All], 4, FALSE) * GENERAL[[#This Row],[CANTIDAD]])</f>
        <v>0</v>
      </c>
      <c r="T784" s="8"/>
    </row>
    <row r="785" spans="2:20" x14ac:dyDescent="0.2">
      <c r="B785" s="11" t="str">
        <f>IF(PRODUCTOS[[#This Row],[CODIGO]]="", "", PRODUCTOS[[#This Row],[CODIGO]])</f>
        <v>MACO-VELDIG-074</v>
      </c>
      <c r="C785" s="6" t="str">
        <f>IF(GENERAL[[#This Row],[CODIGO]]="", "", VLOOKUP(GENERAL[[#This Row],[CODIGO]], PRODUCTOS[#All], 2, FALSE))</f>
        <v>Velocimetro digital miniatura para moto</v>
      </c>
      <c r="D78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85" s="28" t="str">
        <f>IFERROR(IF(GENERAL[[#This Row],[CANTIDAD]]=0, "AGOTADO", IF(GENERAL[[#This Row],[CANTIDAD]]&lt;VLOOKUP(GENERAL[[#This Row],[CODIGO]], PRODUCTOS[#All], 3, FALSE), "MENOR AL MINIMO", "")), "")</f>
        <v>AGOTADO</v>
      </c>
      <c r="F785" s="39">
        <f>IF(OR(GENERAL[[#This Row],[CODIGO]]="", GENERAL[[#This Row],[CANTIDAD]]=""), "", VLOOKUP(GENERAL[[#This Row],[CODIGO]], PRODUCTOS[#All], 4, FALSE) * GENERAL[[#This Row],[CANTIDAD]])</f>
        <v>0</v>
      </c>
      <c r="T785" s="8"/>
    </row>
    <row r="786" spans="2:20" x14ac:dyDescent="0.2">
      <c r="B786" s="11" t="str">
        <f>IF(PRODUCTOS[[#This Row],[CODIGO]]="", "", PRODUCTOS[[#This Row],[CODIGO]])</f>
        <v>MACO-VINIMEX-049</v>
      </c>
      <c r="C786" s="6" t="str">
        <f>IF(GENERAL[[#This Row],[CODIGO]]="", "", VLOOKUP(GENERAL[[#This Row],[CODIGO]], PRODUCTOS[#All], 2, FALSE))</f>
        <v>Vinimex 1L</v>
      </c>
      <c r="D78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86" s="28" t="str">
        <f>IFERROR(IF(GENERAL[[#This Row],[CANTIDAD]]=0, "AGOTADO", IF(GENERAL[[#This Row],[CANTIDAD]]&lt;VLOOKUP(GENERAL[[#This Row],[CODIGO]], PRODUCTOS[#All], 3, FALSE), "MENOR AL MINIMO", "")), "")</f>
        <v>AGOTADO</v>
      </c>
      <c r="F786" s="39">
        <f>IF(OR(GENERAL[[#This Row],[CODIGO]]="", GENERAL[[#This Row],[CANTIDAD]]=""), "", VLOOKUP(GENERAL[[#This Row],[CODIGO]], PRODUCTOS[#All], 4, FALSE) * GENERAL[[#This Row],[CANTIDAD]])</f>
        <v>0</v>
      </c>
      <c r="T786" s="8"/>
    </row>
    <row r="787" spans="2:20" x14ac:dyDescent="0.2">
      <c r="B787" s="11" t="str">
        <f>IF(PRODUCTOS[[#This Row],[CODIGO]]="", "", PRODUCTOS[[#This Row],[CODIGO]])</f>
        <v>MACO-ZAPRE-093</v>
      </c>
      <c r="C787" s="6" t="str">
        <f>IF(GENERAL[[#This Row],[CODIGO]]="", "", VLOOKUP(GENERAL[[#This Row],[CODIGO]], PRODUCTOS[#All], 2, FALSE))</f>
        <v xml:space="preserve">zapata de retención </v>
      </c>
      <c r="D78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87" s="28" t="str">
        <f>IFERROR(IF(GENERAL[[#This Row],[CANTIDAD]]=0, "AGOTADO", IF(GENERAL[[#This Row],[CANTIDAD]]&lt;VLOOKUP(GENERAL[[#This Row],[CODIGO]], PRODUCTOS[#All], 3, FALSE), "MENOR AL MINIMO", "")), "")</f>
        <v>AGOTADO</v>
      </c>
      <c r="F787" s="39">
        <f>IF(OR(GENERAL[[#This Row],[CODIGO]]="", GENERAL[[#This Row],[CANTIDAD]]=""), "", VLOOKUP(GENERAL[[#This Row],[CODIGO]], PRODUCTOS[#All], 4, FALSE) * GENERAL[[#This Row],[CANTIDAD]])</f>
        <v>0</v>
      </c>
      <c r="T787" s="8"/>
    </row>
    <row r="788" spans="2:20" x14ac:dyDescent="0.2">
      <c r="B788" s="11" t="str">
        <f>IF(PRODUCTOS[[#This Row],[CODIGO]]="", "", PRODUCTOS[[#This Row],[CODIGO]])</f>
        <v>MAQ-CABA-1200</v>
      </c>
      <c r="C788" s="6" t="str">
        <f>IF(GENERAL[[#This Row],[CODIGO]]="", "", VLOOKUP(GENERAL[[#This Row],[CODIGO]], PRODUCTOS[#All], 2, FALSE))</f>
        <v>Cargador de baterias Schumacher Instant Power 1,200 ampr 150 psi</v>
      </c>
      <c r="D78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88" s="28" t="str">
        <f>IFERROR(IF(GENERAL[[#This Row],[CANTIDAD]]=0, "AGOTADO", IF(GENERAL[[#This Row],[CANTIDAD]]&lt;VLOOKUP(GENERAL[[#This Row],[CODIGO]], PRODUCTOS[#All], 3, FALSE), "MENOR AL MINIMO", "")), "")</f>
        <v>AGOTADO</v>
      </c>
      <c r="F788" s="39">
        <f>IF(OR(GENERAL[[#This Row],[CODIGO]]="", GENERAL[[#This Row],[CANTIDAD]]=""), "", VLOOKUP(GENERAL[[#This Row],[CODIGO]], PRODUCTOS[#All], 4, FALSE) * GENERAL[[#This Row],[CANTIDAD]])</f>
        <v>0</v>
      </c>
      <c r="T788" s="8"/>
    </row>
    <row r="789" spans="2:20" x14ac:dyDescent="0.2">
      <c r="B789" s="11" t="str">
        <f>IF(PRODUCTOS[[#This Row],[CODIGO]]="", "", PRODUCTOS[[#This Row],[CODIGO]])</f>
        <v>MAQ-CDWC-14</v>
      </c>
      <c r="C789" s="6" t="str">
        <f>IF(GENERAL[[#This Row],[CODIGO]]="", "", VLOOKUP(GENERAL[[#This Row],[CODIGO]], PRODUCTOS[#All], 2, FALSE))</f>
        <v>Cortadora Dewalt circular 14" 25,000 r/min 2,300W</v>
      </c>
      <c r="D78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89" s="28" t="str">
        <f>IFERROR(IF(GENERAL[[#This Row],[CANTIDAD]]=0, "AGOTADO", IF(GENERAL[[#This Row],[CANTIDAD]]&lt;VLOOKUP(GENERAL[[#This Row],[CODIGO]], PRODUCTOS[#All], 3, FALSE), "MENOR AL MINIMO", "")), "")</f>
        <v>AGOTADO</v>
      </c>
      <c r="F789" s="39">
        <f>IF(OR(GENERAL[[#This Row],[CODIGO]]="", GENERAL[[#This Row],[CANTIDAD]]=""), "", VLOOKUP(GENERAL[[#This Row],[CODIGO]], PRODUCTOS[#All], 4, FALSE) * GENERAL[[#This Row],[CANTIDAD]])</f>
        <v>0</v>
      </c>
      <c r="T789" s="8"/>
    </row>
    <row r="790" spans="2:20" x14ac:dyDescent="0.2">
      <c r="B790" s="11" t="str">
        <f>IF(PRODUCTOS[[#This Row],[CODIGO]]="", "", PRODUCTOS[[#This Row],[CODIGO]])</f>
        <v>MAQ-COMOAK-1HP</v>
      </c>
      <c r="C790" s="6" t="str">
        <f>IF(GENERAL[[#This Row],[CODIGO]]="", "", VLOOKUP(GENERAL[[#This Row],[CODIGO]], PRODUCTOS[#All], 2, FALSE))</f>
        <v>Compresor negro Oakland 1 Hp 108Lts</v>
      </c>
      <c r="D79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90" s="28" t="str">
        <f>IFERROR(IF(GENERAL[[#This Row],[CANTIDAD]]=0, "AGOTADO", IF(GENERAL[[#This Row],[CANTIDAD]]&lt;VLOOKUP(GENERAL[[#This Row],[CODIGO]], PRODUCTOS[#All], 3, FALSE), "MENOR AL MINIMO", "")), "")</f>
        <v>AGOTADO</v>
      </c>
      <c r="F790" s="39">
        <f>IF(OR(GENERAL[[#This Row],[CODIGO]]="", GENERAL[[#This Row],[CANTIDAD]]=""), "", VLOOKUP(GENERAL[[#This Row],[CODIGO]], PRODUCTOS[#All], 4, FALSE) * GENERAL[[#This Row],[CANTIDAD]])</f>
        <v>0</v>
      </c>
      <c r="T790" s="8"/>
    </row>
    <row r="791" spans="2:20" x14ac:dyDescent="0.2">
      <c r="B791" s="11" t="str">
        <f>IF(PRODUCTOS[[#This Row],[CODIGO]]="", "", PRODUCTOS[[#This Row],[CODIGO]])</f>
        <v>MAQ-COMOAK-2.5HP</v>
      </c>
      <c r="C791" s="6" t="str">
        <f>IF(GENERAL[[#This Row],[CODIGO]]="", "", VLOOKUP(GENERAL[[#This Row],[CODIGO]], PRODUCTOS[#All], 2, FALSE))</f>
        <v>Compresor verde Oakland 2.5 Hp 25Lts</v>
      </c>
      <c r="D79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91" s="28" t="str">
        <f>IFERROR(IF(GENERAL[[#This Row],[CANTIDAD]]=0, "AGOTADO", IF(GENERAL[[#This Row],[CANTIDAD]]&lt;VLOOKUP(GENERAL[[#This Row],[CODIGO]], PRODUCTOS[#All], 3, FALSE), "MENOR AL MINIMO", "")), "")</f>
        <v>AGOTADO</v>
      </c>
      <c r="F791" s="39">
        <f>IF(OR(GENERAL[[#This Row],[CODIGO]]="", GENERAL[[#This Row],[CANTIDAD]]=""), "", VLOOKUP(GENERAL[[#This Row],[CODIGO]], PRODUCTOS[#All], 4, FALSE) * GENERAL[[#This Row],[CANTIDAD]])</f>
        <v>0</v>
      </c>
      <c r="T791" s="8"/>
    </row>
    <row r="792" spans="2:20" x14ac:dyDescent="0.2">
      <c r="B792" s="11" t="str">
        <f>IF(PRODUCTOS[[#This Row],[CODIGO]]="", "", PRODUCTOS[[#This Row],[CODIGO]])</f>
        <v>MAQ-DS210-220</v>
      </c>
      <c r="C792" s="6" t="str">
        <f>IF(GENERAL[[#This Row],[CODIGO]]="", "", VLOOKUP(GENERAL[[#This Row],[CODIGO]], PRODUCTOS[#All], 2, FALSE))</f>
        <v>Máquina de soldar 210 - 110 Microalambre Kerhër</v>
      </c>
      <c r="D79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92" s="28" t="str">
        <f>IFERROR(IF(GENERAL[[#This Row],[CANTIDAD]]=0, "AGOTADO", IF(GENERAL[[#This Row],[CANTIDAD]]&lt;VLOOKUP(GENERAL[[#This Row],[CODIGO]], PRODUCTOS[#All], 3, FALSE), "MENOR AL MINIMO", "")), "")</f>
        <v>AGOTADO</v>
      </c>
      <c r="F792" s="39">
        <f>IF(OR(GENERAL[[#This Row],[CODIGO]]="", GENERAL[[#This Row],[CANTIDAD]]=""), "", VLOOKUP(GENERAL[[#This Row],[CODIGO]], PRODUCTOS[#All], 4, FALSE) * GENERAL[[#This Row],[CANTIDAD]])</f>
        <v>0</v>
      </c>
      <c r="T792" s="8"/>
    </row>
    <row r="793" spans="2:20" x14ac:dyDescent="0.2">
      <c r="B793" s="11" t="str">
        <f>IF(PRODUCTOS[[#This Row],[CODIGO]]="", "", PRODUCTOS[[#This Row],[CODIGO]])</f>
        <v>MAQ-DS220-210</v>
      </c>
      <c r="C793" s="6" t="str">
        <f>IF(GENERAL[[#This Row],[CODIGO]]="", "", VLOOKUP(GENERAL[[#This Row],[CODIGO]], PRODUCTOS[#All], 2, FALSE))</f>
        <v>Máquina de soldar 220 -110 Lincoln 250 Ampr</v>
      </c>
      <c r="D79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93" s="28" t="str">
        <f>IFERROR(IF(GENERAL[[#This Row],[CANTIDAD]]=0, "AGOTADO", IF(GENERAL[[#This Row],[CANTIDAD]]&lt;VLOOKUP(GENERAL[[#This Row],[CODIGO]], PRODUCTOS[#All], 3, FALSE), "MENOR AL MINIMO", "")), "")</f>
        <v>AGOTADO</v>
      </c>
      <c r="F793" s="39">
        <f>IF(OR(GENERAL[[#This Row],[CODIGO]]="", GENERAL[[#This Row],[CANTIDAD]]=""), "", VLOOKUP(GENERAL[[#This Row],[CODIGO]], PRODUCTOS[#All], 4, FALSE) * GENERAL[[#This Row],[CANTIDAD]])</f>
        <v>0</v>
      </c>
      <c r="T793" s="8"/>
    </row>
    <row r="794" spans="2:20" x14ac:dyDescent="0.2">
      <c r="B794" s="11" t="str">
        <f>IF(PRODUCTOS[[#This Row],[CODIGO]]="", "", PRODUCTOS[[#This Row],[CODIGO]])</f>
        <v>MAQ-DS220-440</v>
      </c>
      <c r="C794" s="6" t="str">
        <f>IF(GENERAL[[#This Row],[CODIGO]]="", "", VLOOKUP(GENERAL[[#This Row],[CODIGO]], PRODUCTOS[#All], 2, FALSE))</f>
        <v>Máquina de soldar 220- 440 Infra 300 Ampr</v>
      </c>
      <c r="D79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94" s="28" t="str">
        <f>IFERROR(IF(GENERAL[[#This Row],[CANTIDAD]]=0, "AGOTADO", IF(GENERAL[[#This Row],[CANTIDAD]]&lt;VLOOKUP(GENERAL[[#This Row],[CODIGO]], PRODUCTOS[#All], 3, FALSE), "MENOR AL MINIMO", "")), "")</f>
        <v>AGOTADO</v>
      </c>
      <c r="F794" s="39">
        <f>IF(OR(GENERAL[[#This Row],[CODIGO]]="", GENERAL[[#This Row],[CANTIDAD]]=""), "", VLOOKUP(GENERAL[[#This Row],[CODIGO]], PRODUCTOS[#All], 4, FALSE) * GENERAL[[#This Row],[CANTIDAD]])</f>
        <v>0</v>
      </c>
      <c r="T794" s="8"/>
    </row>
    <row r="795" spans="2:20" x14ac:dyDescent="0.2">
      <c r="B795" s="11" t="str">
        <f>IF(PRODUCTOS[[#This Row],[CODIGO]]="", "", PRODUCTOS[[#This Row],[CODIGO]])</f>
        <v>MAQ-EDB-1/2HP</v>
      </c>
      <c r="C795" s="6" t="str">
        <f>IF(GENERAL[[#This Row],[CODIGO]]="", "", VLOOKUP(GENERAL[[#This Row],[CODIGO]], PRODUCTOS[#All], 2, FALSE))</f>
        <v>Esmeril  de banco Dewalt 1/2Hp 373 W  3.1 A  3,450 r/min</v>
      </c>
      <c r="D79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95" s="28" t="str">
        <f>IFERROR(IF(GENERAL[[#This Row],[CANTIDAD]]=0, "AGOTADO", IF(GENERAL[[#This Row],[CANTIDAD]]&lt;VLOOKUP(GENERAL[[#This Row],[CODIGO]], PRODUCTOS[#All], 3, FALSE), "MENOR AL MINIMO", "")), "")</f>
        <v>AGOTADO</v>
      </c>
      <c r="F795" s="39">
        <f>IF(OR(GENERAL[[#This Row],[CODIGO]]="", GENERAL[[#This Row],[CANTIDAD]]=""), "", VLOOKUP(GENERAL[[#This Row],[CODIGO]], PRODUCTOS[#All], 4, FALSE) * GENERAL[[#This Row],[CANTIDAD]])</f>
        <v>0</v>
      </c>
      <c r="T795" s="8"/>
    </row>
    <row r="796" spans="2:20" x14ac:dyDescent="0.2">
      <c r="B796" s="11" t="str">
        <f>IF(PRODUCTOS[[#This Row],[CODIGO]]="", "", PRODUCTOS[[#This Row],[CODIGO]])</f>
        <v>MAQ-MOHU-2.5</v>
      </c>
      <c r="C796" s="6" t="str">
        <f>IF(GENERAL[[#This Row],[CODIGO]]="", "", VLOOKUP(GENERAL[[#This Row],[CODIGO]], PRODUCTOS[#All], 2, FALSE))</f>
        <v>Motosierra Husky 20" 2.5 Hp</v>
      </c>
      <c r="D79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96" s="28" t="str">
        <f>IFERROR(IF(GENERAL[[#This Row],[CANTIDAD]]=0, "AGOTADO", IF(GENERAL[[#This Row],[CANTIDAD]]&lt;VLOOKUP(GENERAL[[#This Row],[CODIGO]], PRODUCTOS[#All], 3, FALSE), "MENOR AL MINIMO", "")), "")</f>
        <v>AGOTADO</v>
      </c>
      <c r="F796" s="39">
        <f>IF(OR(GENERAL[[#This Row],[CODIGO]]="", GENERAL[[#This Row],[CANTIDAD]]=""), "", VLOOKUP(GENERAL[[#This Row],[CODIGO]], PRODUCTOS[#All], 4, FALSE) * GENERAL[[#This Row],[CANTIDAD]])</f>
        <v>0</v>
      </c>
      <c r="T796" s="8"/>
    </row>
    <row r="797" spans="2:20" x14ac:dyDescent="0.2">
      <c r="B797" s="11" t="str">
        <f>IF(PRODUCTOS[[#This Row],[CODIGO]]="", "", PRODUCTOS[[#This Row],[CODIGO]])</f>
        <v>MAQ-PDW-412</v>
      </c>
      <c r="C797" s="6" t="str">
        <f>IF(GENERAL[[#This Row],[CODIGO]]="", "", VLOOKUP(GENERAL[[#This Row],[CODIGO]], PRODUCTOS[#All], 2, FALSE))</f>
        <v>Pulidora Dewalt 4 1/2" 12,00 r/min de 5/8" a 1"</v>
      </c>
      <c r="D79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97" s="28" t="str">
        <f>IFERROR(IF(GENERAL[[#This Row],[CANTIDAD]]=0, "AGOTADO", IF(GENERAL[[#This Row],[CANTIDAD]]&lt;VLOOKUP(GENERAL[[#This Row],[CODIGO]], PRODUCTOS[#All], 3, FALSE), "MENOR AL MINIMO", "")), "")</f>
        <v>AGOTADO</v>
      </c>
      <c r="F797" s="39">
        <f>IF(OR(GENERAL[[#This Row],[CODIGO]]="", GENERAL[[#This Row],[CANTIDAD]]=""), "", VLOOKUP(GENERAL[[#This Row],[CODIGO]], PRODUCTOS[#All], 4, FALSE) * GENERAL[[#This Row],[CANTIDAD]])</f>
        <v>0</v>
      </c>
      <c r="T797" s="8"/>
    </row>
    <row r="798" spans="2:20" x14ac:dyDescent="0.2">
      <c r="B798" s="11" t="str">
        <f>IF(PRODUCTOS[[#This Row],[CODIGO]]="", "", PRODUCTOS[[#This Row],[CODIGO]])</f>
        <v>MAQ-PMR-412</v>
      </c>
      <c r="C798" s="6" t="str">
        <f>IF(GENERAL[[#This Row],[CODIGO]]="", "", VLOOKUP(GENERAL[[#This Row],[CODIGO]], PRODUCTOS[#All], 2, FALSE))</f>
        <v>Pulidora makita roja 4 1/2" 11,00 r/min 1,050W</v>
      </c>
      <c r="D79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98" s="28" t="str">
        <f>IFERROR(IF(GENERAL[[#This Row],[CANTIDAD]]=0, "AGOTADO", IF(GENERAL[[#This Row],[CANTIDAD]]&lt;VLOOKUP(GENERAL[[#This Row],[CODIGO]], PRODUCTOS[#All], 3, FALSE), "MENOR AL MINIMO", "")), "")</f>
        <v>AGOTADO</v>
      </c>
      <c r="F798" s="39">
        <f>IF(OR(GENERAL[[#This Row],[CODIGO]]="", GENERAL[[#This Row],[CANTIDAD]]=""), "", VLOOKUP(GENERAL[[#This Row],[CODIGO]], PRODUCTOS[#All], 4, FALSE) * GENERAL[[#This Row],[CANTIDAD]])</f>
        <v>0</v>
      </c>
      <c r="T798" s="8"/>
    </row>
    <row r="799" spans="2:20" x14ac:dyDescent="0.2">
      <c r="B799" s="11" t="str">
        <f>IF(PRODUCTOS[[#This Row],[CODIGO]]="", "", PRODUCTOS[[#This Row],[CODIGO]])</f>
        <v>MAQ-PMV-412</v>
      </c>
      <c r="C799" s="6" t="str">
        <f>IF(GENERAL[[#This Row],[CODIGO]]="", "", VLOOKUP(GENERAL[[#This Row],[CODIGO]], PRODUCTOS[#All], 2, FALSE))</f>
        <v>Pulidora makita verde 4 1/2" 12,00 r/min  1,100 W</v>
      </c>
      <c r="D79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799" s="28" t="str">
        <f>IFERROR(IF(GENERAL[[#This Row],[CANTIDAD]]=0, "AGOTADO", IF(GENERAL[[#This Row],[CANTIDAD]]&lt;VLOOKUP(GENERAL[[#This Row],[CODIGO]], PRODUCTOS[#All], 3, FALSE), "MENOR AL MINIMO", "")), "")</f>
        <v>AGOTADO</v>
      </c>
      <c r="F799" s="39">
        <f>IF(OR(GENERAL[[#This Row],[CODIGO]]="", GENERAL[[#This Row],[CANTIDAD]]=""), "", VLOOKUP(GENERAL[[#This Row],[CODIGO]], PRODUCTOS[#All], 4, FALSE) * GENERAL[[#This Row],[CANTIDAD]])</f>
        <v>0</v>
      </c>
      <c r="T799" s="8"/>
    </row>
    <row r="800" spans="2:20" x14ac:dyDescent="0.2">
      <c r="B800" s="11" t="str">
        <f>IF(PRODUCTOS[[#This Row],[CODIGO]]="", "", PRODUCTOS[[#This Row],[CODIGO]])</f>
        <v>MAQ-PUKB-6</v>
      </c>
      <c r="C800" s="6" t="str">
        <f>IF(GENERAL[[#This Row],[CODIGO]]="", "", VLOOKUP(GENERAL[[#This Row],[CODIGO]], PRODUCTOS[#All], 2, FALSE))</f>
        <v>Pulidora de 6" blanca de ker</v>
      </c>
      <c r="D80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00" s="28" t="str">
        <f>IFERROR(IF(GENERAL[[#This Row],[CANTIDAD]]=0, "AGOTADO", IF(GENERAL[[#This Row],[CANTIDAD]]&lt;VLOOKUP(GENERAL[[#This Row],[CODIGO]], PRODUCTOS[#All], 3, FALSE), "MENOR AL MINIMO", "")), "")</f>
        <v>AGOTADO</v>
      </c>
      <c r="F800" s="39">
        <f>IF(OR(GENERAL[[#This Row],[CODIGO]]="", GENERAL[[#This Row],[CANTIDAD]]=""), "", VLOOKUP(GENERAL[[#This Row],[CODIGO]], PRODUCTOS[#All], 4, FALSE) * GENERAL[[#This Row],[CANTIDAD]])</f>
        <v>0</v>
      </c>
      <c r="T800" s="8"/>
    </row>
    <row r="801" spans="2:20" x14ac:dyDescent="0.2">
      <c r="B801" s="11" t="str">
        <f>IF(PRODUCTOS[[#This Row],[CODIGO]]="", "", PRODUCTOS[[#This Row],[CODIGO]])</f>
        <v>MAQ-REDW-450</v>
      </c>
      <c r="C801" s="6" t="str">
        <f>IF(GENERAL[[#This Row],[CODIGO]]="", "", VLOOKUP(GENERAL[[#This Row],[CODIGO]], PRODUCTOS[#All], 2, FALSE))</f>
        <v>Rectificador Dewalt 450 W 3.1 A 3450 r/min</v>
      </c>
      <c r="D80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01" s="28" t="str">
        <f>IFERROR(IF(GENERAL[[#This Row],[CANTIDAD]]=0, "AGOTADO", IF(GENERAL[[#This Row],[CANTIDAD]]&lt;VLOOKUP(GENERAL[[#This Row],[CODIGO]], PRODUCTOS[#All], 3, FALSE), "MENOR AL MINIMO", "")), "")</f>
        <v>AGOTADO</v>
      </c>
      <c r="F801" s="39">
        <f>IF(OR(GENERAL[[#This Row],[CODIGO]]="", GENERAL[[#This Row],[CANTIDAD]]=""), "", VLOOKUP(GENERAL[[#This Row],[CODIGO]], PRODUCTOS[#All], 4, FALSE) * GENERAL[[#This Row],[CANTIDAD]])</f>
        <v>0</v>
      </c>
      <c r="T801" s="8"/>
    </row>
    <row r="802" spans="2:20" x14ac:dyDescent="0.2">
      <c r="B802" s="11" t="str">
        <f>IF(PRODUCTOS[[#This Row],[CODIGO]]="", "", PRODUCTOS[[#This Row],[CODIGO]])</f>
        <v>MAQ-SCG-7HP</v>
      </c>
      <c r="C802" s="6" t="str">
        <f>IF(GENERAL[[#This Row],[CODIGO]]="", "", VLOOKUP(GENERAL[[#This Row],[CODIGO]], PRODUCTOS[#All], 2, FALSE))</f>
        <v>Soldadora con generador Power Hunt 7 Hp 5 Lts 130 A</v>
      </c>
      <c r="D80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02" s="28" t="str">
        <f>IFERROR(IF(GENERAL[[#This Row],[CANTIDAD]]=0, "AGOTADO", IF(GENERAL[[#This Row],[CANTIDAD]]&lt;VLOOKUP(GENERAL[[#This Row],[CODIGO]], PRODUCTOS[#All], 3, FALSE), "MENOR AL MINIMO", "")), "")</f>
        <v>AGOTADO</v>
      </c>
      <c r="F802" s="39">
        <f>IF(OR(GENERAL[[#This Row],[CODIGO]]="", GENERAL[[#This Row],[CANTIDAD]]=""), "", VLOOKUP(GENERAL[[#This Row],[CODIGO]], PRODUCTOS[#All], 4, FALSE) * GENERAL[[#This Row],[CANTIDAD]])</f>
        <v>0</v>
      </c>
      <c r="T802" s="8"/>
    </row>
    <row r="803" spans="2:20" x14ac:dyDescent="0.2">
      <c r="B803" s="11" t="str">
        <f>IF(PRODUCTOS[[#This Row],[CODIGO]]="", "", PRODUCTOS[[#This Row],[CODIGO]])</f>
        <v>MAQ-SCGAX-160A</v>
      </c>
      <c r="C803" s="6" t="str">
        <f>IF(GENERAL[[#This Row],[CODIGO]]="", "", VLOOKUP(GENERAL[[#This Row],[CODIGO]], PRODUCTOS[#All], 2, FALSE))</f>
        <v>Soldadora con generador AX Tech 160 A 5,500 W</v>
      </c>
      <c r="D80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03" s="28" t="str">
        <f>IFERROR(IF(GENERAL[[#This Row],[CANTIDAD]]=0, "AGOTADO", IF(GENERAL[[#This Row],[CANTIDAD]]&lt;VLOOKUP(GENERAL[[#This Row],[CODIGO]], PRODUCTOS[#All], 3, FALSE), "MENOR AL MINIMO", "")), "")</f>
        <v>AGOTADO</v>
      </c>
      <c r="F803" s="39">
        <f>IF(OR(GENERAL[[#This Row],[CODIGO]]="", GENERAL[[#This Row],[CANTIDAD]]=""), "", VLOOKUP(GENERAL[[#This Row],[CODIGO]], PRODUCTOS[#All], 4, FALSE) * GENERAL[[#This Row],[CANTIDAD]])</f>
        <v>0</v>
      </c>
      <c r="T803" s="8"/>
    </row>
    <row r="804" spans="2:20" x14ac:dyDescent="0.2">
      <c r="B804" s="11" t="str">
        <f>IF(PRODUCTOS[[#This Row],[CODIGO]]="", "", PRODUCTOS[[#This Row],[CODIGO]])</f>
        <v>MAQ-SCRAX-200A</v>
      </c>
      <c r="C804" s="6" t="str">
        <f>IF(GENERAL[[#This Row],[CODIGO]]="", "", VLOOKUP(GENERAL[[#This Row],[CODIGO]], PRODUCTOS[#All], 2, FALSE))</f>
        <v>Soldadora con regenerador AX Tech 200 A</v>
      </c>
      <c r="D80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04" s="28" t="str">
        <f>IFERROR(IF(GENERAL[[#This Row],[CANTIDAD]]=0, "AGOTADO", IF(GENERAL[[#This Row],[CANTIDAD]]&lt;VLOOKUP(GENERAL[[#This Row],[CODIGO]], PRODUCTOS[#All], 3, FALSE), "MENOR AL MINIMO", "")), "")</f>
        <v>AGOTADO</v>
      </c>
      <c r="F804" s="39">
        <f>IF(OR(GENERAL[[#This Row],[CODIGO]]="", GENERAL[[#This Row],[CANTIDAD]]=""), "", VLOOKUP(GENERAL[[#This Row],[CODIGO]], PRODUCTOS[#All], 4, FALSE) * GENERAL[[#This Row],[CANTIDAD]])</f>
        <v>0</v>
      </c>
      <c r="T804" s="8"/>
    </row>
    <row r="805" spans="2:20" x14ac:dyDescent="0.2">
      <c r="B805" s="11" t="str">
        <f>IF(PRODUCTOS[[#This Row],[CODIGO]]="", "", PRODUCTOS[[#This Row],[CODIGO]])</f>
        <v>MAQ-TOR220</v>
      </c>
      <c r="C805" s="6" t="str">
        <f>IF(GENERAL[[#This Row],[CODIGO]]="", "", VLOOKUP(GENERAL[[#This Row],[CODIGO]], PRODUCTOS[#All], 2, FALSE))</f>
        <v>Torno 220 - Regal</v>
      </c>
      <c r="D80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05" s="28" t="str">
        <f>IFERROR(IF(GENERAL[[#This Row],[CANTIDAD]]=0, "AGOTADO", IF(GENERAL[[#This Row],[CANTIDAD]]&lt;VLOOKUP(GENERAL[[#This Row],[CODIGO]], PRODUCTOS[#All], 3, FALSE), "MENOR AL MINIMO", "")), "")</f>
        <v>AGOTADO</v>
      </c>
      <c r="F805" s="39">
        <f>IF(OR(GENERAL[[#This Row],[CODIGO]]="", GENERAL[[#This Row],[CANTIDAD]]=""), "", VLOOKUP(GENERAL[[#This Row],[CODIGO]], PRODUCTOS[#All], 4, FALSE) * GENERAL[[#This Row],[CANTIDAD]])</f>
        <v>0</v>
      </c>
      <c r="T805" s="8"/>
    </row>
    <row r="806" spans="2:20" x14ac:dyDescent="0.2">
      <c r="B806" s="11" t="str">
        <f>IF(PRODUCTOS[[#This Row],[CODIGO]]="", "", PRODUCTOS[[#This Row],[CODIGO]])</f>
        <v>MM-ANG112-18</v>
      </c>
      <c r="C806" s="6" t="str">
        <f>IF(GENERAL[[#This Row],[CODIGO]]="", "", VLOOKUP(GENERAL[[#This Row],[CODIGO]], PRODUCTOS[#All], 2, FALSE))</f>
        <v>Angulo 1 1/2 x 1/8 tramo de 3.96</v>
      </c>
      <c r="D80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06" s="28" t="str">
        <f>IFERROR(IF(GENERAL[[#This Row],[CANTIDAD]]=0, "AGOTADO", IF(GENERAL[[#This Row],[CANTIDAD]]&lt;VLOOKUP(GENERAL[[#This Row],[CODIGO]], PRODUCTOS[#All], 3, FALSE), "MENOR AL MINIMO", "")), "")</f>
        <v>AGOTADO</v>
      </c>
      <c r="F806" s="39">
        <f>IF(OR(GENERAL[[#This Row],[CODIGO]]="", GENERAL[[#This Row],[CANTIDAD]]=""), "", VLOOKUP(GENERAL[[#This Row],[CODIGO]], PRODUCTOS[#All], 4, FALSE) * GENERAL[[#This Row],[CANTIDAD]])</f>
        <v>0</v>
      </c>
      <c r="T806" s="8"/>
    </row>
    <row r="807" spans="2:20" x14ac:dyDescent="0.2">
      <c r="B807" s="11" t="str">
        <f>IF(PRODUCTOS[[#This Row],[CODIGO]]="", "", PRODUCTOS[[#This Row],[CODIGO]])</f>
        <v>MM-ANG1-18</v>
      </c>
      <c r="C807" s="6" t="str">
        <f>IF(GENERAL[[#This Row],[CODIGO]]="", "", VLOOKUP(GENERAL[[#This Row],[CODIGO]], PRODUCTOS[#All], 2, FALSE))</f>
        <v>Angulo 1" x 1/8" tramo 6 mts</v>
      </c>
      <c r="D80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07" s="28" t="str">
        <f>IFERROR(IF(GENERAL[[#This Row],[CANTIDAD]]=0, "AGOTADO", IF(GENERAL[[#This Row],[CANTIDAD]]&lt;VLOOKUP(GENERAL[[#This Row],[CODIGO]], PRODUCTOS[#All], 3, FALSE), "MENOR AL MINIMO", "")), "")</f>
        <v>AGOTADO</v>
      </c>
      <c r="F807" s="39">
        <f>IF(OR(GENERAL[[#This Row],[CODIGO]]="", GENERAL[[#This Row],[CANTIDAD]]=""), "", VLOOKUP(GENERAL[[#This Row],[CODIGO]], PRODUCTOS[#All], 4, FALSE) * GENERAL[[#This Row],[CANTIDAD]])</f>
        <v>0</v>
      </c>
      <c r="T807" s="8"/>
    </row>
    <row r="808" spans="2:20" x14ac:dyDescent="0.2">
      <c r="B808" s="11" t="str">
        <f>IF(PRODUCTOS[[#This Row],[CODIGO]]="", "", PRODUCTOS[[#This Row],[CODIGO]])</f>
        <v>MM-ANG1-18</v>
      </c>
      <c r="C808" s="6" t="str">
        <f>IF(GENERAL[[#This Row],[CODIGO]]="", "", VLOOKUP(GENERAL[[#This Row],[CODIGO]], PRODUCTOS[#All], 2, FALSE))</f>
        <v>Angulo 1" x 1/8" tramo 6 mts</v>
      </c>
      <c r="D80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08" s="28" t="str">
        <f>IFERROR(IF(GENERAL[[#This Row],[CANTIDAD]]=0, "AGOTADO", IF(GENERAL[[#This Row],[CANTIDAD]]&lt;VLOOKUP(GENERAL[[#This Row],[CODIGO]], PRODUCTOS[#All], 3, FALSE), "MENOR AL MINIMO", "")), "")</f>
        <v>AGOTADO</v>
      </c>
      <c r="F808" s="39">
        <f>IF(OR(GENERAL[[#This Row],[CODIGO]]="", GENERAL[[#This Row],[CANTIDAD]]=""), "", VLOOKUP(GENERAL[[#This Row],[CODIGO]], PRODUCTOS[#All], 4, FALSE) * GENERAL[[#This Row],[CANTIDAD]])</f>
        <v>0</v>
      </c>
      <c r="T808" s="8"/>
    </row>
    <row r="809" spans="2:20" x14ac:dyDescent="0.2">
      <c r="B809" s="11" t="str">
        <f>IF(PRODUCTOS[[#This Row],[CODIGO]]="", "", PRODUCTOS[[#This Row],[CODIGO]])</f>
        <v>MM-ANG12-18</v>
      </c>
      <c r="C809" s="6" t="str">
        <f>IF(GENERAL[[#This Row],[CODIGO]]="", "", VLOOKUP(GENERAL[[#This Row],[CODIGO]], PRODUCTOS[#All], 2, FALSE))</f>
        <v>Angulo 1/2 x 1/8 tramo 6 mts</v>
      </c>
      <c r="D80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09" s="28" t="str">
        <f>IFERROR(IF(GENERAL[[#This Row],[CANTIDAD]]=0, "AGOTADO", IF(GENERAL[[#This Row],[CANTIDAD]]&lt;VLOOKUP(GENERAL[[#This Row],[CODIGO]], PRODUCTOS[#All], 3, FALSE), "MENOR AL MINIMO", "")), "")</f>
        <v>AGOTADO</v>
      </c>
      <c r="F809" s="39">
        <f>IF(OR(GENERAL[[#This Row],[CODIGO]]="", GENERAL[[#This Row],[CANTIDAD]]=""), "", VLOOKUP(GENERAL[[#This Row],[CODIGO]], PRODUCTOS[#All], 4, FALSE) * GENERAL[[#This Row],[CANTIDAD]])</f>
        <v>0</v>
      </c>
      <c r="T809" s="8"/>
    </row>
    <row r="810" spans="2:20" x14ac:dyDescent="0.2">
      <c r="B810" s="11" t="str">
        <f>IF(PRODUCTOS[[#This Row],[CODIGO]]="", "", PRODUCTOS[[#This Row],[CODIGO]])</f>
        <v>MM-ANG-14</v>
      </c>
      <c r="C810" s="6" t="str">
        <f>IF(GENERAL[[#This Row],[CODIGO]]="", "", VLOOKUP(GENERAL[[#This Row],[CODIGO]], PRODUCTOS[#All], 2, FALSE))</f>
        <v>Angulo 1/4 x 2 x 2" tramo de 2.39mts</v>
      </c>
      <c r="D81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10" s="28" t="str">
        <f>IFERROR(IF(GENERAL[[#This Row],[CANTIDAD]]=0, "AGOTADO", IF(GENERAL[[#This Row],[CANTIDAD]]&lt;VLOOKUP(GENERAL[[#This Row],[CODIGO]], PRODUCTOS[#All], 3, FALSE), "MENOR AL MINIMO", "")), "")</f>
        <v>AGOTADO</v>
      </c>
      <c r="F810" s="39">
        <f>IF(OR(GENERAL[[#This Row],[CODIGO]]="", GENERAL[[#This Row],[CANTIDAD]]=""), "", VLOOKUP(GENERAL[[#This Row],[CODIGO]], PRODUCTOS[#All], 4, FALSE) * GENERAL[[#This Row],[CANTIDAD]])</f>
        <v>0</v>
      </c>
      <c r="T810" s="8"/>
    </row>
    <row r="811" spans="2:20" x14ac:dyDescent="0.2">
      <c r="B811" s="11" t="str">
        <f>IF(PRODUCTOS[[#This Row],[CODIGO]]="", "", PRODUCTOS[[#This Row],[CODIGO]])</f>
        <v>MM-ANG34-116</v>
      </c>
      <c r="C811" s="6" t="str">
        <f>IF(GENERAL[[#This Row],[CODIGO]]="", "", VLOOKUP(GENERAL[[#This Row],[CODIGO]], PRODUCTOS[#All], 2, FALSE))</f>
        <v>Angulo 3/4" x 1/16" tramo 6mts</v>
      </c>
      <c r="D81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11" s="28" t="str">
        <f>IFERROR(IF(GENERAL[[#This Row],[CANTIDAD]]=0, "AGOTADO", IF(GENERAL[[#This Row],[CANTIDAD]]&lt;VLOOKUP(GENERAL[[#This Row],[CODIGO]], PRODUCTOS[#All], 3, FALSE), "MENOR AL MINIMO", "")), "")</f>
        <v>AGOTADO</v>
      </c>
      <c r="F811" s="39">
        <f>IF(OR(GENERAL[[#This Row],[CODIGO]]="", GENERAL[[#This Row],[CANTIDAD]]=""), "", VLOOKUP(GENERAL[[#This Row],[CODIGO]], PRODUCTOS[#All], 4, FALSE) * GENERAL[[#This Row],[CANTIDAD]])</f>
        <v>0</v>
      </c>
      <c r="T811" s="8"/>
    </row>
    <row r="812" spans="2:20" x14ac:dyDescent="0.2">
      <c r="B812" s="11" t="str">
        <f>IF(PRODUCTOS[[#This Row],[CODIGO]]="", "", PRODUCTOS[[#This Row],[CODIGO]])</f>
        <v>MM-BARR-12</v>
      </c>
      <c r="C812" s="6" t="str">
        <f>IF(GENERAL[[#This Row],[CODIGO]]="", "", VLOOKUP(GENERAL[[#This Row],[CODIGO]], PRODUCTOS[#All], 2, FALSE))</f>
        <v xml:space="preserve">barra 1/2" tramo de 6mts </v>
      </c>
      <c r="D81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12" s="28" t="str">
        <f>IFERROR(IF(GENERAL[[#This Row],[CANTIDAD]]=0, "AGOTADO", IF(GENERAL[[#This Row],[CANTIDAD]]&lt;VLOOKUP(GENERAL[[#This Row],[CODIGO]], PRODUCTOS[#All], 3, FALSE), "MENOR AL MINIMO", "")), "")</f>
        <v>AGOTADO</v>
      </c>
      <c r="F812" s="39">
        <f>IF(OR(GENERAL[[#This Row],[CODIGO]]="", GENERAL[[#This Row],[CANTIDAD]]=""), "", VLOOKUP(GENERAL[[#This Row],[CODIGO]], PRODUCTOS[#All], 4, FALSE) * GENERAL[[#This Row],[CANTIDAD]])</f>
        <v>0</v>
      </c>
      <c r="T812" s="8"/>
    </row>
    <row r="813" spans="2:20" x14ac:dyDescent="0.2">
      <c r="B813" s="11" t="str">
        <f>IF(PRODUCTOS[[#This Row],[CODIGO]]="", "", PRODUCTOS[[#This Row],[CODIGO]])</f>
        <v>MM-BARR-12</v>
      </c>
      <c r="C813" s="6" t="str">
        <f>IF(GENERAL[[#This Row],[CODIGO]]="", "", VLOOKUP(GENERAL[[#This Row],[CODIGO]], PRODUCTOS[#All], 2, FALSE))</f>
        <v xml:space="preserve">barra 1/2" tramo de 6mts </v>
      </c>
      <c r="D81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13" s="28" t="str">
        <f>IFERROR(IF(GENERAL[[#This Row],[CANTIDAD]]=0, "AGOTADO", IF(GENERAL[[#This Row],[CANTIDAD]]&lt;VLOOKUP(GENERAL[[#This Row],[CODIGO]], PRODUCTOS[#All], 3, FALSE), "MENOR AL MINIMO", "")), "")</f>
        <v>AGOTADO</v>
      </c>
      <c r="F813" s="39">
        <f>IF(OR(GENERAL[[#This Row],[CODIGO]]="", GENERAL[[#This Row],[CANTIDAD]]=""), "", VLOOKUP(GENERAL[[#This Row],[CODIGO]], PRODUCTOS[#All], 4, FALSE) * GENERAL[[#This Row],[CANTIDAD]])</f>
        <v>0</v>
      </c>
      <c r="T813" s="8"/>
    </row>
    <row r="814" spans="2:20" x14ac:dyDescent="0.2">
      <c r="B814" s="11" t="str">
        <f>IF(PRODUCTOS[[#This Row],[CODIGO]]="", "", PRODUCTOS[[#This Row],[CODIGO]])</f>
        <v>MM-BARR-14</v>
      </c>
      <c r="C814" s="6" t="str">
        <f>IF(GENERAL[[#This Row],[CODIGO]]="", "", VLOOKUP(GENERAL[[#This Row],[CODIGO]], PRODUCTOS[#All], 2, FALSE))</f>
        <v>Barra 1/4" tramo 2.32mts</v>
      </c>
      <c r="D81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14" s="28" t="str">
        <f>IFERROR(IF(GENERAL[[#This Row],[CANTIDAD]]=0, "AGOTADO", IF(GENERAL[[#This Row],[CANTIDAD]]&lt;VLOOKUP(GENERAL[[#This Row],[CODIGO]], PRODUCTOS[#All], 3, FALSE), "MENOR AL MINIMO", "")), "")</f>
        <v>AGOTADO</v>
      </c>
      <c r="F814" s="39">
        <f>IF(OR(GENERAL[[#This Row],[CODIGO]]="", GENERAL[[#This Row],[CANTIDAD]]=""), "", VLOOKUP(GENERAL[[#This Row],[CODIGO]], PRODUCTOS[#All], 4, FALSE) * GENERAL[[#This Row],[CANTIDAD]])</f>
        <v>0</v>
      </c>
      <c r="T814" s="8"/>
    </row>
    <row r="815" spans="2:20" x14ac:dyDescent="0.2">
      <c r="B815" s="11" t="str">
        <f>IF(PRODUCTOS[[#This Row],[CODIGO]]="", "", PRODUCTOS[[#This Row],[CODIGO]])</f>
        <v>MM-BARR-14</v>
      </c>
      <c r="C815" s="6" t="str">
        <f>IF(GENERAL[[#This Row],[CODIGO]]="", "", VLOOKUP(GENERAL[[#This Row],[CODIGO]], PRODUCTOS[#All], 2, FALSE))</f>
        <v>Barra 1/4" tramo 2.32mts</v>
      </c>
      <c r="D81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15" s="28" t="str">
        <f>IFERROR(IF(GENERAL[[#This Row],[CANTIDAD]]=0, "AGOTADO", IF(GENERAL[[#This Row],[CANTIDAD]]&lt;VLOOKUP(GENERAL[[#This Row],[CODIGO]], PRODUCTOS[#All], 3, FALSE), "MENOR AL MINIMO", "")), "")</f>
        <v>AGOTADO</v>
      </c>
      <c r="F815" s="39">
        <f>IF(OR(GENERAL[[#This Row],[CODIGO]]="", GENERAL[[#This Row],[CANTIDAD]]=""), "", VLOOKUP(GENERAL[[#This Row],[CODIGO]], PRODUCTOS[#All], 4, FALSE) * GENERAL[[#This Row],[CANTIDAD]])</f>
        <v>0</v>
      </c>
      <c r="T815" s="8"/>
    </row>
    <row r="816" spans="2:20" x14ac:dyDescent="0.2">
      <c r="B816" s="11" t="str">
        <f>IF(PRODUCTOS[[#This Row],[CODIGO]]="", "", PRODUCTOS[[#This Row],[CODIGO]])</f>
        <v>MM-BARR-34</v>
      </c>
      <c r="C816" s="6" t="str">
        <f>IF(GENERAL[[#This Row],[CODIGO]]="", "", VLOOKUP(GENERAL[[#This Row],[CODIGO]], PRODUCTOS[#All], 2, FALSE))</f>
        <v>Barra 3/4" tramo 3.25 mts</v>
      </c>
      <c r="D81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16" s="28" t="str">
        <f>IFERROR(IF(GENERAL[[#This Row],[CANTIDAD]]=0, "AGOTADO", IF(GENERAL[[#This Row],[CANTIDAD]]&lt;VLOOKUP(GENERAL[[#This Row],[CODIGO]], PRODUCTOS[#All], 3, FALSE), "MENOR AL MINIMO", "")), "")</f>
        <v>AGOTADO</v>
      </c>
      <c r="F816" s="39">
        <f>IF(OR(GENERAL[[#This Row],[CODIGO]]="", GENERAL[[#This Row],[CANTIDAD]]=""), "", VLOOKUP(GENERAL[[#This Row],[CODIGO]], PRODUCTOS[#All], 4, FALSE) * GENERAL[[#This Row],[CANTIDAD]])</f>
        <v>0</v>
      </c>
      <c r="T816" s="8"/>
    </row>
    <row r="817" spans="2:20" x14ac:dyDescent="0.2">
      <c r="B817" s="11" t="str">
        <f>IF(PRODUCTOS[[#This Row],[CODIGO]]="", "", PRODUCTOS[[#This Row],[CODIGO]])</f>
        <v>MM-BARR-582</v>
      </c>
      <c r="C817" s="6" t="str">
        <f>IF(GENERAL[[#This Row],[CODIGO]]="", "", VLOOKUP(GENERAL[[#This Row],[CODIGO]], PRODUCTOS[#All], 2, FALSE))</f>
        <v>Barra 5/82 tramo de 4.25mts</v>
      </c>
      <c r="D81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17" s="28" t="str">
        <f>IFERROR(IF(GENERAL[[#This Row],[CANTIDAD]]=0, "AGOTADO", IF(GENERAL[[#This Row],[CANTIDAD]]&lt;VLOOKUP(GENERAL[[#This Row],[CODIGO]], PRODUCTOS[#All], 3, FALSE), "MENOR AL MINIMO", "")), "")</f>
        <v>AGOTADO</v>
      </c>
      <c r="F817" s="39">
        <f>IF(OR(GENERAL[[#This Row],[CODIGO]]="", GENERAL[[#This Row],[CANTIDAD]]=""), "", VLOOKUP(GENERAL[[#This Row],[CODIGO]], PRODUCTOS[#All], 4, FALSE) * GENERAL[[#This Row],[CANTIDAD]])</f>
        <v>0</v>
      </c>
      <c r="T817" s="8"/>
    </row>
    <row r="818" spans="2:20" x14ac:dyDescent="0.2">
      <c r="B818" s="11" t="str">
        <f>IF(PRODUCTOS[[#This Row],[CODIGO]]="", "", PRODUCTOS[[#This Row],[CODIGO]])</f>
        <v>MM-BREF-1</v>
      </c>
      <c r="C818" s="6" t="str">
        <f>IF(GENERAL[[#This Row],[CODIGO]]="", "", VLOOKUP(GENERAL[[#This Row],[CODIGO]], PRODUCTOS[#All], 2, FALSE))</f>
        <v>Barra reforzada 1" tramo de 2.85 mts</v>
      </c>
      <c r="D81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18" s="28" t="str">
        <f>IFERROR(IF(GENERAL[[#This Row],[CANTIDAD]]=0, "AGOTADO", IF(GENERAL[[#This Row],[CANTIDAD]]&lt;VLOOKUP(GENERAL[[#This Row],[CODIGO]], PRODUCTOS[#All], 3, FALSE), "MENOR AL MINIMO", "")), "")</f>
        <v>AGOTADO</v>
      </c>
      <c r="F818" s="39">
        <f>IF(OR(GENERAL[[#This Row],[CODIGO]]="", GENERAL[[#This Row],[CANTIDAD]]=""), "", VLOOKUP(GENERAL[[#This Row],[CODIGO]], PRODUCTOS[#All], 4, FALSE) * GENERAL[[#This Row],[CANTIDAD]])</f>
        <v>0</v>
      </c>
      <c r="T818" s="8"/>
    </row>
    <row r="819" spans="2:20" x14ac:dyDescent="0.2">
      <c r="B819" s="11" t="str">
        <f>IF(PRODUCTOS[[#This Row],[CODIGO]]="", "", PRODUCTOS[[#This Row],[CODIGO]])</f>
        <v>MM-CAN-112</v>
      </c>
      <c r="C819" s="6" t="str">
        <f>IF(GENERAL[[#This Row],[CODIGO]]="", "", VLOOKUP(GENERAL[[#This Row],[CODIGO]], PRODUCTOS[#All], 2, FALSE))</f>
        <v>Canaleta 1 1/2" tramo 88"</v>
      </c>
      <c r="D81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19" s="28" t="str">
        <f>IFERROR(IF(GENERAL[[#This Row],[CANTIDAD]]=0, "AGOTADO", IF(GENERAL[[#This Row],[CANTIDAD]]&lt;VLOOKUP(GENERAL[[#This Row],[CODIGO]], PRODUCTOS[#All], 3, FALSE), "MENOR AL MINIMO", "")), "")</f>
        <v>AGOTADO</v>
      </c>
      <c r="F819" s="39">
        <f>IF(OR(GENERAL[[#This Row],[CODIGO]]="", GENERAL[[#This Row],[CANTIDAD]]=""), "", VLOOKUP(GENERAL[[#This Row],[CODIGO]], PRODUCTOS[#All], 4, FALSE) * GENERAL[[#This Row],[CANTIDAD]])</f>
        <v>0</v>
      </c>
      <c r="T819" s="8"/>
    </row>
    <row r="820" spans="2:20" x14ac:dyDescent="0.2">
      <c r="B820" s="11" t="str">
        <f>IF(PRODUCTOS[[#This Row],[CODIGO]]="", "", PRODUCTOS[[#This Row],[CODIGO]])</f>
        <v>MM-PTR-1</v>
      </c>
      <c r="C820" s="6" t="str">
        <f>IF(GENERAL[[#This Row],[CODIGO]]="", "", VLOOKUP(GENERAL[[#This Row],[CODIGO]], PRODUCTOS[#All], 2, FALSE))</f>
        <v>PTR 1" Tramo 2.95 mts</v>
      </c>
      <c r="D82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20" s="28" t="str">
        <f>IFERROR(IF(GENERAL[[#This Row],[CANTIDAD]]=0, "AGOTADO", IF(GENERAL[[#This Row],[CANTIDAD]]&lt;VLOOKUP(GENERAL[[#This Row],[CODIGO]], PRODUCTOS[#All], 3, FALSE), "MENOR AL MINIMO", "")), "")</f>
        <v>AGOTADO</v>
      </c>
      <c r="F820" s="39">
        <f>IF(OR(GENERAL[[#This Row],[CODIGO]]="", GENERAL[[#This Row],[CANTIDAD]]=""), "", VLOOKUP(GENERAL[[#This Row],[CODIGO]], PRODUCTOS[#All], 4, FALSE) * GENERAL[[#This Row],[CANTIDAD]])</f>
        <v>0</v>
      </c>
      <c r="T820" s="8"/>
    </row>
    <row r="821" spans="2:20" x14ac:dyDescent="0.2">
      <c r="B821" s="11" t="str">
        <f>IF(PRODUCTOS[[#This Row],[CODIGO]]="", "", PRODUCTOS[[#This Row],[CODIGO]])</f>
        <v>MM-PTR-112</v>
      </c>
      <c r="C821" s="6" t="str">
        <f>IF(GENERAL[[#This Row],[CODIGO]]="", "", VLOOKUP(GENERAL[[#This Row],[CODIGO]], PRODUCTOS[#All], 2, FALSE))</f>
        <v>PTR 1 1/2" tramo de 1.30 mts</v>
      </c>
      <c r="D82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21" s="28" t="str">
        <f>IFERROR(IF(GENERAL[[#This Row],[CANTIDAD]]=0, "AGOTADO", IF(GENERAL[[#This Row],[CANTIDAD]]&lt;VLOOKUP(GENERAL[[#This Row],[CODIGO]], PRODUCTOS[#All], 3, FALSE), "MENOR AL MINIMO", "")), "")</f>
        <v>AGOTADO</v>
      </c>
      <c r="F821" s="39">
        <f>IF(OR(GENERAL[[#This Row],[CODIGO]]="", GENERAL[[#This Row],[CANTIDAD]]=""), "", VLOOKUP(GENERAL[[#This Row],[CODIGO]], PRODUCTOS[#All], 4, FALSE) * GENERAL[[#This Row],[CANTIDAD]])</f>
        <v>0</v>
      </c>
      <c r="T821" s="8"/>
    </row>
    <row r="822" spans="2:20" x14ac:dyDescent="0.2">
      <c r="B822" s="11" t="str">
        <f>IF(PRODUCTOS[[#This Row],[CODIGO]]="", "", PRODUCTOS[[#This Row],[CODIGO]])</f>
        <v>MM-PTR-112</v>
      </c>
      <c r="C822" s="6" t="str">
        <f>IF(GENERAL[[#This Row],[CODIGO]]="", "", VLOOKUP(GENERAL[[#This Row],[CODIGO]], PRODUCTOS[#All], 2, FALSE))</f>
        <v>PTR 1 1/2" tramo de 1.30 mts</v>
      </c>
      <c r="D82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22" s="28" t="str">
        <f>IFERROR(IF(GENERAL[[#This Row],[CANTIDAD]]=0, "AGOTADO", IF(GENERAL[[#This Row],[CANTIDAD]]&lt;VLOOKUP(GENERAL[[#This Row],[CODIGO]], PRODUCTOS[#All], 3, FALSE), "MENOR AL MINIMO", "")), "")</f>
        <v>AGOTADO</v>
      </c>
      <c r="F822" s="39">
        <f>IF(OR(GENERAL[[#This Row],[CODIGO]]="", GENERAL[[#This Row],[CANTIDAD]]=""), "", VLOOKUP(GENERAL[[#This Row],[CODIGO]], PRODUCTOS[#All], 4, FALSE) * GENERAL[[#This Row],[CANTIDAD]])</f>
        <v>0</v>
      </c>
      <c r="T822" s="8"/>
    </row>
    <row r="823" spans="2:20" x14ac:dyDescent="0.2">
      <c r="B823" s="11" t="str">
        <f>IF(PRODUCTOS[[#This Row],[CODIGO]]="", "", PRODUCTOS[[#This Row],[CODIGO]])</f>
        <v>MM-PTR-12</v>
      </c>
      <c r="C823" s="6" t="str">
        <f>IF(GENERAL[[#This Row],[CODIGO]]="", "", VLOOKUP(GENERAL[[#This Row],[CODIGO]], PRODUCTOS[#All], 2, FALSE))</f>
        <v>ptr cuadrado de 1/2 2.75 mts</v>
      </c>
      <c r="D82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23" s="28" t="str">
        <f>IFERROR(IF(GENERAL[[#This Row],[CANTIDAD]]=0, "AGOTADO", IF(GENERAL[[#This Row],[CANTIDAD]]&lt;VLOOKUP(GENERAL[[#This Row],[CODIGO]], PRODUCTOS[#All], 3, FALSE), "MENOR AL MINIMO", "")), "")</f>
        <v>AGOTADO</v>
      </c>
      <c r="F823" s="39">
        <f>IF(OR(GENERAL[[#This Row],[CODIGO]]="", GENERAL[[#This Row],[CANTIDAD]]=""), "", VLOOKUP(GENERAL[[#This Row],[CODIGO]], PRODUCTOS[#All], 4, FALSE) * GENERAL[[#This Row],[CANTIDAD]])</f>
        <v>0</v>
      </c>
      <c r="T823" s="8"/>
    </row>
    <row r="824" spans="2:20" x14ac:dyDescent="0.2">
      <c r="B824" s="11" t="str">
        <f>IF(PRODUCTOS[[#This Row],[CODIGO]]="", "", PRODUCTOS[[#This Row],[CODIGO]])</f>
        <v>MM-PTR-12</v>
      </c>
      <c r="C824" s="6" t="str">
        <f>IF(GENERAL[[#This Row],[CODIGO]]="", "", VLOOKUP(GENERAL[[#This Row],[CODIGO]], PRODUCTOS[#All], 2, FALSE))</f>
        <v>ptr cuadrado de 1/2 2.75 mts</v>
      </c>
      <c r="D82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24" s="28" t="str">
        <f>IFERROR(IF(GENERAL[[#This Row],[CANTIDAD]]=0, "AGOTADO", IF(GENERAL[[#This Row],[CANTIDAD]]&lt;VLOOKUP(GENERAL[[#This Row],[CODIGO]], PRODUCTOS[#All], 3, FALSE), "MENOR AL MINIMO", "")), "")</f>
        <v>AGOTADO</v>
      </c>
      <c r="F824" s="39">
        <f>IF(OR(GENERAL[[#This Row],[CODIGO]]="", GENERAL[[#This Row],[CANTIDAD]]=""), "", VLOOKUP(GENERAL[[#This Row],[CODIGO]], PRODUCTOS[#All], 4, FALSE) * GENERAL[[#This Row],[CANTIDAD]])</f>
        <v>0</v>
      </c>
      <c r="T824" s="8"/>
    </row>
    <row r="825" spans="2:20" x14ac:dyDescent="0.2">
      <c r="B825" s="11" t="str">
        <f>IF(PRODUCTOS[[#This Row],[CODIGO]]="", "", PRODUCTOS[[#This Row],[CODIGO]])</f>
        <v>MM-PTR-2</v>
      </c>
      <c r="C825" s="6" t="str">
        <f>IF(GENERAL[[#This Row],[CODIGO]]="", "", VLOOKUP(GENERAL[[#This Row],[CODIGO]], PRODUCTOS[#All], 2, FALSE))</f>
        <v>PTR 2" tramo de 2.99mts</v>
      </c>
      <c r="D82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25" s="28" t="str">
        <f>IFERROR(IF(GENERAL[[#This Row],[CANTIDAD]]=0, "AGOTADO", IF(GENERAL[[#This Row],[CANTIDAD]]&lt;VLOOKUP(GENERAL[[#This Row],[CODIGO]], PRODUCTOS[#All], 3, FALSE), "MENOR AL MINIMO", "")), "")</f>
        <v>AGOTADO</v>
      </c>
      <c r="F825" s="39">
        <f>IF(OR(GENERAL[[#This Row],[CODIGO]]="", GENERAL[[#This Row],[CANTIDAD]]=""), "", VLOOKUP(GENERAL[[#This Row],[CODIGO]], PRODUCTOS[#All], 4, FALSE) * GENERAL[[#This Row],[CANTIDAD]])</f>
        <v>0</v>
      </c>
      <c r="T825" s="8"/>
    </row>
    <row r="826" spans="2:20" x14ac:dyDescent="0.2">
      <c r="B826" s="11" t="str">
        <f>IF(PRODUCTOS[[#This Row],[CODIGO]]="", "", PRODUCTOS[[#This Row],[CODIGO]])</f>
        <v>MM-PTR-2</v>
      </c>
      <c r="C826" s="6" t="str">
        <f>IF(GENERAL[[#This Row],[CODIGO]]="", "", VLOOKUP(GENERAL[[#This Row],[CODIGO]], PRODUCTOS[#All], 2, FALSE))</f>
        <v>PTR 2" tramo de 2.99mts</v>
      </c>
      <c r="D82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26" s="28" t="str">
        <f>IFERROR(IF(GENERAL[[#This Row],[CANTIDAD]]=0, "AGOTADO", IF(GENERAL[[#This Row],[CANTIDAD]]&lt;VLOOKUP(GENERAL[[#This Row],[CODIGO]], PRODUCTOS[#All], 3, FALSE), "MENOR AL MINIMO", "")), "")</f>
        <v>AGOTADO</v>
      </c>
      <c r="F826" s="39">
        <f>IF(OR(GENERAL[[#This Row],[CODIGO]]="", GENERAL[[#This Row],[CANTIDAD]]=""), "", VLOOKUP(GENERAL[[#This Row],[CODIGO]], PRODUCTOS[#All], 4, FALSE) * GENERAL[[#This Row],[CANTIDAD]])</f>
        <v>0</v>
      </c>
      <c r="T826" s="8"/>
    </row>
    <row r="827" spans="2:20" x14ac:dyDescent="0.2">
      <c r="B827" s="11" t="str">
        <f>IF(PRODUCTOS[[#This Row],[CODIGO]]="", "", PRODUCTOS[[#This Row],[CODIGO]])</f>
        <v>MM-PTR-2</v>
      </c>
      <c r="C827" s="6" t="str">
        <f>IF(GENERAL[[#This Row],[CODIGO]]="", "", VLOOKUP(GENERAL[[#This Row],[CODIGO]], PRODUCTOS[#All], 2, FALSE))</f>
        <v>PTR 2" tramo de 2.99mts</v>
      </c>
      <c r="D82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27" s="28" t="str">
        <f>IFERROR(IF(GENERAL[[#This Row],[CANTIDAD]]=0, "AGOTADO", IF(GENERAL[[#This Row],[CANTIDAD]]&lt;VLOOKUP(GENERAL[[#This Row],[CODIGO]], PRODUCTOS[#All], 3, FALSE), "MENOR AL MINIMO", "")), "")</f>
        <v>AGOTADO</v>
      </c>
      <c r="F827" s="39">
        <f>IF(OR(GENERAL[[#This Row],[CODIGO]]="", GENERAL[[#This Row],[CANTIDAD]]=""), "", VLOOKUP(GENERAL[[#This Row],[CODIGO]], PRODUCTOS[#All], 4, FALSE) * GENERAL[[#This Row],[CANTIDAD]])</f>
        <v>0</v>
      </c>
      <c r="T827" s="8"/>
    </row>
    <row r="828" spans="2:20" x14ac:dyDescent="0.2">
      <c r="B828" s="11" t="str">
        <f>IF(PRODUCTOS[[#This Row],[CODIGO]]="", "", PRODUCTOS[[#This Row],[CODIGO]])</f>
        <v>MM-PTR-2</v>
      </c>
      <c r="C828" s="6" t="str">
        <f>IF(GENERAL[[#This Row],[CODIGO]]="", "", VLOOKUP(GENERAL[[#This Row],[CODIGO]], PRODUCTOS[#All], 2, FALSE))</f>
        <v>PTR 2" tramo de 2.99mts</v>
      </c>
      <c r="D82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28" s="28" t="str">
        <f>IFERROR(IF(GENERAL[[#This Row],[CANTIDAD]]=0, "AGOTADO", IF(GENERAL[[#This Row],[CANTIDAD]]&lt;VLOOKUP(GENERAL[[#This Row],[CODIGO]], PRODUCTOS[#All], 3, FALSE), "MENOR AL MINIMO", "")), "")</f>
        <v>AGOTADO</v>
      </c>
      <c r="F828" s="39">
        <f>IF(OR(GENERAL[[#This Row],[CODIGO]]="", GENERAL[[#This Row],[CANTIDAD]]=""), "", VLOOKUP(GENERAL[[#This Row],[CODIGO]], PRODUCTOS[#All], 4, FALSE) * GENERAL[[#This Row],[CANTIDAD]])</f>
        <v>0</v>
      </c>
      <c r="T828" s="8"/>
    </row>
    <row r="829" spans="2:20" x14ac:dyDescent="0.2">
      <c r="B829" s="11" t="str">
        <f>IF(PRODUCTOS[[#This Row],[CODIGO]]="", "", PRODUCTOS[[#This Row],[CODIGO]])</f>
        <v>MM-PTR-2</v>
      </c>
      <c r="C829" s="6" t="str">
        <f>IF(GENERAL[[#This Row],[CODIGO]]="", "", VLOOKUP(GENERAL[[#This Row],[CODIGO]], PRODUCTOS[#All], 2, FALSE))</f>
        <v>PTR 2" tramo de 2.99mts</v>
      </c>
      <c r="D82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29" s="28" t="str">
        <f>IFERROR(IF(GENERAL[[#This Row],[CANTIDAD]]=0, "AGOTADO", IF(GENERAL[[#This Row],[CANTIDAD]]&lt;VLOOKUP(GENERAL[[#This Row],[CODIGO]], PRODUCTOS[#All], 3, FALSE), "MENOR AL MINIMO", "")), "")</f>
        <v>AGOTADO</v>
      </c>
      <c r="F829" s="39">
        <f>IF(OR(GENERAL[[#This Row],[CODIGO]]="", GENERAL[[#This Row],[CANTIDAD]]=""), "", VLOOKUP(GENERAL[[#This Row],[CODIGO]], PRODUCTOS[#All], 4, FALSE) * GENERAL[[#This Row],[CANTIDAD]])</f>
        <v>0</v>
      </c>
      <c r="T829" s="8"/>
    </row>
    <row r="830" spans="2:20" x14ac:dyDescent="0.2">
      <c r="B830" s="11" t="str">
        <f>IF(PRODUCTOS[[#This Row],[CODIGO]]="", "", PRODUCTOS[[#This Row],[CODIGO]])</f>
        <v>MM-PTR-212</v>
      </c>
      <c r="C830" s="6" t="str">
        <f>IF(GENERAL[[#This Row],[CODIGO]]="", "", VLOOKUP(GENERAL[[#This Row],[CODIGO]], PRODUCTOS[#All], 2, FALSE))</f>
        <v xml:space="preserve">PTR 2 1/2" tramo de 80 cm </v>
      </c>
      <c r="D83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30" s="28" t="str">
        <f>IFERROR(IF(GENERAL[[#This Row],[CANTIDAD]]=0, "AGOTADO", IF(GENERAL[[#This Row],[CANTIDAD]]&lt;VLOOKUP(GENERAL[[#This Row],[CODIGO]], PRODUCTOS[#All], 3, FALSE), "MENOR AL MINIMO", "")), "")</f>
        <v>AGOTADO</v>
      </c>
      <c r="F830" s="39">
        <f>IF(OR(GENERAL[[#This Row],[CODIGO]]="", GENERAL[[#This Row],[CANTIDAD]]=""), "", VLOOKUP(GENERAL[[#This Row],[CODIGO]], PRODUCTOS[#All], 4, FALSE) * GENERAL[[#This Row],[CANTIDAD]])</f>
        <v>0</v>
      </c>
      <c r="T830" s="8"/>
    </row>
    <row r="831" spans="2:20" x14ac:dyDescent="0.2">
      <c r="B831" s="11" t="str">
        <f>IF(PRODUCTOS[[#This Row],[CODIGO]]="", "", PRODUCTOS[[#This Row],[CODIGO]])</f>
        <v>MM-PTR-3</v>
      </c>
      <c r="C831" s="6" t="str">
        <f>IF(GENERAL[[#This Row],[CODIGO]]="", "", VLOOKUP(GENERAL[[#This Row],[CODIGO]], PRODUCTOS[#All], 2, FALSE))</f>
        <v>PTR 3" tramo de 6mts</v>
      </c>
      <c r="D83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31" s="28" t="str">
        <f>IFERROR(IF(GENERAL[[#This Row],[CANTIDAD]]=0, "AGOTADO", IF(GENERAL[[#This Row],[CANTIDAD]]&lt;VLOOKUP(GENERAL[[#This Row],[CODIGO]], PRODUCTOS[#All], 3, FALSE), "MENOR AL MINIMO", "")), "")</f>
        <v>AGOTADO</v>
      </c>
      <c r="F831" s="39">
        <f>IF(OR(GENERAL[[#This Row],[CODIGO]]="", GENERAL[[#This Row],[CANTIDAD]]=""), "", VLOOKUP(GENERAL[[#This Row],[CODIGO]], PRODUCTOS[#All], 4, FALSE) * GENERAL[[#This Row],[CANTIDAD]])</f>
        <v>0</v>
      </c>
      <c r="T831" s="8"/>
    </row>
    <row r="832" spans="2:20" x14ac:dyDescent="0.2">
      <c r="B832" s="11" t="str">
        <f>IF(PRODUCTOS[[#This Row],[CODIGO]]="", "", PRODUCTOS[[#This Row],[CODIGO]])</f>
        <v>MM-PTRREF-3</v>
      </c>
      <c r="C832" s="6" t="str">
        <f>IF(GENERAL[[#This Row],[CODIGO]]="", "", VLOOKUP(GENERAL[[#This Row],[CODIGO]], PRODUCTOS[#All], 2, FALSE))</f>
        <v>PTR 3" reforzado de 3.81 mts</v>
      </c>
      <c r="D83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32" s="28" t="str">
        <f>IFERROR(IF(GENERAL[[#This Row],[CANTIDAD]]=0, "AGOTADO", IF(GENERAL[[#This Row],[CANTIDAD]]&lt;VLOOKUP(GENERAL[[#This Row],[CODIGO]], PRODUCTOS[#All], 3, FALSE), "MENOR AL MINIMO", "")), "")</f>
        <v>AGOTADO</v>
      </c>
      <c r="F832" s="39">
        <f>IF(OR(GENERAL[[#This Row],[CODIGO]]="", GENERAL[[#This Row],[CANTIDAD]]=""), "", VLOOKUP(GENERAL[[#This Row],[CODIGO]], PRODUCTOS[#All], 4, FALSE) * GENERAL[[#This Row],[CANTIDAD]])</f>
        <v>0</v>
      </c>
      <c r="T832" s="8"/>
    </row>
    <row r="833" spans="2:20" x14ac:dyDescent="0.2">
      <c r="B833" s="11" t="str">
        <f>IF(PRODUCTOS[[#This Row],[CODIGO]]="", "", PRODUCTOS[[#This Row],[CODIGO]])</f>
        <v>MM-SOL112-18</v>
      </c>
      <c r="C833" s="6" t="str">
        <f>IF(GENERAL[[#This Row],[CODIGO]]="", "", VLOOKUP(GENERAL[[#This Row],[CODIGO]], PRODUCTOS[#All], 2, FALSE))</f>
        <v>solera de 1 1/2" x 1/8 tramos de 6 mts</v>
      </c>
      <c r="D83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33" s="28" t="str">
        <f>IFERROR(IF(GENERAL[[#This Row],[CANTIDAD]]=0, "AGOTADO", IF(GENERAL[[#This Row],[CANTIDAD]]&lt;VLOOKUP(GENERAL[[#This Row],[CODIGO]], PRODUCTOS[#All], 3, FALSE), "MENOR AL MINIMO", "")), "")</f>
        <v>AGOTADO</v>
      </c>
      <c r="F833" s="39">
        <f>IF(OR(GENERAL[[#This Row],[CODIGO]]="", GENERAL[[#This Row],[CANTIDAD]]=""), "", VLOOKUP(GENERAL[[#This Row],[CODIGO]], PRODUCTOS[#All], 4, FALSE) * GENERAL[[#This Row],[CANTIDAD]])</f>
        <v>0</v>
      </c>
      <c r="T833" s="8"/>
    </row>
    <row r="834" spans="2:20" x14ac:dyDescent="0.2">
      <c r="B834" s="11" t="str">
        <f>IF(PRODUCTOS[[#This Row],[CODIGO]]="", "", PRODUCTOS[[#This Row],[CODIGO]])</f>
        <v>MM-SOL116-1</v>
      </c>
      <c r="C834" s="6" t="str">
        <f>IF(GENERAL[[#This Row],[CODIGO]]="", "", VLOOKUP(GENERAL[[#This Row],[CODIGO]], PRODUCTOS[#All], 2, FALSE))</f>
        <v>solera de 1/16" x 1" tramo de 6 mts</v>
      </c>
      <c r="D83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34" s="28" t="str">
        <f>IFERROR(IF(GENERAL[[#This Row],[CANTIDAD]]=0, "AGOTADO", IF(GENERAL[[#This Row],[CANTIDAD]]&lt;VLOOKUP(GENERAL[[#This Row],[CODIGO]], PRODUCTOS[#All], 3, FALSE), "MENOR AL MINIMO", "")), "")</f>
        <v>AGOTADO</v>
      </c>
      <c r="F834" s="39">
        <f>IF(OR(GENERAL[[#This Row],[CODIGO]]="", GENERAL[[#This Row],[CANTIDAD]]=""), "", VLOOKUP(GENERAL[[#This Row],[CODIGO]], PRODUCTOS[#All], 4, FALSE) * GENERAL[[#This Row],[CANTIDAD]])</f>
        <v>0</v>
      </c>
      <c r="T834" s="8"/>
    </row>
    <row r="835" spans="2:20" x14ac:dyDescent="0.2">
      <c r="B835" s="11" t="str">
        <f>IF(PRODUCTOS[[#This Row],[CODIGO]]="", "", PRODUCTOS[[#This Row],[CODIGO]])</f>
        <v>MM-SOL-12-16</v>
      </c>
      <c r="C835" s="6" t="str">
        <f>IF(GENERAL[[#This Row],[CODIGO]]="", "", VLOOKUP(GENERAL[[#This Row],[CODIGO]], PRODUCTOS[#All], 2, FALSE))</f>
        <v xml:space="preserve">Solera de 1/2" x 1/6" tramo de 6mts </v>
      </c>
      <c r="D83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35" s="28" t="str">
        <f>IFERROR(IF(GENERAL[[#This Row],[CANTIDAD]]=0, "AGOTADO", IF(GENERAL[[#This Row],[CANTIDAD]]&lt;VLOOKUP(GENERAL[[#This Row],[CODIGO]], PRODUCTOS[#All], 3, FALSE), "MENOR AL MINIMO", "")), "")</f>
        <v>AGOTADO</v>
      </c>
      <c r="F835" s="39">
        <f>IF(OR(GENERAL[[#This Row],[CODIGO]]="", GENERAL[[#This Row],[CANTIDAD]]=""), "", VLOOKUP(GENERAL[[#This Row],[CODIGO]], PRODUCTOS[#All], 4, FALSE) * GENERAL[[#This Row],[CANTIDAD]])</f>
        <v>0</v>
      </c>
      <c r="T835" s="8"/>
    </row>
    <row r="836" spans="2:20" x14ac:dyDescent="0.2">
      <c r="B836" s="11" t="str">
        <f>IF(PRODUCTOS[[#This Row],[CODIGO]]="", "", PRODUCTOS[[#This Row],[CODIGO]])</f>
        <v>MM-SOL18-1</v>
      </c>
      <c r="C836" s="6" t="str">
        <f>IF(GENERAL[[#This Row],[CODIGO]]="", "", VLOOKUP(GENERAL[[#This Row],[CODIGO]], PRODUCTOS[#All], 2, FALSE))</f>
        <v>solera de 1/8 x 1" tramo de 6 mts</v>
      </c>
      <c r="D83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36" s="28" t="str">
        <f>IFERROR(IF(GENERAL[[#This Row],[CANTIDAD]]=0, "AGOTADO", IF(GENERAL[[#This Row],[CANTIDAD]]&lt;VLOOKUP(GENERAL[[#This Row],[CODIGO]], PRODUCTOS[#All], 3, FALSE), "MENOR AL MINIMO", "")), "")</f>
        <v>AGOTADO</v>
      </c>
      <c r="F836" s="39">
        <f>IF(OR(GENERAL[[#This Row],[CODIGO]]="", GENERAL[[#This Row],[CANTIDAD]]=""), "", VLOOKUP(GENERAL[[#This Row],[CODIGO]], PRODUCTOS[#All], 4, FALSE) * GENERAL[[#This Row],[CANTIDAD]])</f>
        <v>0</v>
      </c>
      <c r="T836" s="8"/>
    </row>
    <row r="837" spans="2:20" x14ac:dyDescent="0.2">
      <c r="B837" s="11" t="str">
        <f>IF(PRODUCTOS[[#This Row],[CODIGO]]="", "", PRODUCTOS[[#This Row],[CODIGO]])</f>
        <v>MM-SOL18-1</v>
      </c>
      <c r="C837" s="6" t="str">
        <f>IF(GENERAL[[#This Row],[CODIGO]]="", "", VLOOKUP(GENERAL[[#This Row],[CODIGO]], PRODUCTOS[#All], 2, FALSE))</f>
        <v>solera de 1/8 x 1" tramo de 6 mts</v>
      </c>
      <c r="D83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37" s="28" t="str">
        <f>IFERROR(IF(GENERAL[[#This Row],[CANTIDAD]]=0, "AGOTADO", IF(GENERAL[[#This Row],[CANTIDAD]]&lt;VLOOKUP(GENERAL[[#This Row],[CODIGO]], PRODUCTOS[#All], 3, FALSE), "MENOR AL MINIMO", "")), "")</f>
        <v>AGOTADO</v>
      </c>
      <c r="F837" s="39">
        <f>IF(OR(GENERAL[[#This Row],[CODIGO]]="", GENERAL[[#This Row],[CANTIDAD]]=""), "", VLOOKUP(GENERAL[[#This Row],[CODIGO]], PRODUCTOS[#All], 4, FALSE) * GENERAL[[#This Row],[CANTIDAD]])</f>
        <v>0</v>
      </c>
      <c r="T837" s="8"/>
    </row>
    <row r="838" spans="2:20" x14ac:dyDescent="0.2">
      <c r="B838" s="11" t="str">
        <f>IF(PRODUCTOS[[#This Row],[CODIGO]]="", "", PRODUCTOS[[#This Row],[CODIGO]])</f>
        <v>MM-SOL18-112</v>
      </c>
      <c r="C838" s="6" t="str">
        <f>IF(GENERAL[[#This Row],[CODIGO]]="", "", VLOOKUP(GENERAL[[#This Row],[CODIGO]], PRODUCTOS[#All], 2, FALSE))</f>
        <v>Solera de 1/8" x 1 1/2" tramos de 76"</v>
      </c>
      <c r="D83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38" s="28" t="str">
        <f>IFERROR(IF(GENERAL[[#This Row],[CANTIDAD]]=0, "AGOTADO", IF(GENERAL[[#This Row],[CANTIDAD]]&lt;VLOOKUP(GENERAL[[#This Row],[CODIGO]], PRODUCTOS[#All], 3, FALSE), "MENOR AL MINIMO", "")), "")</f>
        <v>AGOTADO</v>
      </c>
      <c r="F838" s="39">
        <f>IF(OR(GENERAL[[#This Row],[CODIGO]]="", GENERAL[[#This Row],[CANTIDAD]]=""), "", VLOOKUP(GENERAL[[#This Row],[CODIGO]], PRODUCTOS[#All], 4, FALSE) * GENERAL[[#This Row],[CANTIDAD]])</f>
        <v>0</v>
      </c>
      <c r="T838" s="8"/>
    </row>
    <row r="839" spans="2:20" x14ac:dyDescent="0.2">
      <c r="B839" s="11" t="str">
        <f>IF(PRODUCTOS[[#This Row],[CODIGO]]="", "", PRODUCTOS[[#This Row],[CODIGO]])</f>
        <v>MM-SOL516-112</v>
      </c>
      <c r="C839" s="6" t="str">
        <f>IF(GENERAL[[#This Row],[CODIGO]]="", "", VLOOKUP(GENERAL[[#This Row],[CODIGO]], PRODUCTOS[#All], 2, FALSE))</f>
        <v>Solera de 5/16" x 1 1/2" tramo de 45"</v>
      </c>
      <c r="D83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39" s="28" t="str">
        <f>IFERROR(IF(GENERAL[[#This Row],[CANTIDAD]]=0, "AGOTADO", IF(GENERAL[[#This Row],[CANTIDAD]]&lt;VLOOKUP(GENERAL[[#This Row],[CODIGO]], PRODUCTOS[#All], 3, FALSE), "MENOR AL MINIMO", "")), "")</f>
        <v>AGOTADO</v>
      </c>
      <c r="F839" s="39">
        <f>IF(OR(GENERAL[[#This Row],[CODIGO]]="", GENERAL[[#This Row],[CANTIDAD]]=""), "", VLOOKUP(GENERAL[[#This Row],[CODIGO]], PRODUCTOS[#All], 4, FALSE) * GENERAL[[#This Row],[CANTIDAD]])</f>
        <v>0</v>
      </c>
      <c r="T839" s="8"/>
    </row>
    <row r="840" spans="2:20" x14ac:dyDescent="0.2">
      <c r="B840" s="11" t="str">
        <f>IF(PRODUCTOS[[#This Row],[CODIGO]]="", "", PRODUCTOS[[#This Row],[CODIGO]])</f>
        <v>MM-TUB2-1</v>
      </c>
      <c r="C840" s="6" t="str">
        <f>IF(GENERAL[[#This Row],[CODIGO]]="", "", VLOOKUP(GENERAL[[#This Row],[CODIGO]], PRODUCTOS[#All], 2, FALSE))</f>
        <v>tubular 2 x 1" tramo 6 mts</v>
      </c>
      <c r="D84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40" s="28" t="str">
        <f>IFERROR(IF(GENERAL[[#This Row],[CANTIDAD]]=0, "AGOTADO", IF(GENERAL[[#This Row],[CANTIDAD]]&lt;VLOOKUP(GENERAL[[#This Row],[CODIGO]], PRODUCTOS[#All], 3, FALSE), "MENOR AL MINIMO", "")), "")</f>
        <v>AGOTADO</v>
      </c>
      <c r="F840" s="39">
        <f>IF(OR(GENERAL[[#This Row],[CODIGO]]="", GENERAL[[#This Row],[CANTIDAD]]=""), "", VLOOKUP(GENERAL[[#This Row],[CODIGO]], PRODUCTOS[#All], 4, FALSE) * GENERAL[[#This Row],[CANTIDAD]])</f>
        <v>0</v>
      </c>
      <c r="T840" s="8"/>
    </row>
    <row r="841" spans="2:20" x14ac:dyDescent="0.2">
      <c r="B841" s="11" t="str">
        <f>IF(PRODUCTOS[[#This Row],[CODIGO]]="", "", PRODUCTOS[[#This Row],[CODIGO]])</f>
        <v>MM-TUB4-112</v>
      </c>
      <c r="C841" s="6" t="str">
        <f>IF(GENERAL[[#This Row],[CODIGO]]="", "", VLOOKUP(GENERAL[[#This Row],[CODIGO]], PRODUCTOS[#All], 2, FALSE))</f>
        <v>TUBULAR 4 x 1 1/2" 6 mts</v>
      </c>
      <c r="D84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41" s="28" t="str">
        <f>IFERROR(IF(GENERAL[[#This Row],[CANTIDAD]]=0, "AGOTADO", IF(GENERAL[[#This Row],[CANTIDAD]]&lt;VLOOKUP(GENERAL[[#This Row],[CODIGO]], PRODUCTOS[#All], 3, FALSE), "MENOR AL MINIMO", "")), "")</f>
        <v>AGOTADO</v>
      </c>
      <c r="F841" s="39">
        <f>IF(OR(GENERAL[[#This Row],[CODIGO]]="", GENERAL[[#This Row],[CANTIDAD]]=""), "", VLOOKUP(GENERAL[[#This Row],[CODIGO]], PRODUCTOS[#All], 4, FALSE) * GENERAL[[#This Row],[CANTIDAD]])</f>
        <v>0</v>
      </c>
      <c r="T841" s="8"/>
    </row>
    <row r="842" spans="2:20" x14ac:dyDescent="0.2">
      <c r="B842" s="11" t="str">
        <f>IF(PRODUCTOS[[#This Row],[CODIGO]]="", "", PRODUCTOS[[#This Row],[CODIGO]])</f>
        <v>MM-TUBO-2</v>
      </c>
      <c r="C842" s="6" t="str">
        <f>IF(GENERAL[[#This Row],[CODIGO]]="", "", VLOOKUP(GENERAL[[#This Row],[CODIGO]], PRODUCTOS[#All], 2, FALSE))</f>
        <v>Tubo 2" tramo 6mts</v>
      </c>
      <c r="D84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42" s="28" t="str">
        <f>IFERROR(IF(GENERAL[[#This Row],[CANTIDAD]]=0, "AGOTADO", IF(GENERAL[[#This Row],[CANTIDAD]]&lt;VLOOKUP(GENERAL[[#This Row],[CODIGO]], PRODUCTOS[#All], 3, FALSE), "MENOR AL MINIMO", "")), "")</f>
        <v>AGOTADO</v>
      </c>
      <c r="F842" s="39">
        <f>IF(OR(GENERAL[[#This Row],[CODIGO]]="", GENERAL[[#This Row],[CANTIDAD]]=""), "", VLOOKUP(GENERAL[[#This Row],[CODIGO]], PRODUCTOS[#All], 4, FALSE) * GENERAL[[#This Row],[CANTIDAD]])</f>
        <v>0</v>
      </c>
      <c r="T842" s="8"/>
    </row>
    <row r="843" spans="2:20" x14ac:dyDescent="0.2">
      <c r="B843" s="11" t="str">
        <f>IF(PRODUCTOS[[#This Row],[CODIGO]]="", "", PRODUCTOS[[#This Row],[CODIGO]])</f>
        <v>MM-TUBO-2</v>
      </c>
      <c r="C843" s="6" t="str">
        <f>IF(GENERAL[[#This Row],[CODIGO]]="", "", VLOOKUP(GENERAL[[#This Row],[CODIGO]], PRODUCTOS[#All], 2, FALSE))</f>
        <v>Tubo 2" tramo 6mts</v>
      </c>
      <c r="D84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43" s="28" t="str">
        <f>IFERROR(IF(GENERAL[[#This Row],[CANTIDAD]]=0, "AGOTADO", IF(GENERAL[[#This Row],[CANTIDAD]]&lt;VLOOKUP(GENERAL[[#This Row],[CODIGO]], PRODUCTOS[#All], 3, FALSE), "MENOR AL MINIMO", "")), "")</f>
        <v>AGOTADO</v>
      </c>
      <c r="F843" s="39">
        <f>IF(OR(GENERAL[[#This Row],[CODIGO]]="", GENERAL[[#This Row],[CANTIDAD]]=""), "", VLOOKUP(GENERAL[[#This Row],[CODIGO]], PRODUCTOS[#All], 4, FALSE) * GENERAL[[#This Row],[CANTIDAD]])</f>
        <v>0</v>
      </c>
      <c r="T843" s="8"/>
    </row>
    <row r="844" spans="2:20" x14ac:dyDescent="0.2">
      <c r="B844" s="11" t="str">
        <f>IF(PRODUCTOS[[#This Row],[CODIGO]]="", "", PRODUCTOS[[#This Row],[CODIGO]])</f>
        <v>MM-TUBO-212</v>
      </c>
      <c r="C844" s="6" t="str">
        <f>IF(GENERAL[[#This Row],[CODIGO]]="", "", VLOOKUP(GENERAL[[#This Row],[CODIGO]], PRODUCTOS[#All], 2, FALSE))</f>
        <v>Tubo 2 1/2" tramo 3mts</v>
      </c>
      <c r="D84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44" s="28" t="str">
        <f>IFERROR(IF(GENERAL[[#This Row],[CANTIDAD]]=0, "AGOTADO", IF(GENERAL[[#This Row],[CANTIDAD]]&lt;VLOOKUP(GENERAL[[#This Row],[CODIGO]], PRODUCTOS[#All], 3, FALSE), "MENOR AL MINIMO", "")), "")</f>
        <v>AGOTADO</v>
      </c>
      <c r="F844" s="39">
        <f>IF(OR(GENERAL[[#This Row],[CODIGO]]="", GENERAL[[#This Row],[CANTIDAD]]=""), "", VLOOKUP(GENERAL[[#This Row],[CODIGO]], PRODUCTOS[#All], 4, FALSE) * GENERAL[[#This Row],[CANTIDAD]])</f>
        <v>0</v>
      </c>
      <c r="T844" s="8"/>
    </row>
    <row r="845" spans="2:20" x14ac:dyDescent="0.2">
      <c r="B845" s="11" t="str">
        <f>IF(PRODUCTOS[[#This Row],[CODIGO]]="", "", PRODUCTOS[[#This Row],[CODIGO]])</f>
        <v>MM-TUBO-312</v>
      </c>
      <c r="C845" s="6" t="str">
        <f>IF(GENERAL[[#This Row],[CODIGO]]="", "", VLOOKUP(GENERAL[[#This Row],[CODIGO]], PRODUCTOS[#All], 2, FALSE))</f>
        <v>Tubo 3 1/2" tramo 6mts</v>
      </c>
      <c r="D84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45" s="28" t="str">
        <f>IFERROR(IF(GENERAL[[#This Row],[CANTIDAD]]=0, "AGOTADO", IF(GENERAL[[#This Row],[CANTIDAD]]&lt;VLOOKUP(GENERAL[[#This Row],[CODIGO]], PRODUCTOS[#All], 3, FALSE), "MENOR AL MINIMO", "")), "")</f>
        <v>AGOTADO</v>
      </c>
      <c r="F845" s="39">
        <f>IF(OR(GENERAL[[#This Row],[CODIGO]]="", GENERAL[[#This Row],[CANTIDAD]]=""), "", VLOOKUP(GENERAL[[#This Row],[CODIGO]], PRODUCTOS[#All], 4, FALSE) * GENERAL[[#This Row],[CANTIDAD]])</f>
        <v>0</v>
      </c>
      <c r="T845" s="8"/>
    </row>
    <row r="846" spans="2:20" x14ac:dyDescent="0.2">
      <c r="B846" s="11" t="str">
        <f>IF(PRODUCTOS[[#This Row],[CODIGO]]="", "", PRODUCTOS[[#This Row],[CODIGO]])</f>
        <v>MM-TUHUE-12</v>
      </c>
      <c r="C846" s="6" t="str">
        <f>IF(GENERAL[[#This Row],[CODIGO]]="", "", VLOOKUP(GENERAL[[#This Row],[CODIGO]], PRODUCTOS[#All], 2, FALSE))</f>
        <v>Tubo de 1/2" hueco tramo de 2.68mts</v>
      </c>
      <c r="D84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46" s="28" t="str">
        <f>IFERROR(IF(GENERAL[[#This Row],[CANTIDAD]]=0, "AGOTADO", IF(GENERAL[[#This Row],[CANTIDAD]]&lt;VLOOKUP(GENERAL[[#This Row],[CODIGO]], PRODUCTOS[#All], 3, FALSE), "MENOR AL MINIMO", "")), "")</f>
        <v>AGOTADO</v>
      </c>
      <c r="F846" s="39">
        <f>IF(OR(GENERAL[[#This Row],[CODIGO]]="", GENERAL[[#This Row],[CANTIDAD]]=""), "", VLOOKUP(GENERAL[[#This Row],[CODIGO]], PRODUCTOS[#All], 4, FALSE) * GENERAL[[#This Row],[CANTIDAD]])</f>
        <v>0</v>
      </c>
      <c r="T846" s="8"/>
    </row>
    <row r="847" spans="2:20" x14ac:dyDescent="0.2">
      <c r="B847" s="11" t="str">
        <f>IF(PRODUCTOS[[#This Row],[CODIGO]]="", "", PRODUCTOS[[#This Row],[CODIGO]])</f>
        <v>MM-VARCO-34</v>
      </c>
      <c r="C847" s="6" t="str">
        <f>IF(GENERAL[[#This Row],[CODIGO]]="", "", VLOOKUP(GENERAL[[#This Row],[CODIGO]], PRODUCTOS[#All], 2, FALSE))</f>
        <v>Varilla corrugada 3/4" tramo 3.79mts</v>
      </c>
      <c r="D84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47" s="28" t="str">
        <f>IFERROR(IF(GENERAL[[#This Row],[CANTIDAD]]=0, "AGOTADO", IF(GENERAL[[#This Row],[CANTIDAD]]&lt;VLOOKUP(GENERAL[[#This Row],[CODIGO]], PRODUCTOS[#All], 3, FALSE), "MENOR AL MINIMO", "")), "")</f>
        <v>AGOTADO</v>
      </c>
      <c r="F847" s="39">
        <f>IF(OR(GENERAL[[#This Row],[CODIGO]]="", GENERAL[[#This Row],[CANTIDAD]]=""), "", VLOOKUP(GENERAL[[#This Row],[CODIGO]], PRODUCTOS[#All], 4, FALSE) * GENERAL[[#This Row],[CANTIDAD]])</f>
        <v>0</v>
      </c>
      <c r="T847" s="8"/>
    </row>
    <row r="848" spans="2:20" x14ac:dyDescent="0.2">
      <c r="B848" s="11" t="str">
        <f>IF(PRODUCTOS[[#This Row],[CODIGO]]="", "", PRODUCTOS[[#This Row],[CODIGO]])</f>
        <v>MM-VARCO-34</v>
      </c>
      <c r="C848" s="6" t="str">
        <f>IF(GENERAL[[#This Row],[CODIGO]]="", "", VLOOKUP(GENERAL[[#This Row],[CODIGO]], PRODUCTOS[#All], 2, FALSE))</f>
        <v>Varilla corrugada 3/4" tramo 3.79mts</v>
      </c>
      <c r="D84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48" s="28" t="str">
        <f>IFERROR(IF(GENERAL[[#This Row],[CANTIDAD]]=0, "AGOTADO", IF(GENERAL[[#This Row],[CANTIDAD]]&lt;VLOOKUP(GENERAL[[#This Row],[CODIGO]], PRODUCTOS[#All], 3, FALSE), "MENOR AL MINIMO", "")), "")</f>
        <v>AGOTADO</v>
      </c>
      <c r="F848" s="39">
        <f>IF(OR(GENERAL[[#This Row],[CODIGO]]="", GENERAL[[#This Row],[CANTIDAD]]=""), "", VLOOKUP(GENERAL[[#This Row],[CODIGO]], PRODUCTOS[#All], 4, FALSE) * GENERAL[[#This Row],[CANTIDAD]])</f>
        <v>0</v>
      </c>
      <c r="T848" s="8"/>
    </row>
    <row r="849" spans="2:20" x14ac:dyDescent="0.2">
      <c r="B849" s="11" t="str">
        <f>IF(PRODUCTOS[[#This Row],[CODIGO]]="", "", PRODUCTOS[[#This Row],[CODIGO]])</f>
        <v>MM-VARCO-34</v>
      </c>
      <c r="C849" s="6" t="str">
        <f>IF(GENERAL[[#This Row],[CODIGO]]="", "", VLOOKUP(GENERAL[[#This Row],[CODIGO]], PRODUCTOS[#All], 2, FALSE))</f>
        <v>Varilla corrugada 3/4" tramo 3.79mts</v>
      </c>
      <c r="D84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49" s="28" t="str">
        <f>IFERROR(IF(GENERAL[[#This Row],[CANTIDAD]]=0, "AGOTADO", IF(GENERAL[[#This Row],[CANTIDAD]]&lt;VLOOKUP(GENERAL[[#This Row],[CODIGO]], PRODUCTOS[#All], 3, FALSE), "MENOR AL MINIMO", "")), "")</f>
        <v>AGOTADO</v>
      </c>
      <c r="F849" s="39">
        <f>IF(OR(GENERAL[[#This Row],[CODIGO]]="", GENERAL[[#This Row],[CANTIDAD]]=""), "", VLOOKUP(GENERAL[[#This Row],[CODIGO]], PRODUCTOS[#All], 4, FALSE) * GENERAL[[#This Row],[CANTIDAD]])</f>
        <v>0</v>
      </c>
      <c r="T849" s="8"/>
    </row>
    <row r="850" spans="2:20" x14ac:dyDescent="0.2">
      <c r="B850" s="11" t="str">
        <f>IF(PRODUCTOS[[#This Row],[CODIGO]]="", "", PRODUCTOS[[#This Row],[CODIGO]])</f>
        <v>MM-VIG-4</v>
      </c>
      <c r="C850" s="6" t="str">
        <f>IF(GENERAL[[#This Row],[CODIGO]]="", "", VLOOKUP(GENERAL[[#This Row],[CODIGO]], PRODUCTOS[#All], 2, FALSE))</f>
        <v xml:space="preserve">Viga 4" tramo 6 mts </v>
      </c>
      <c r="D85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850" s="28" t="str">
        <f>IFERROR(IF(GENERAL[[#This Row],[CANTIDAD]]=0, "AGOTADO", IF(GENERAL[[#This Row],[CANTIDAD]]&lt;VLOOKUP(GENERAL[[#This Row],[CODIGO]], PRODUCTOS[#All], 3, FALSE), "MENOR AL MINIMO", "")), "")</f>
        <v>AGOTADO</v>
      </c>
      <c r="F850" s="39">
        <f>IF(OR(GENERAL[[#This Row],[CODIGO]]="", GENERAL[[#This Row],[CANTIDAD]]=""), "", VLOOKUP(GENERAL[[#This Row],[CODIGO]], PRODUCTOS[#All], 4, FALSE) * GENERAL[[#This Row],[CANTIDAD]])</f>
        <v>0</v>
      </c>
      <c r="T850" s="8"/>
    </row>
    <row r="851" spans="2:20" x14ac:dyDescent="0.2">
      <c r="B851" s="11" t="str">
        <f>IF(PRODUCTOS[[#This Row],[CODIGO]]="", "", PRODUCTOS[[#This Row],[CODIGO]])</f>
        <v>PAP-APUN-048</v>
      </c>
      <c r="C851" s="6" t="str">
        <f>IF(GENERAL[[#This Row],[CODIGO]]="", "", VLOOKUP(GENERAL[[#This Row],[CODIGO]], PRODUCTOS[#All], 2, FALSE))</f>
        <v>Apuntador</v>
      </c>
      <c r="D85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851" s="28" t="str">
        <f>IFERROR(IF(GENERAL[[#This Row],[CANTIDAD]]=0, "AGOTADO", IF(GENERAL[[#This Row],[CANTIDAD]]&lt;VLOOKUP(GENERAL[[#This Row],[CODIGO]], PRODUCTOS[#All], 3, FALSE), "MENOR AL MINIMO", "")), "")</f>
        <v/>
      </c>
      <c r="F851" s="39">
        <f>IF(OR(GENERAL[[#This Row],[CODIGO]]="", GENERAL[[#This Row],[CANTIDAD]]=""), "", VLOOKUP(GENERAL[[#This Row],[CODIGO]], PRODUCTOS[#All], 4, FALSE) * GENERAL[[#This Row],[CANTIDAD]])</f>
        <v>268</v>
      </c>
      <c r="T851" s="8"/>
    </row>
    <row r="852" spans="2:20" x14ac:dyDescent="0.2">
      <c r="B852" s="11" t="str">
        <f>IF(PRODUCTOS[[#This Row],[CODIGO]]="", "", PRODUCTOS[[#This Row],[CODIGO]])</f>
        <v>PAP-ARCH-069</v>
      </c>
      <c r="C852" s="6" t="str">
        <f>IF(GENERAL[[#This Row],[CODIGO]]="", "", VLOOKUP(GENERAL[[#This Row],[CODIGO]], PRODUCTOS[#All], 2, FALSE))</f>
        <v>Archifuelle tamaño chequera</v>
      </c>
      <c r="D85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852" s="28" t="str">
        <f>IFERROR(IF(GENERAL[[#This Row],[CANTIDAD]]=0, "AGOTADO", IF(GENERAL[[#This Row],[CANTIDAD]]&lt;VLOOKUP(GENERAL[[#This Row],[CODIGO]], PRODUCTOS[#All], 3, FALSE), "MENOR AL MINIMO", "")), "")</f>
        <v/>
      </c>
      <c r="F852" s="39">
        <f>IF(OR(GENERAL[[#This Row],[CODIGO]]="", GENERAL[[#This Row],[CANTIDAD]]=""), "", VLOOKUP(GENERAL[[#This Row],[CODIGO]], PRODUCTOS[#All], 4, FALSE) * GENERAL[[#This Row],[CANTIDAD]])</f>
        <v>1105.02</v>
      </c>
      <c r="T852" s="8"/>
    </row>
    <row r="853" spans="2:20" x14ac:dyDescent="0.2">
      <c r="B853" s="11" t="str">
        <f>IF(PRODUCTOS[[#This Row],[CODIGO]]="", "", PRODUCTOS[[#This Row],[CODIGO]])</f>
        <v>PAP-BLOCG-047</v>
      </c>
      <c r="C853" s="6" t="str">
        <f>IF(GENERAL[[#This Row],[CODIGO]]="", "", VLOOKUP(GENERAL[[#This Row],[CODIGO]], PRODUCTOS[#All], 2, FALSE))</f>
        <v xml:space="preserve">Block comprobante de gastos </v>
      </c>
      <c r="D85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9</v>
      </c>
      <c r="E853" s="28" t="str">
        <f>IFERROR(IF(GENERAL[[#This Row],[CANTIDAD]]=0, "AGOTADO", IF(GENERAL[[#This Row],[CANTIDAD]]&lt;VLOOKUP(GENERAL[[#This Row],[CODIGO]], PRODUCTOS[#All], 3, FALSE), "MENOR AL MINIMO", "")), "")</f>
        <v/>
      </c>
      <c r="F853" s="39">
        <f>IF(OR(GENERAL[[#This Row],[CODIGO]]="", GENERAL[[#This Row],[CANTIDAD]]=""), "", VLOOKUP(GENERAL[[#This Row],[CODIGO]], PRODUCTOS[#All], 4, FALSE) * GENERAL[[#This Row],[CANTIDAD]])</f>
        <v>1233</v>
      </c>
      <c r="T853" s="8"/>
    </row>
    <row r="854" spans="2:20" x14ac:dyDescent="0.2">
      <c r="B854" s="11" t="str">
        <f>IF(PRODUCTOS[[#This Row],[CODIGO]]="", "", PRODUCTOS[[#This Row],[CODIGO]])</f>
        <v>PAP-BLOCN-022</v>
      </c>
      <c r="C854" s="6" t="str">
        <f>IF(GENERAL[[#This Row],[CODIGO]]="", "", VLOOKUP(GENERAL[[#This Row],[CODIGO]], PRODUCTOS[#All], 2, FALSE))</f>
        <v>Block de notas (expo)</v>
      </c>
      <c r="D85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854" s="28" t="str">
        <f>IFERROR(IF(GENERAL[[#This Row],[CANTIDAD]]=0, "AGOTADO", IF(GENERAL[[#This Row],[CANTIDAD]]&lt;VLOOKUP(GENERAL[[#This Row],[CODIGO]], PRODUCTOS[#All], 3, FALSE), "MENOR AL MINIMO", "")), "")</f>
        <v/>
      </c>
      <c r="F854" s="39">
        <f>IF(OR(GENERAL[[#This Row],[CODIGO]]="", GENERAL[[#This Row],[CANTIDAD]]=""), "", VLOOKUP(GENERAL[[#This Row],[CODIGO]], PRODUCTOS[#All], 4, FALSE) * GENERAL[[#This Row],[CANTIDAD]])</f>
        <v>0</v>
      </c>
      <c r="T854" s="8"/>
    </row>
    <row r="855" spans="2:20" x14ac:dyDescent="0.2">
      <c r="B855" s="11" t="str">
        <f>IF(PRODUCTOS[[#This Row],[CODIGO]]="", "", PRODUCTOS[[#This Row],[CODIGO]])</f>
        <v>PAP-BORR-061</v>
      </c>
      <c r="C855" s="6" t="str">
        <f>IF(GENERAL[[#This Row],[CODIGO]]="", "", VLOOKUP(GENERAL[[#This Row],[CODIGO]], PRODUCTOS[#All], 2, FALSE))</f>
        <v xml:space="preserve">Borradores </v>
      </c>
      <c r="D85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11</v>
      </c>
      <c r="E855" s="28" t="str">
        <f>IFERROR(IF(GENERAL[[#This Row],[CANTIDAD]]=0, "AGOTADO", IF(GENERAL[[#This Row],[CANTIDAD]]&lt;VLOOKUP(GENERAL[[#This Row],[CODIGO]], PRODUCTOS[#All], 3, FALSE), "MENOR AL MINIMO", "")), "")</f>
        <v/>
      </c>
      <c r="F855" s="39">
        <f>IF(OR(GENERAL[[#This Row],[CODIGO]]="", GENERAL[[#This Row],[CANTIDAD]]=""), "", VLOOKUP(GENERAL[[#This Row],[CODIGO]], PRODUCTOS[#All], 4, FALSE) * GENERAL[[#This Row],[CANTIDAD]])</f>
        <v>76.12</v>
      </c>
      <c r="T855" s="8"/>
    </row>
    <row r="856" spans="2:20" x14ac:dyDescent="0.2">
      <c r="B856" s="11" t="str">
        <f>IF(PRODUCTOS[[#This Row],[CODIGO]]="", "", PRODUCTOS[[#This Row],[CODIGO]])</f>
        <v>PAP-BOTIQ-029</v>
      </c>
      <c r="C856" s="6" t="str">
        <f>IF(GENERAL[[#This Row],[CODIGO]]="", "", VLOOKUP(GENERAL[[#This Row],[CODIGO]], PRODUCTOS[#All], 2, FALSE))</f>
        <v>Botiquin primeros aux.</v>
      </c>
      <c r="D85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56" s="28" t="str">
        <f>IFERROR(IF(GENERAL[[#This Row],[CANTIDAD]]=0, "AGOTADO", IF(GENERAL[[#This Row],[CANTIDAD]]&lt;VLOOKUP(GENERAL[[#This Row],[CODIGO]], PRODUCTOS[#All], 3, FALSE), "MENOR AL MINIMO", "")), "")</f>
        <v/>
      </c>
      <c r="F856" s="39">
        <f>IF(OR(GENERAL[[#This Row],[CODIGO]]="", GENERAL[[#This Row],[CANTIDAD]]=""), "", VLOOKUP(GENERAL[[#This Row],[CODIGO]], PRODUCTOS[#All], 4, FALSE) * GENERAL[[#This Row],[CANTIDAD]])</f>
        <v>71.680000000000007</v>
      </c>
      <c r="T856" s="8"/>
    </row>
    <row r="857" spans="2:20" x14ac:dyDescent="0.2">
      <c r="B857" s="11" t="str">
        <f>IF(PRODUCTOS[[#This Row],[CODIGO]]="", "", PRODUCTOS[[#This Row],[CODIGO]])</f>
        <v>PAP-CABIM-052</v>
      </c>
      <c r="C857" s="6" t="str">
        <f>IF(GENERAL[[#This Row],[CODIGO]]="", "", VLOOKUP(GENERAL[[#This Row],[CODIGO]], PRODUCTOS[#All], 2, FALSE))</f>
        <v>Cable impresora</v>
      </c>
      <c r="D85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57" s="28" t="str">
        <f>IFERROR(IF(GENERAL[[#This Row],[CANTIDAD]]=0, "AGOTADO", IF(GENERAL[[#This Row],[CANTIDAD]]&lt;VLOOKUP(GENERAL[[#This Row],[CODIGO]], PRODUCTOS[#All], 3, FALSE), "MENOR AL MINIMO", "")), "")</f>
        <v/>
      </c>
      <c r="F857" s="39">
        <f>IF(OR(GENERAL[[#This Row],[CODIGO]]="", GENERAL[[#This Row],[CANTIDAD]]=""), "", VLOOKUP(GENERAL[[#This Row],[CODIGO]], PRODUCTOS[#All], 4, FALSE) * GENERAL[[#This Row],[CANTIDAD]])</f>
        <v>159</v>
      </c>
      <c r="T857" s="8"/>
    </row>
    <row r="858" spans="2:20" x14ac:dyDescent="0.2">
      <c r="B858" s="11" t="str">
        <f>IF(PRODUCTOS[[#This Row],[CODIGO]]="", "", PRODUCTOS[[#This Row],[CODIGO]])</f>
        <v>PAP-CABSO-053</v>
      </c>
      <c r="C858" s="6" t="str">
        <f>IF(GENERAL[[#This Row],[CODIGO]]="", "", VLOOKUP(GENERAL[[#This Row],[CODIGO]], PRODUCTOS[#All], 2, FALSE))</f>
        <v>Cable sonido</v>
      </c>
      <c r="D85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58" s="28" t="str">
        <f>IFERROR(IF(GENERAL[[#This Row],[CANTIDAD]]=0, "AGOTADO", IF(GENERAL[[#This Row],[CANTIDAD]]&lt;VLOOKUP(GENERAL[[#This Row],[CODIGO]], PRODUCTOS[#All], 3, FALSE), "MENOR AL MINIMO", "")), "")</f>
        <v/>
      </c>
      <c r="F858" s="39">
        <f>IF(OR(GENERAL[[#This Row],[CODIGO]]="", GENERAL[[#This Row],[CANTIDAD]]=""), "", VLOOKUP(GENERAL[[#This Row],[CODIGO]], PRODUCTOS[#All], 4, FALSE) * GENERAL[[#This Row],[CANTIDAD]])</f>
        <v>85</v>
      </c>
      <c r="T858" s="8"/>
    </row>
    <row r="859" spans="2:20" x14ac:dyDescent="0.2">
      <c r="B859" s="11" t="str">
        <f>IF(PRODUCTOS[[#This Row],[CODIGO]]="", "", PRODUCTOS[[#This Row],[CODIGO]])</f>
        <v>PAP-CALCN-044</v>
      </c>
      <c r="C859" s="6" t="str">
        <f>IF(GENERAL[[#This Row],[CODIGO]]="", "", VLOOKUP(GENERAL[[#This Row],[CODIGO]], PRODUCTOS[#All], 2, FALSE))</f>
        <v>Calcamonías núcleo gde.</v>
      </c>
      <c r="D85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859" s="28" t="str">
        <f>IFERROR(IF(GENERAL[[#This Row],[CANTIDAD]]=0, "AGOTADO", IF(GENERAL[[#This Row],[CANTIDAD]]&lt;VLOOKUP(GENERAL[[#This Row],[CODIGO]], PRODUCTOS[#All], 3, FALSE), "MENOR AL MINIMO", "")), "")</f>
        <v/>
      </c>
      <c r="F859" s="39">
        <f>IF(OR(GENERAL[[#This Row],[CODIGO]]="", GENERAL[[#This Row],[CANTIDAD]]=""), "", VLOOKUP(GENERAL[[#This Row],[CODIGO]], PRODUCTOS[#All], 4, FALSE) * GENERAL[[#This Row],[CANTIDAD]])</f>
        <v>0</v>
      </c>
      <c r="T859" s="8"/>
    </row>
    <row r="860" spans="2:20" x14ac:dyDescent="0.2">
      <c r="B860" s="11" t="str">
        <f>IF(PRODUCTOS[[#This Row],[CODIGO]]="", "", PRODUCTOS[[#This Row],[CODIGO]])</f>
        <v>PAP-CARG-051</v>
      </c>
      <c r="C860" s="6" t="str">
        <f>IF(GENERAL[[#This Row],[CODIGO]]="", "", VLOOKUP(GENERAL[[#This Row],[CODIGO]], PRODUCTOS[#All], 2, FALSE))</f>
        <v>Cargador</v>
      </c>
      <c r="D86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60" s="28" t="str">
        <f>IFERROR(IF(GENERAL[[#This Row],[CANTIDAD]]=0, "AGOTADO", IF(GENERAL[[#This Row],[CANTIDAD]]&lt;VLOOKUP(GENERAL[[#This Row],[CODIGO]], PRODUCTOS[#All], 3, FALSE), "MENOR AL MINIMO", "")), "")</f>
        <v/>
      </c>
      <c r="F860" s="39">
        <f>IF(OR(GENERAL[[#This Row],[CODIGO]]="", GENERAL[[#This Row],[CANTIDAD]]=""), "", VLOOKUP(GENERAL[[#This Row],[CODIGO]], PRODUCTOS[#All], 4, FALSE) * GENERAL[[#This Row],[CANTIDAD]])</f>
        <v>128</v>
      </c>
      <c r="T860" s="8"/>
    </row>
    <row r="861" spans="2:20" x14ac:dyDescent="0.2">
      <c r="B861" s="11" t="str">
        <f>IF(PRODUCTOS[[#This Row],[CODIGO]]="", "", PRODUCTOS[[#This Row],[CODIGO]])</f>
        <v>PAP-CARGP-049</v>
      </c>
      <c r="C861" s="6" t="str">
        <f>IF(GENERAL[[#This Row],[CODIGO]]="", "", VLOOKUP(GENERAL[[#This Row],[CODIGO]], PRODUCTOS[#All], 2, FALSE))</f>
        <v>Cargador de pila</v>
      </c>
      <c r="D86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861" s="28" t="str">
        <f>IFERROR(IF(GENERAL[[#This Row],[CANTIDAD]]=0, "AGOTADO", IF(GENERAL[[#This Row],[CANTIDAD]]&lt;VLOOKUP(GENERAL[[#This Row],[CODIGO]], PRODUCTOS[#All], 3, FALSE), "MENOR AL MINIMO", "")), "")</f>
        <v/>
      </c>
      <c r="F861" s="39">
        <f>IF(OR(GENERAL[[#This Row],[CODIGO]]="", GENERAL[[#This Row],[CANTIDAD]]=""), "", VLOOKUP(GENERAL[[#This Row],[CODIGO]], PRODUCTOS[#All], 4, FALSE) * GENERAL[[#This Row],[CANTIDAD]])</f>
        <v>958</v>
      </c>
      <c r="T861" s="8"/>
    </row>
    <row r="862" spans="2:20" x14ac:dyDescent="0.2">
      <c r="B862" s="11" t="str">
        <f>IF(PRODUCTOS[[#This Row],[CODIGO]]="", "", PRODUCTOS[[#This Row],[CODIGO]])</f>
        <v>PAP-CATHE-059</v>
      </c>
      <c r="C862" s="6" t="str">
        <f>IF(GENERAL[[#This Row],[CODIGO]]="", "", VLOOKUP(GENERAL[[#This Row],[CODIGO]], PRODUCTOS[#All], 2, FALSE))</f>
        <v xml:space="preserve">Catalogo herramienta </v>
      </c>
      <c r="D86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62" s="28" t="str">
        <f>IFERROR(IF(GENERAL[[#This Row],[CANTIDAD]]=0, "AGOTADO", IF(GENERAL[[#This Row],[CANTIDAD]]&lt;VLOOKUP(GENERAL[[#This Row],[CODIGO]], PRODUCTOS[#All], 3, FALSE), "MENOR AL MINIMO", "")), "")</f>
        <v/>
      </c>
      <c r="F862" s="39">
        <f>IF(OR(GENERAL[[#This Row],[CODIGO]]="", GENERAL[[#This Row],[CANTIDAD]]=""), "", VLOOKUP(GENERAL[[#This Row],[CODIGO]], PRODUCTOS[#All], 4, FALSE) * GENERAL[[#This Row],[CANTIDAD]])</f>
        <v>0</v>
      </c>
      <c r="T862" s="8"/>
    </row>
    <row r="863" spans="2:20" x14ac:dyDescent="0.2">
      <c r="B863" s="11" t="str">
        <f>IF(PRODUCTOS[[#This Row],[CODIGO]]="", "", PRODUCTOS[[#This Row],[CODIGO]])</f>
        <v>PAP-CINTD-043</v>
      </c>
      <c r="C863" s="6" t="str">
        <f>IF(GENERAL[[#This Row],[CODIGO]]="", "", VLOOKUP(GENERAL[[#This Row],[CODIGO]], PRODUCTOS[#All], 2, FALSE))</f>
        <v xml:space="preserve">Cinta decoración </v>
      </c>
      <c r="D86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863" s="28" t="str">
        <f>IFERROR(IF(GENERAL[[#This Row],[CANTIDAD]]=0, "AGOTADO", IF(GENERAL[[#This Row],[CANTIDAD]]&lt;VLOOKUP(GENERAL[[#This Row],[CODIGO]], PRODUCTOS[#All], 3, FALSE), "MENOR AL MINIMO", "")), "")</f>
        <v/>
      </c>
      <c r="F863" s="39">
        <f>IF(OR(GENERAL[[#This Row],[CODIGO]]="", GENERAL[[#This Row],[CANTIDAD]]=""), "", VLOOKUP(GENERAL[[#This Row],[CODIGO]], PRODUCTOS[#All], 4, FALSE) * GENERAL[[#This Row],[CANTIDAD]])</f>
        <v>0</v>
      </c>
      <c r="T863" s="8"/>
    </row>
    <row r="864" spans="2:20" x14ac:dyDescent="0.2">
      <c r="B864" s="11" t="str">
        <f>IF(PRODUCTOS[[#This Row],[CODIGO]]="", "", PRODUCTOS[[#This Row],[CODIGO]])</f>
        <v>PAP-CINTT-015</v>
      </c>
      <c r="C864" s="6" t="str">
        <f>IF(GENERAL[[#This Row],[CODIGO]]="", "", VLOOKUP(GENERAL[[#This Row],[CODIGO]], PRODUCTOS[#All], 2, FALSE))</f>
        <v>Cinta transparente</v>
      </c>
      <c r="D86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864" s="28" t="str">
        <f>IFERROR(IF(GENERAL[[#This Row],[CANTIDAD]]=0, "AGOTADO", IF(GENERAL[[#This Row],[CANTIDAD]]&lt;VLOOKUP(GENERAL[[#This Row],[CODIGO]], PRODUCTOS[#All], 3, FALSE), "MENOR AL MINIMO", "")), "")</f>
        <v/>
      </c>
      <c r="F864" s="39">
        <f>IF(OR(GENERAL[[#This Row],[CODIGO]]="", GENERAL[[#This Row],[CANTIDAD]]=""), "", VLOOKUP(GENERAL[[#This Row],[CODIGO]], PRODUCTOS[#All], 4, FALSE) * GENERAL[[#This Row],[CANTIDAD]])</f>
        <v>95.64</v>
      </c>
      <c r="T864" s="8"/>
    </row>
    <row r="865" spans="2:20" x14ac:dyDescent="0.2">
      <c r="B865" s="11" t="str">
        <f>IF(PRODUCTOS[[#This Row],[CODIGO]]="", "", PRODUCTOS[[#This Row],[CODIGO]])</f>
        <v>PAP-CINV-006</v>
      </c>
      <c r="C865" s="6" t="str">
        <f>IF(GENERAL[[#This Row],[CODIGO]]="", "", VLOOKUP(GENERAL[[#This Row],[CODIGO]], PRODUCTOS[#All], 2, FALSE))</f>
        <v>Cintas velcro (paq)</v>
      </c>
      <c r="D86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65" s="28" t="str">
        <f>IFERROR(IF(GENERAL[[#This Row],[CANTIDAD]]=0, "AGOTADO", IF(GENERAL[[#This Row],[CANTIDAD]]&lt;VLOOKUP(GENERAL[[#This Row],[CODIGO]], PRODUCTOS[#All], 3, FALSE), "MENOR AL MINIMO", "")), "")</f>
        <v/>
      </c>
      <c r="F865" s="39">
        <f>IF(OR(GENERAL[[#This Row],[CODIGO]]="", GENERAL[[#This Row],[CANTIDAD]]=""), "", VLOOKUP(GENERAL[[#This Row],[CODIGO]], PRODUCTOS[#All], 4, FALSE) * GENERAL[[#This Row],[CANTIDAD]])</f>
        <v>98.1</v>
      </c>
      <c r="T865" s="8"/>
    </row>
    <row r="866" spans="2:20" x14ac:dyDescent="0.2">
      <c r="B866" s="11" t="str">
        <f>IF(PRODUCTOS[[#This Row],[CODIGO]]="", "", PRODUCTOS[[#This Row],[CODIGO]])</f>
        <v>PAP-CLIP2-023</v>
      </c>
      <c r="C866" s="6" t="str">
        <f>IF(GENERAL[[#This Row],[CODIGO]]="", "", VLOOKUP(GENERAL[[#This Row],[CODIGO]], PRODUCTOS[#All], 2, FALSE))</f>
        <v>Clips #2 (caja)</v>
      </c>
      <c r="D86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866" s="28" t="str">
        <f>IFERROR(IF(GENERAL[[#This Row],[CANTIDAD]]=0, "AGOTADO", IF(GENERAL[[#This Row],[CANTIDAD]]&lt;VLOOKUP(GENERAL[[#This Row],[CODIGO]], PRODUCTOS[#All], 3, FALSE), "MENOR AL MINIMO", "")), "")</f>
        <v/>
      </c>
      <c r="F866" s="39">
        <f>IF(OR(GENERAL[[#This Row],[CODIGO]]="", GENERAL[[#This Row],[CANTIDAD]]=""), "", VLOOKUP(GENERAL[[#This Row],[CODIGO]], PRODUCTOS[#All], 4, FALSE) * GENERAL[[#This Row],[CANTIDAD]])</f>
        <v>60</v>
      </c>
      <c r="T866" s="8"/>
    </row>
    <row r="867" spans="2:20" x14ac:dyDescent="0.2">
      <c r="B867" s="11" t="str">
        <f>IF(PRODUCTOS[[#This Row],[CODIGO]]="", "", PRODUCTOS[[#This Row],[CODIGO]])</f>
        <v>PAP-CLIP3-078</v>
      </c>
      <c r="C867" s="6" t="str">
        <f>IF(GENERAL[[#This Row],[CODIGO]]="", "", VLOOKUP(GENERAL[[#This Row],[CODIGO]], PRODUCTOS[#All], 2, FALSE))</f>
        <v>Clips #3 (caja)</v>
      </c>
      <c r="D86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67" s="28" t="str">
        <f>IFERROR(IF(GENERAL[[#This Row],[CANTIDAD]]=0, "AGOTADO", IF(GENERAL[[#This Row],[CANTIDAD]]&lt;VLOOKUP(GENERAL[[#This Row],[CODIGO]], PRODUCTOS[#All], 3, FALSE), "MENOR AL MINIMO", "")), "")</f>
        <v/>
      </c>
      <c r="F867" s="39">
        <f>IF(OR(GENERAL[[#This Row],[CODIGO]]="", GENERAL[[#This Row],[CANTIDAD]]=""), "", VLOOKUP(GENERAL[[#This Row],[CODIGO]], PRODUCTOS[#All], 4, FALSE) * GENERAL[[#This Row],[CANTIDAD]])</f>
        <v>14</v>
      </c>
      <c r="T867" s="8"/>
    </row>
    <row r="868" spans="2:20" x14ac:dyDescent="0.2">
      <c r="B868" s="11" t="str">
        <f>IF(PRODUCTOS[[#This Row],[CODIGO]]="", "", PRODUCTOS[[#This Row],[CODIGO]])</f>
        <v>PAP-CORC-017</v>
      </c>
      <c r="C868" s="6" t="str">
        <f>IF(GENERAL[[#This Row],[CODIGO]]="", "", VLOOKUP(GENERAL[[#This Row],[CODIGO]], PRODUCTOS[#All], 2, FALSE))</f>
        <v>Cortador cutter con cuchilla</v>
      </c>
      <c r="D86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868" s="28" t="str">
        <f>IFERROR(IF(GENERAL[[#This Row],[CANTIDAD]]=0, "AGOTADO", IF(GENERAL[[#This Row],[CANTIDAD]]&lt;VLOOKUP(GENERAL[[#This Row],[CODIGO]], PRODUCTOS[#All], 3, FALSE), "MENOR AL MINIMO", "")), "")</f>
        <v/>
      </c>
      <c r="F868" s="39">
        <f>IF(OR(GENERAL[[#This Row],[CODIGO]]="", GENERAL[[#This Row],[CANTIDAD]]=""), "", VLOOKUP(GENERAL[[#This Row],[CODIGO]], PRODUCTOS[#All], 4, FALSE) * GENERAL[[#This Row],[CANTIDAD]])</f>
        <v>236</v>
      </c>
      <c r="T868" s="8"/>
    </row>
    <row r="869" spans="2:20" x14ac:dyDescent="0.2">
      <c r="B869" s="11" t="str">
        <f>IF(PRODUCTOS[[#This Row],[CODIGO]]="", "", PRODUCTOS[[#This Row],[CODIGO]])</f>
        <v>PAP-CORRB-024</v>
      </c>
      <c r="C869" s="6" t="str">
        <f>IF(GENERAL[[#This Row],[CODIGO]]="", "", VLOOKUP(GENERAL[[#This Row],[CODIGO]], PRODUCTOS[#All], 2, FALSE))</f>
        <v xml:space="preserve">Corrector brocha </v>
      </c>
      <c r="D86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869" s="28" t="str">
        <f>IFERROR(IF(GENERAL[[#This Row],[CANTIDAD]]=0, "AGOTADO", IF(GENERAL[[#This Row],[CANTIDAD]]&lt;VLOOKUP(GENERAL[[#This Row],[CODIGO]], PRODUCTOS[#All], 3, FALSE), "MENOR AL MINIMO", "")), "")</f>
        <v/>
      </c>
      <c r="F869" s="39">
        <f>IF(OR(GENERAL[[#This Row],[CODIGO]]="", GENERAL[[#This Row],[CANTIDAD]]=""), "", VLOOKUP(GENERAL[[#This Row],[CODIGO]], PRODUCTOS[#All], 4, FALSE) * GENERAL[[#This Row],[CANTIDAD]])</f>
        <v>53.449999999999996</v>
      </c>
      <c r="T869" s="8"/>
    </row>
    <row r="870" spans="2:20" x14ac:dyDescent="0.2">
      <c r="B870" s="11" t="str">
        <f>IF(PRODUCTOS[[#This Row],[CODIGO]]="", "", PRODUCTOS[[#This Row],[CODIGO]])</f>
        <v>PAP-CORRL-011</v>
      </c>
      <c r="C870" s="6" t="str">
        <f>IF(GENERAL[[#This Row],[CODIGO]]="", "", VLOOKUP(GENERAL[[#This Row],[CODIGO]], PRODUCTOS[#All], 2, FALSE))</f>
        <v>Corrector lápiz</v>
      </c>
      <c r="D87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870" s="28" t="str">
        <f>IFERROR(IF(GENERAL[[#This Row],[CANTIDAD]]=0, "AGOTADO", IF(GENERAL[[#This Row],[CANTIDAD]]&lt;VLOOKUP(GENERAL[[#This Row],[CODIGO]], PRODUCTOS[#All], 3, FALSE), "MENOR AL MINIMO", "")), "")</f>
        <v/>
      </c>
      <c r="F870" s="39">
        <f>IF(OR(GENERAL[[#This Row],[CODIGO]]="", GENERAL[[#This Row],[CANTIDAD]]=""), "", VLOOKUP(GENERAL[[#This Row],[CODIGO]], PRODUCTOS[#All], 4, FALSE) * GENERAL[[#This Row],[CANTIDAD]])</f>
        <v>78.319999999999993</v>
      </c>
      <c r="T870" s="8"/>
    </row>
    <row r="871" spans="2:20" x14ac:dyDescent="0.2">
      <c r="B871" s="11" t="str">
        <f>IF(PRODUCTOS[[#This Row],[CODIGO]]="", "", PRODUCTOS[[#This Row],[CODIGO]])</f>
        <v>PAP-CUCHR-020</v>
      </c>
      <c r="C871" s="6" t="str">
        <f>IF(GENERAL[[#This Row],[CODIGO]]="", "", VLOOKUP(GENERAL[[#This Row],[CODIGO]], PRODUCTOS[#All], 2, FALSE))</f>
        <v xml:space="preserve">Cuchillas repuesto </v>
      </c>
      <c r="D87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871" s="28" t="str">
        <f>IFERROR(IF(GENERAL[[#This Row],[CANTIDAD]]=0, "AGOTADO", IF(GENERAL[[#This Row],[CANTIDAD]]&lt;VLOOKUP(GENERAL[[#This Row],[CODIGO]], PRODUCTOS[#All], 3, FALSE), "MENOR AL MINIMO", "")), "")</f>
        <v/>
      </c>
      <c r="F871" s="39">
        <f>IF(OR(GENERAL[[#This Row],[CODIGO]]="", GENERAL[[#This Row],[CANTIDAD]]=""), "", VLOOKUP(GENERAL[[#This Row],[CODIGO]], PRODUCTOS[#All], 4, FALSE) * GENERAL[[#This Row],[CANTIDAD]])</f>
        <v>0</v>
      </c>
      <c r="T871" s="8"/>
    </row>
    <row r="872" spans="2:20" x14ac:dyDescent="0.2">
      <c r="B872" s="11" t="str">
        <f>IF(PRODUCTOS[[#This Row],[CODIGO]]="", "", PRODUCTOS[[#This Row],[CODIGO]])</f>
        <v>PAP-ENGR-019</v>
      </c>
      <c r="C872" s="6" t="str">
        <f>IF(GENERAL[[#This Row],[CODIGO]]="", "", VLOOKUP(GENERAL[[#This Row],[CODIGO]], PRODUCTOS[#All], 2, FALSE))</f>
        <v>Engrapadora</v>
      </c>
      <c r="D87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72" s="28" t="str">
        <f>IFERROR(IF(GENERAL[[#This Row],[CANTIDAD]]=0, "AGOTADO", IF(GENERAL[[#This Row],[CANTIDAD]]&lt;VLOOKUP(GENERAL[[#This Row],[CODIGO]], PRODUCTOS[#All], 3, FALSE), "MENOR AL MINIMO", "")), "")</f>
        <v/>
      </c>
      <c r="F872" s="39">
        <f>IF(OR(GENERAL[[#This Row],[CODIGO]]="", GENERAL[[#This Row],[CANTIDAD]]=""), "", VLOOKUP(GENERAL[[#This Row],[CODIGO]], PRODUCTOS[#All], 4, FALSE) * GENERAL[[#This Row],[CANTIDAD]])</f>
        <v>97.05</v>
      </c>
      <c r="T872" s="8"/>
    </row>
    <row r="873" spans="2:20" x14ac:dyDescent="0.2">
      <c r="B873" s="11" t="str">
        <f>IF(PRODUCTOS[[#This Row],[CODIGO]]="", "", PRODUCTOS[[#This Row],[CODIGO]])</f>
        <v>PAP-ESCA-056</v>
      </c>
      <c r="C873" s="6" t="str">
        <f>IF(GENERAL[[#This Row],[CODIGO]]="", "", VLOOKUP(GENERAL[[#This Row],[CODIGO]], PRODUCTOS[#All], 2, FALSE))</f>
        <v>Escalimetro</v>
      </c>
      <c r="D87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873" s="28" t="str">
        <f>IFERROR(IF(GENERAL[[#This Row],[CANTIDAD]]=0, "AGOTADO", IF(GENERAL[[#This Row],[CANTIDAD]]&lt;VLOOKUP(GENERAL[[#This Row],[CODIGO]], PRODUCTOS[#All], 3, FALSE), "MENOR AL MINIMO", "")), "")</f>
        <v/>
      </c>
      <c r="F873" s="39">
        <f>IF(OR(GENERAL[[#This Row],[CODIGO]]="", GENERAL[[#This Row],[CANTIDAD]]=""), "", VLOOKUP(GENERAL[[#This Row],[CODIGO]], PRODUCTOS[#All], 4, FALSE) * GENERAL[[#This Row],[CANTIDAD]])</f>
        <v>260</v>
      </c>
      <c r="T873" s="8"/>
    </row>
    <row r="874" spans="2:20" x14ac:dyDescent="0.2">
      <c r="B874" s="11" t="str">
        <f>IF(PRODUCTOS[[#This Row],[CODIGO]]="", "", PRODUCTOS[[#This Row],[CODIGO]])</f>
        <v>PAP-ETIQ-054</v>
      </c>
      <c r="C874" s="6" t="str">
        <f>IF(GENERAL[[#This Row],[CODIGO]]="", "", VLOOKUP(GENERAL[[#This Row],[CODIGO]], PRODUCTOS[#All], 2, FALSE))</f>
        <v>Etiquetadora</v>
      </c>
      <c r="D87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74" s="28" t="str">
        <f>IFERROR(IF(GENERAL[[#This Row],[CANTIDAD]]=0, "AGOTADO", IF(GENERAL[[#This Row],[CANTIDAD]]&lt;VLOOKUP(GENERAL[[#This Row],[CODIGO]], PRODUCTOS[#All], 3, FALSE), "MENOR AL MINIMO", "")), "")</f>
        <v/>
      </c>
      <c r="F874" s="39">
        <f>IF(OR(GENERAL[[#This Row],[CODIGO]]="", GENERAL[[#This Row],[CANTIDAD]]=""), "", VLOOKUP(GENERAL[[#This Row],[CODIGO]], PRODUCTOS[#All], 4, FALSE) * GENERAL[[#This Row],[CANTIDAD]])</f>
        <v>599</v>
      </c>
      <c r="T874" s="8"/>
    </row>
    <row r="875" spans="2:20" x14ac:dyDescent="0.2">
      <c r="B875" s="11" t="str">
        <f>IF(PRODUCTOS[[#This Row],[CODIGO]]="", "", PRODUCTOS[[#This Row],[CODIGO]])</f>
        <v>PAP-FOLDAA-073</v>
      </c>
      <c r="C875" s="6" t="str">
        <f>IF(GENERAL[[#This Row],[CODIGO]]="", "", VLOOKUP(GENERAL[[#This Row],[CODIGO]], PRODUCTOS[#All], 2, FALSE))</f>
        <v>Folder t/carta azul</v>
      </c>
      <c r="D87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140</v>
      </c>
      <c r="E875" s="28" t="str">
        <f>IFERROR(IF(GENERAL[[#This Row],[CANTIDAD]]=0, "AGOTADO", IF(GENERAL[[#This Row],[CANTIDAD]]&lt;VLOOKUP(GENERAL[[#This Row],[CODIGO]], PRODUCTOS[#All], 3, FALSE), "MENOR AL MINIMO", "")), "")</f>
        <v/>
      </c>
      <c r="F875" s="39">
        <f>IF(OR(GENERAL[[#This Row],[CODIGO]]="", GENERAL[[#This Row],[CANTIDAD]]=""), "", VLOOKUP(GENERAL[[#This Row],[CODIGO]], PRODUCTOS[#All], 4, FALSE) * GENERAL[[#This Row],[CANTIDAD]])</f>
        <v>264.59999999999997</v>
      </c>
      <c r="T875" s="8"/>
    </row>
    <row r="876" spans="2:20" x14ac:dyDescent="0.2">
      <c r="B876" s="11" t="str">
        <f>IF(PRODUCTOS[[#This Row],[CODIGO]]="", "", PRODUCTOS[[#This Row],[CODIGO]])</f>
        <v>PAP-FOLDAO-075</v>
      </c>
      <c r="C876" s="6" t="str">
        <f>IF(GENERAL[[#This Row],[CODIGO]]="", "", VLOOKUP(GENERAL[[#This Row],[CODIGO]], PRODUCTOS[#All], 2, FALSE))</f>
        <v>Folder t/oficio azul</v>
      </c>
      <c r="D87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25</v>
      </c>
      <c r="E876" s="28" t="str">
        <f>IFERROR(IF(GENERAL[[#This Row],[CANTIDAD]]=0, "AGOTADO", IF(GENERAL[[#This Row],[CANTIDAD]]&lt;VLOOKUP(GENERAL[[#This Row],[CODIGO]], PRODUCTOS[#All], 3, FALSE), "MENOR AL MINIMO", "")), "")</f>
        <v/>
      </c>
      <c r="F876" s="39">
        <f>IF(OR(GENERAL[[#This Row],[CODIGO]]="", GENERAL[[#This Row],[CANTIDAD]]=""), "", VLOOKUP(GENERAL[[#This Row],[CODIGO]], PRODUCTOS[#All], 4, FALSE) * GENERAL[[#This Row],[CANTIDAD]])</f>
        <v>48</v>
      </c>
      <c r="T876" s="8"/>
    </row>
    <row r="877" spans="2:20" x14ac:dyDescent="0.2">
      <c r="B877" s="11" t="str">
        <f>IF(PRODUCTOS[[#This Row],[CODIGO]]="", "", PRODUCTOS[[#This Row],[CODIGO]])</f>
        <v>PAP-FOLDPA-088</v>
      </c>
      <c r="C877" s="6" t="str">
        <f>IF(GENERAL[[#This Row],[CODIGO]]="", "", VLOOKUP(GENERAL[[#This Row],[CODIGO]], PRODUCTOS[#All], 2, FALSE))</f>
        <v>Folder plástico azul pastel</v>
      </c>
      <c r="D87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877" s="28" t="str">
        <f>IFERROR(IF(GENERAL[[#This Row],[CANTIDAD]]=0, "AGOTADO", IF(GENERAL[[#This Row],[CANTIDAD]]&lt;VLOOKUP(GENERAL[[#This Row],[CODIGO]], PRODUCTOS[#All], 3, FALSE), "MENOR AL MINIMO", "")), "")</f>
        <v/>
      </c>
      <c r="F877" s="39">
        <f>IF(OR(GENERAL[[#This Row],[CODIGO]]="", GENERAL[[#This Row],[CANTIDAD]]=""), "", VLOOKUP(GENERAL[[#This Row],[CODIGO]], PRODUCTOS[#All], 4, FALSE) * GENERAL[[#This Row],[CANTIDAD]])</f>
        <v>120</v>
      </c>
      <c r="T877" s="8"/>
    </row>
    <row r="878" spans="2:20" x14ac:dyDescent="0.2">
      <c r="B878" s="11" t="str">
        <f>IF(PRODUCTOS[[#This Row],[CODIGO]]="", "", PRODUCTOS[[#This Row],[CODIGO]])</f>
        <v>PAP-FOLDPV-089</v>
      </c>
      <c r="C878" s="6" t="str">
        <f>IF(GENERAL[[#This Row],[CODIGO]]="", "", VLOOKUP(GENERAL[[#This Row],[CODIGO]], PRODUCTOS[#All], 2, FALSE))</f>
        <v xml:space="preserve">Folder plástico verde pastel </v>
      </c>
      <c r="D87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878" s="28" t="str">
        <f>IFERROR(IF(GENERAL[[#This Row],[CANTIDAD]]=0, "AGOTADO", IF(GENERAL[[#This Row],[CANTIDAD]]&lt;VLOOKUP(GENERAL[[#This Row],[CODIGO]], PRODUCTOS[#All], 3, FALSE), "MENOR AL MINIMO", "")), "")</f>
        <v/>
      </c>
      <c r="F878" s="39">
        <f>IF(OR(GENERAL[[#This Row],[CODIGO]]="", GENERAL[[#This Row],[CANTIDAD]]=""), "", VLOOKUP(GENERAL[[#This Row],[CODIGO]], PRODUCTOS[#All], 4, FALSE) * GENERAL[[#This Row],[CANTIDAD]])</f>
        <v>120</v>
      </c>
      <c r="T878" s="8"/>
    </row>
    <row r="879" spans="2:20" x14ac:dyDescent="0.2">
      <c r="B879" s="11" t="str">
        <f>IF(PRODUCTOS[[#This Row],[CODIGO]]="", "", PRODUCTOS[[#This Row],[CODIGO]])</f>
        <v>PAP-FOLDS-077</v>
      </c>
      <c r="C879" s="6" t="str">
        <f>IF(GENERAL[[#This Row],[CODIGO]]="", "", VLOOKUP(GENERAL[[#This Row],[CODIGO]], PRODUCTOS[#All], 2, FALSE))</f>
        <v>Folder surtido</v>
      </c>
      <c r="D87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46</v>
      </c>
      <c r="E879" s="28" t="str">
        <f>IFERROR(IF(GENERAL[[#This Row],[CANTIDAD]]=0, "AGOTADO", IF(GENERAL[[#This Row],[CANTIDAD]]&lt;VLOOKUP(GENERAL[[#This Row],[CODIGO]], PRODUCTOS[#All], 3, FALSE), "MENOR AL MINIMO", "")), "")</f>
        <v/>
      </c>
      <c r="F879" s="39">
        <f>IF(OR(GENERAL[[#This Row],[CODIGO]]="", GENERAL[[#This Row],[CANTIDAD]]=""), "", VLOOKUP(GENERAL[[#This Row],[CODIGO]], PRODUCTOS[#All], 4, FALSE) * GENERAL[[#This Row],[CANTIDAD]])</f>
        <v>197.34</v>
      </c>
      <c r="T879" s="8"/>
    </row>
    <row r="880" spans="2:20" x14ac:dyDescent="0.2">
      <c r="B880" s="11" t="str">
        <f>IF(PRODUCTOS[[#This Row],[CODIGO]]="", "", PRODUCTOS[[#This Row],[CODIGO]])</f>
        <v>PAP-FOLDV-072</v>
      </c>
      <c r="C880" s="6" t="str">
        <f>IF(GENERAL[[#This Row],[CODIGO]]="", "", VLOOKUP(GENERAL[[#This Row],[CODIGO]], PRODUCTOS[#All], 2, FALSE))</f>
        <v>Folder t/carta verde</v>
      </c>
      <c r="D88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100</v>
      </c>
      <c r="E880" s="28" t="str">
        <f>IFERROR(IF(GENERAL[[#This Row],[CANTIDAD]]=0, "AGOTADO", IF(GENERAL[[#This Row],[CANTIDAD]]&lt;VLOOKUP(GENERAL[[#This Row],[CODIGO]], PRODUCTOS[#All], 3, FALSE), "MENOR AL MINIMO", "")), "")</f>
        <v/>
      </c>
      <c r="F880" s="39">
        <f>IF(OR(GENERAL[[#This Row],[CODIGO]]="", GENERAL[[#This Row],[CANTIDAD]]=""), "", VLOOKUP(GENERAL[[#This Row],[CODIGO]], PRODUCTOS[#All], 4, FALSE) * GENERAL[[#This Row],[CANTIDAD]])</f>
        <v>131</v>
      </c>
      <c r="T880" s="8"/>
    </row>
    <row r="881" spans="2:20" x14ac:dyDescent="0.2">
      <c r="B881" s="11" t="str">
        <f>IF(PRODUCTOS[[#This Row],[CODIGO]]="", "", PRODUCTOS[[#This Row],[CODIGO]])</f>
        <v>PAP-FOLDVB-074</v>
      </c>
      <c r="C881" s="6" t="str">
        <f>IF(GENERAL[[#This Row],[CODIGO]]="", "", VLOOKUP(GENERAL[[#This Row],[CODIGO]], PRODUCTOS[#All], 2, FALSE))</f>
        <v xml:space="preserve">Folder t/carta verde bandera </v>
      </c>
      <c r="D88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25</v>
      </c>
      <c r="E881" s="28" t="str">
        <f>IFERROR(IF(GENERAL[[#This Row],[CANTIDAD]]=0, "AGOTADO", IF(GENERAL[[#This Row],[CANTIDAD]]&lt;VLOOKUP(GENERAL[[#This Row],[CODIGO]], PRODUCTOS[#All], 3, FALSE), "MENOR AL MINIMO", "")), "")</f>
        <v/>
      </c>
      <c r="F881" s="39">
        <f>IF(OR(GENERAL[[#This Row],[CODIGO]]="", GENERAL[[#This Row],[CANTIDAD]]=""), "", VLOOKUP(GENERAL[[#This Row],[CODIGO]], PRODUCTOS[#All], 4, FALSE) * GENERAL[[#This Row],[CANTIDAD]])</f>
        <v>32.75</v>
      </c>
      <c r="T881" s="8"/>
    </row>
    <row r="882" spans="2:20" x14ac:dyDescent="0.2">
      <c r="B882" s="11" t="str">
        <f>IF(PRODUCTOS[[#This Row],[CODIGO]]="", "", PRODUCTOS[[#This Row],[CODIGO]])</f>
        <v>PAP-FOLDVO-076</v>
      </c>
      <c r="C882" s="6" t="str">
        <f>IF(GENERAL[[#This Row],[CODIGO]]="", "", VLOOKUP(GENERAL[[#This Row],[CODIGO]], PRODUCTOS[#All], 2, FALSE))</f>
        <v>Folder t/oficio verde</v>
      </c>
      <c r="D88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25</v>
      </c>
      <c r="E882" s="28" t="str">
        <f>IFERROR(IF(GENERAL[[#This Row],[CANTIDAD]]=0, "AGOTADO", IF(GENERAL[[#This Row],[CANTIDAD]]&lt;VLOOKUP(GENERAL[[#This Row],[CODIGO]], PRODUCTOS[#All], 3, FALSE), "MENOR AL MINIMO", "")), "")</f>
        <v/>
      </c>
      <c r="F882" s="39">
        <f>IF(OR(GENERAL[[#This Row],[CODIGO]]="", GENERAL[[#This Row],[CANTIDAD]]=""), "", VLOOKUP(GENERAL[[#This Row],[CODIGO]], PRODUCTOS[#All], 4, FALSE) * GENERAL[[#This Row],[CANTIDAD]])</f>
        <v>48</v>
      </c>
      <c r="T882" s="8"/>
    </row>
    <row r="883" spans="2:20" x14ac:dyDescent="0.2">
      <c r="B883" s="11" t="str">
        <f>IF(PRODUCTOS[[#This Row],[CODIGO]]="", "", PRODUCTOS[[#This Row],[CODIGO]])</f>
        <v>PAP-GISB-002</v>
      </c>
      <c r="C883" s="6" t="str">
        <f>IF(GENERAL[[#This Row],[CODIGO]]="", "", VLOOKUP(GENERAL[[#This Row],[CODIGO]], PRODUCTOS[#All], 2, FALSE))</f>
        <v>Gises blancos (caja)</v>
      </c>
      <c r="D88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83" s="28" t="str">
        <f>IFERROR(IF(GENERAL[[#This Row],[CANTIDAD]]=0, "AGOTADO", IF(GENERAL[[#This Row],[CANTIDAD]]&lt;VLOOKUP(GENERAL[[#This Row],[CODIGO]], PRODUCTOS[#All], 3, FALSE), "MENOR AL MINIMO", "")), "")</f>
        <v/>
      </c>
      <c r="F883" s="39">
        <f>IF(OR(GENERAL[[#This Row],[CODIGO]]="", GENERAL[[#This Row],[CANTIDAD]]=""), "", VLOOKUP(GENERAL[[#This Row],[CODIGO]], PRODUCTOS[#All], 4, FALSE) * GENERAL[[#This Row],[CANTIDAD]])</f>
        <v>22</v>
      </c>
      <c r="T883" s="8"/>
    </row>
    <row r="884" spans="2:20" x14ac:dyDescent="0.2">
      <c r="B884" s="11" t="str">
        <f>IF(PRODUCTOS[[#This Row],[CODIGO]]="", "", PRODUCTOS[[#This Row],[CODIGO]])</f>
        <v>PAP-GISC-003</v>
      </c>
      <c r="C884" s="6" t="str">
        <f>IF(GENERAL[[#This Row],[CODIGO]]="", "", VLOOKUP(GENERAL[[#This Row],[CODIGO]], PRODUCTOS[#All], 2, FALSE))</f>
        <v>Gises colores (caja)</v>
      </c>
      <c r="D88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84" s="28" t="str">
        <f>IFERROR(IF(GENERAL[[#This Row],[CANTIDAD]]=0, "AGOTADO", IF(GENERAL[[#This Row],[CANTIDAD]]&lt;VLOOKUP(GENERAL[[#This Row],[CODIGO]], PRODUCTOS[#All], 3, FALSE), "MENOR AL MINIMO", "")), "")</f>
        <v/>
      </c>
      <c r="F884" s="39">
        <f>IF(OR(GENERAL[[#This Row],[CODIGO]]="", GENERAL[[#This Row],[CANTIDAD]]=""), "", VLOOKUP(GENERAL[[#This Row],[CODIGO]], PRODUCTOS[#All], 4, FALSE) * GENERAL[[#This Row],[CANTIDAD]])</f>
        <v>22</v>
      </c>
      <c r="T884" s="8"/>
    </row>
    <row r="885" spans="2:20" x14ac:dyDescent="0.2">
      <c r="B885" s="11" t="str">
        <f>IF(PRODUCTOS[[#This Row],[CODIGO]]="", "", PRODUCTOS[[#This Row],[CODIGO]])</f>
        <v>PAP-GRAP-027</v>
      </c>
      <c r="C885" s="6" t="str">
        <f>IF(GENERAL[[#This Row],[CODIGO]]="", "", VLOOKUP(GENERAL[[#This Row],[CODIGO]], PRODUCTOS[#All], 2, FALSE))</f>
        <v>Grapas (caja)</v>
      </c>
      <c r="D88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885" s="28" t="str">
        <f>IFERROR(IF(GENERAL[[#This Row],[CANTIDAD]]=0, "AGOTADO", IF(GENERAL[[#This Row],[CANTIDAD]]&lt;VLOOKUP(GENERAL[[#This Row],[CODIGO]], PRODUCTOS[#All], 3, FALSE), "MENOR AL MINIMO", "")), "")</f>
        <v/>
      </c>
      <c r="F885" s="39">
        <f>IF(OR(GENERAL[[#This Row],[CODIGO]]="", GENERAL[[#This Row],[CANTIDAD]]=""), "", VLOOKUP(GENERAL[[#This Row],[CODIGO]], PRODUCTOS[#All], 4, FALSE) * GENERAL[[#This Row],[CANTIDAD]])</f>
        <v>315</v>
      </c>
      <c r="T885" s="8"/>
    </row>
    <row r="886" spans="2:20" x14ac:dyDescent="0.2">
      <c r="B886" s="11" t="str">
        <f>IF(PRODUCTOS[[#This Row],[CODIGO]]="", "", PRODUCTOS[[#This Row],[CODIGO]])</f>
        <v>PAP-HDMI-050</v>
      </c>
      <c r="C886" s="6" t="str">
        <f>IF(GENERAL[[#This Row],[CODIGO]]="", "", VLOOKUP(GENERAL[[#This Row],[CODIGO]], PRODUCTOS[#All], 2, FALSE))</f>
        <v xml:space="preserve">Cable HDMI </v>
      </c>
      <c r="D88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86" s="28" t="str">
        <f>IFERROR(IF(GENERAL[[#This Row],[CANTIDAD]]=0, "AGOTADO", IF(GENERAL[[#This Row],[CANTIDAD]]&lt;VLOOKUP(GENERAL[[#This Row],[CODIGO]], PRODUCTOS[#All], 3, FALSE), "MENOR AL MINIMO", "")), "")</f>
        <v/>
      </c>
      <c r="F886" s="39">
        <f>IF(OR(GENERAL[[#This Row],[CODIGO]]="", GENERAL[[#This Row],[CANTIDAD]]=""), "", VLOOKUP(GENERAL[[#This Row],[CODIGO]], PRODUCTOS[#All], 4, FALSE) * GENERAL[[#This Row],[CANTIDAD]])</f>
        <v>119.25</v>
      </c>
      <c r="T886" s="8"/>
    </row>
    <row r="887" spans="2:20" x14ac:dyDescent="0.2">
      <c r="B887" s="11" t="str">
        <f>IF(PRODUCTOS[[#This Row],[CODIGO]]="", "", PRODUCTOS[[#This Row],[CODIGO]])</f>
        <v>PAP-HDMI2P-045</v>
      </c>
      <c r="C887" s="6" t="str">
        <f>IF(GENERAL[[#This Row],[CODIGO]]="", "", VLOOKUP(GENERAL[[#This Row],[CODIGO]], PRODUCTOS[#All], 2, FALSE))</f>
        <v xml:space="preserve">HDMI 2 puertos </v>
      </c>
      <c r="D88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887" s="28" t="str">
        <f>IFERROR(IF(GENERAL[[#This Row],[CANTIDAD]]=0, "AGOTADO", IF(GENERAL[[#This Row],[CANTIDAD]]&lt;VLOOKUP(GENERAL[[#This Row],[CODIGO]], PRODUCTOS[#All], 3, FALSE), "MENOR AL MINIMO", "")), "")</f>
        <v/>
      </c>
      <c r="F887" s="39">
        <f>IF(OR(GENERAL[[#This Row],[CODIGO]]="", GENERAL[[#This Row],[CANTIDAD]]=""), "", VLOOKUP(GENERAL[[#This Row],[CODIGO]], PRODUCTOS[#All], 4, FALSE) * GENERAL[[#This Row],[CANTIDAD]])</f>
        <v>798</v>
      </c>
      <c r="T887" s="8"/>
    </row>
    <row r="888" spans="2:20" x14ac:dyDescent="0.2">
      <c r="B888" s="11" t="str">
        <f>IF(PRODUCTOS[[#This Row],[CODIGO]]="", "", PRODUCTOS[[#This Row],[CODIGO]])</f>
        <v>PAP-HOJAB-066</v>
      </c>
      <c r="C888" s="6" t="str">
        <f>IF(GENERAL[[#This Row],[CODIGO]]="", "", VLOOKUP(GENERAL[[#This Row],[CODIGO]], PRODUCTOS[#All], 2, FALSE))</f>
        <v xml:space="preserve">Hojas blancas </v>
      </c>
      <c r="D88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3000</v>
      </c>
      <c r="E888" s="28" t="str">
        <f>IFERROR(IF(GENERAL[[#This Row],[CANTIDAD]]=0, "AGOTADO", IF(GENERAL[[#This Row],[CANTIDAD]]&lt;VLOOKUP(GENERAL[[#This Row],[CODIGO]], PRODUCTOS[#All], 3, FALSE), "MENOR AL MINIMO", "")), "")</f>
        <v/>
      </c>
      <c r="F888" s="39">
        <f>IF(OR(GENERAL[[#This Row],[CODIGO]]="", GENERAL[[#This Row],[CANTIDAD]]=""), "", VLOOKUP(GENERAL[[#This Row],[CODIGO]], PRODUCTOS[#All], 4, FALSE) * GENERAL[[#This Row],[CANTIDAD]])</f>
        <v>9000</v>
      </c>
      <c r="T888" s="8"/>
    </row>
    <row r="889" spans="2:20" x14ac:dyDescent="0.2">
      <c r="B889" s="11" t="str">
        <f>IF(PRODUCTOS[[#This Row],[CODIGO]]="", "", PRODUCTOS[[#This Row],[CODIGO]])</f>
        <v>PAP-HOJET-098</v>
      </c>
      <c r="C889" s="6" t="str">
        <f>IF(GENERAL[[#This Row],[CODIGO]]="", "", VLOOKUP(GENERAL[[#This Row],[CODIGO]], PRODUCTOS[#All], 2, FALSE))</f>
        <v xml:space="preserve">Hoja t/carta de etiquetas </v>
      </c>
      <c r="D88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25</v>
      </c>
      <c r="E889" s="28" t="str">
        <f>IFERROR(IF(GENERAL[[#This Row],[CANTIDAD]]=0, "AGOTADO", IF(GENERAL[[#This Row],[CANTIDAD]]&lt;VLOOKUP(GENERAL[[#This Row],[CODIGO]], PRODUCTOS[#All], 3, FALSE), "MENOR AL MINIMO", "")), "")</f>
        <v/>
      </c>
      <c r="F889" s="39">
        <f>IF(OR(GENERAL[[#This Row],[CODIGO]]="", GENERAL[[#This Row],[CANTIDAD]]=""), "", VLOOKUP(GENERAL[[#This Row],[CODIGO]], PRODUCTOS[#All], 4, FALSE) * GENERAL[[#This Row],[CANTIDAD]])</f>
        <v>0</v>
      </c>
      <c r="T889" s="8"/>
    </row>
    <row r="890" spans="2:20" x14ac:dyDescent="0.2">
      <c r="B890" s="11" t="str">
        <f>IF(PRODUCTOS[[#This Row],[CODIGO]]="", "", PRODUCTOS[[#This Row],[CODIGO]])</f>
        <v>PAP-HOJOP-099</v>
      </c>
      <c r="C890" s="6" t="str">
        <f>IF(GENERAL[[#This Row],[CODIGO]]="", "", VLOOKUP(GENERAL[[#This Row],[CODIGO]], PRODUCTOS[#All], 2, FALSE))</f>
        <v xml:space="preserve">Hojas opalina </v>
      </c>
      <c r="D89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890" s="28" t="str">
        <f>IFERROR(IF(GENERAL[[#This Row],[CANTIDAD]]=0, "AGOTADO", IF(GENERAL[[#This Row],[CANTIDAD]]&lt;VLOOKUP(GENERAL[[#This Row],[CODIGO]], PRODUCTOS[#All], 3, FALSE), "MENOR AL MINIMO", "")), "")</f>
        <v/>
      </c>
      <c r="F890" s="39">
        <f>IF(OR(GENERAL[[#This Row],[CODIGO]]="", GENERAL[[#This Row],[CANTIDAD]]=""), "", VLOOKUP(GENERAL[[#This Row],[CODIGO]], PRODUCTOS[#All], 4, FALSE) * GENERAL[[#This Row],[CANTIDAD]])</f>
        <v>207</v>
      </c>
      <c r="T890" s="8"/>
    </row>
    <row r="891" spans="2:20" x14ac:dyDescent="0.2">
      <c r="B891" s="11" t="str">
        <f>IF(PRODUCTOS[[#This Row],[CODIGO]]="", "", PRODUCTOS[[#This Row],[CODIGO]])</f>
        <v>PAP-JUEGF-087</v>
      </c>
      <c r="C891" s="6" t="str">
        <f>IF(GENERAL[[#This Row],[CODIGO]]="", "", VLOOKUP(GENERAL[[#This Row],[CODIGO]], PRODUCTOS[#All], 2, FALSE))</f>
        <v>Juego geométrico flexible</v>
      </c>
      <c r="D89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91" s="28" t="str">
        <f>IFERROR(IF(GENERAL[[#This Row],[CANTIDAD]]=0, "AGOTADO", IF(GENERAL[[#This Row],[CANTIDAD]]&lt;VLOOKUP(GENERAL[[#This Row],[CODIGO]], PRODUCTOS[#All], 3, FALSE), "MENOR AL MINIMO", "")), "")</f>
        <v/>
      </c>
      <c r="F891" s="39">
        <f>IF(OR(GENERAL[[#This Row],[CODIGO]]="", GENERAL[[#This Row],[CANTIDAD]]=""), "", VLOOKUP(GENERAL[[#This Row],[CODIGO]], PRODUCTOS[#All], 4, FALSE) * GENERAL[[#This Row],[CANTIDAD]])</f>
        <v>99</v>
      </c>
      <c r="T891" s="8"/>
    </row>
    <row r="892" spans="2:20" x14ac:dyDescent="0.2">
      <c r="B892" s="11" t="str">
        <f>IF(PRODUCTOS[[#This Row],[CODIGO]]="", "", PRODUCTOS[[#This Row],[CODIGO]])</f>
        <v>PAP-LAPAD-90</v>
      </c>
      <c r="C892" s="6" t="str">
        <f>IF(GENERAL[[#This Row],[CODIGO]]="", "", VLOOKUP(GENERAL[[#This Row],[CODIGO]], PRODUCTOS[#All], 2, FALSE))</f>
        <v>Lápiz adhesivo 12pzs</v>
      </c>
      <c r="D89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892" s="28" t="str">
        <f>IFERROR(IF(GENERAL[[#This Row],[CANTIDAD]]=0, "AGOTADO", IF(GENERAL[[#This Row],[CANTIDAD]]&lt;VLOOKUP(GENERAL[[#This Row],[CODIGO]], PRODUCTOS[#All], 3, FALSE), "MENOR AL MINIMO", "")), "")</f>
        <v/>
      </c>
      <c r="F892" s="39">
        <f>IF(OR(GENERAL[[#This Row],[CODIGO]]="", GENERAL[[#This Row],[CANTIDAD]]=""), "", VLOOKUP(GENERAL[[#This Row],[CODIGO]], PRODUCTOS[#All], 4, FALSE) * GENERAL[[#This Row],[CANTIDAD]])</f>
        <v>622</v>
      </c>
      <c r="T892" s="8"/>
    </row>
    <row r="893" spans="2:20" x14ac:dyDescent="0.2">
      <c r="B893" s="11" t="str">
        <f>IF(PRODUCTOS[[#This Row],[CODIGO]]="", "", PRODUCTOS[[#This Row],[CODIGO]])</f>
        <v>PAP-LAPAZ-031</v>
      </c>
      <c r="C893" s="6" t="str">
        <f>IF(GENERAL[[#This Row],[CODIGO]]="", "", VLOOKUP(GENERAL[[#This Row],[CODIGO]], PRODUCTOS[#All], 2, FALSE))</f>
        <v>Lapiceras azules (caja)</v>
      </c>
      <c r="D89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15</v>
      </c>
      <c r="E893" s="28" t="str">
        <f>IFERROR(IF(GENERAL[[#This Row],[CANTIDAD]]=0, "AGOTADO", IF(GENERAL[[#This Row],[CANTIDAD]]&lt;VLOOKUP(GENERAL[[#This Row],[CODIGO]], PRODUCTOS[#All], 3, FALSE), "MENOR AL MINIMO", "")), "")</f>
        <v/>
      </c>
      <c r="F893" s="39">
        <f>IF(OR(GENERAL[[#This Row],[CODIGO]]="", GENERAL[[#This Row],[CANTIDAD]]=""), "", VLOOKUP(GENERAL[[#This Row],[CODIGO]], PRODUCTOS[#All], 4, FALSE) * GENERAL[[#This Row],[CANTIDAD]])</f>
        <v>1305</v>
      </c>
      <c r="T893" s="8"/>
    </row>
    <row r="894" spans="2:20" x14ac:dyDescent="0.2">
      <c r="B894" s="11" t="str">
        <f>IF(PRODUCTOS[[#This Row],[CODIGO]]="", "", PRODUCTOS[[#This Row],[CODIGO]])</f>
        <v>PAP-LAPIM-042</v>
      </c>
      <c r="C894" s="6" t="str">
        <f>IF(GENERAL[[#This Row],[CODIGO]]="", "", VLOOKUP(GENERAL[[#This Row],[CODIGO]], PRODUCTOS[#All], 2, FALSE))</f>
        <v>Lapices (caja)</v>
      </c>
      <c r="D89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894" s="28" t="str">
        <f>IFERROR(IF(GENERAL[[#This Row],[CANTIDAD]]=0, "AGOTADO", IF(GENERAL[[#This Row],[CANTIDAD]]&lt;VLOOKUP(GENERAL[[#This Row],[CODIGO]], PRODUCTOS[#All], 3, FALSE), "MENOR AL MINIMO", "")), "")</f>
        <v/>
      </c>
      <c r="F894" s="39">
        <f>IF(OR(GENERAL[[#This Row],[CODIGO]]="", GENERAL[[#This Row],[CANTIDAD]]=""), "", VLOOKUP(GENERAL[[#This Row],[CODIGO]], PRODUCTOS[#All], 4, FALSE) * GENERAL[[#This Row],[CANTIDAD]])</f>
        <v>15.76</v>
      </c>
      <c r="T894" s="8"/>
    </row>
    <row r="895" spans="2:20" x14ac:dyDescent="0.2">
      <c r="B895" s="11" t="str">
        <f>IF(PRODUCTOS[[#This Row],[CODIGO]]="", "", PRODUCTOS[[#This Row],[CODIGO]])</f>
        <v>PAP-LAPNE-032</v>
      </c>
      <c r="C895" s="6" t="str">
        <f>IF(GENERAL[[#This Row],[CODIGO]]="", "", VLOOKUP(GENERAL[[#This Row],[CODIGO]], PRODUCTOS[#All], 2, FALSE))</f>
        <v>Lapiceras negras (caja)</v>
      </c>
      <c r="D89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895" s="28" t="str">
        <f>IFERROR(IF(GENERAL[[#This Row],[CANTIDAD]]=0, "AGOTADO", IF(GENERAL[[#This Row],[CANTIDAD]]&lt;VLOOKUP(GENERAL[[#This Row],[CODIGO]], PRODUCTOS[#All], 3, FALSE), "MENOR AL MINIMO", "")), "")</f>
        <v/>
      </c>
      <c r="F895" s="39">
        <f>IF(OR(GENERAL[[#This Row],[CODIGO]]="", GENERAL[[#This Row],[CANTIDAD]]=""), "", VLOOKUP(GENERAL[[#This Row],[CODIGO]], PRODUCTOS[#All], 4, FALSE) * GENERAL[[#This Row],[CANTIDAD]])</f>
        <v>261</v>
      </c>
      <c r="T895" s="8"/>
    </row>
    <row r="896" spans="2:20" x14ac:dyDescent="0.2">
      <c r="B896" s="11" t="str">
        <f>IF(PRODUCTOS[[#This Row],[CODIGO]]="", "", PRODUCTOS[[#This Row],[CODIGO]])</f>
        <v>PAP-LAPRO-033</v>
      </c>
      <c r="C896" s="6" t="str">
        <f>IF(GENERAL[[#This Row],[CODIGO]]="", "", VLOOKUP(GENERAL[[#This Row],[CODIGO]], PRODUCTOS[#All], 2, FALSE))</f>
        <v>Lapiceras roja (caja)</v>
      </c>
      <c r="D89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96" s="28" t="str">
        <f>IFERROR(IF(GENERAL[[#This Row],[CANTIDAD]]=0, "AGOTADO", IF(GENERAL[[#This Row],[CANTIDAD]]&lt;VLOOKUP(GENERAL[[#This Row],[CODIGO]], PRODUCTOS[#All], 3, FALSE), "MENOR AL MINIMO", "")), "")</f>
        <v/>
      </c>
      <c r="F896" s="39">
        <f>IF(OR(GENERAL[[#This Row],[CODIGO]]="", GENERAL[[#This Row],[CANTIDAD]]=""), "", VLOOKUP(GENERAL[[#This Row],[CODIGO]], PRODUCTOS[#All], 4, FALSE) * GENERAL[[#This Row],[CANTIDAD]])</f>
        <v>87</v>
      </c>
      <c r="T896" s="8"/>
    </row>
    <row r="897" spans="2:20" x14ac:dyDescent="0.2">
      <c r="B897" s="11" t="str">
        <f>IF(PRODUCTOS[[#This Row],[CODIGO]]="", "", PRODUCTOS[[#This Row],[CODIGO]])</f>
        <v>PAP-LAPRO-079</v>
      </c>
      <c r="C897" s="6" t="str">
        <f>IF(GENERAL[[#This Row],[CODIGO]]="", "", VLOOKUP(GENERAL[[#This Row],[CODIGO]], PRODUCTOS[#All], 2, FALSE))</f>
        <v>Lapiceras rosa (caja)</v>
      </c>
      <c r="D89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897" s="28" t="str">
        <f>IFERROR(IF(GENERAL[[#This Row],[CANTIDAD]]=0, "AGOTADO", IF(GENERAL[[#This Row],[CANTIDAD]]&lt;VLOOKUP(GENERAL[[#This Row],[CODIGO]], PRODUCTOS[#All], 3, FALSE), "MENOR AL MINIMO", "")), "")</f>
        <v/>
      </c>
      <c r="F897" s="39">
        <f>IF(OR(GENERAL[[#This Row],[CODIGO]]="", GENERAL[[#This Row],[CANTIDAD]]=""), "", VLOOKUP(GENERAL[[#This Row],[CODIGO]], PRODUCTOS[#All], 4, FALSE) * GENERAL[[#This Row],[CANTIDAD]])</f>
        <v>87</v>
      </c>
      <c r="T897" s="8"/>
    </row>
    <row r="898" spans="2:20" x14ac:dyDescent="0.2">
      <c r="B898" s="11" t="str">
        <f>IF(PRODUCTOS[[#This Row],[CODIGO]]="", "", PRODUCTOS[[#This Row],[CODIGO]])</f>
        <v>PAP-LAPVE-034</v>
      </c>
      <c r="C898" s="6" t="str">
        <f>IF(GENERAL[[#This Row],[CODIGO]]="", "", VLOOKUP(GENERAL[[#This Row],[CODIGO]], PRODUCTOS[#All], 2, FALSE))</f>
        <v>Lapiceras verdes (caja)</v>
      </c>
      <c r="D89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898" s="28" t="str">
        <f>IFERROR(IF(GENERAL[[#This Row],[CANTIDAD]]=0, "AGOTADO", IF(GENERAL[[#This Row],[CANTIDAD]]&lt;VLOOKUP(GENERAL[[#This Row],[CODIGO]], PRODUCTOS[#All], 3, FALSE), "MENOR AL MINIMO", "")), "")</f>
        <v/>
      </c>
      <c r="F898" s="39">
        <f>IF(OR(GENERAL[[#This Row],[CODIGO]]="", GENERAL[[#This Row],[CANTIDAD]]=""), "", VLOOKUP(GENERAL[[#This Row],[CODIGO]], PRODUCTOS[#All], 4, FALSE) * GENERAL[[#This Row],[CANTIDAD]])</f>
        <v>174</v>
      </c>
      <c r="T898" s="8"/>
    </row>
    <row r="899" spans="2:20" x14ac:dyDescent="0.2">
      <c r="B899" s="11" t="str">
        <f>IF(PRODUCTOS[[#This Row],[CODIGO]]="", "", PRODUCTOS[[#This Row],[CODIGO]])</f>
        <v>PAP-LETRB-092</v>
      </c>
      <c r="C899" s="6" t="str">
        <f>IF(GENERAL[[#This Row],[CODIGO]]="", "", VLOOKUP(GENERAL[[#This Row],[CODIGO]], PRODUCTOS[#All], 2, FALSE))</f>
        <v>Letrero "Botiquin"</v>
      </c>
      <c r="D89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899" s="28" t="str">
        <f>IFERROR(IF(GENERAL[[#This Row],[CANTIDAD]]=0, "AGOTADO", IF(GENERAL[[#This Row],[CANTIDAD]]&lt;VLOOKUP(GENERAL[[#This Row],[CODIGO]], PRODUCTOS[#All], 3, FALSE), "MENOR AL MINIMO", "")), "")</f>
        <v/>
      </c>
      <c r="F899" s="39">
        <f>IF(OR(GENERAL[[#This Row],[CODIGO]]="", GENERAL[[#This Row],[CANTIDAD]]=""), "", VLOOKUP(GENERAL[[#This Row],[CODIGO]], PRODUCTOS[#All], 4, FALSE) * GENERAL[[#This Row],[CANTIDAD]])</f>
        <v>46</v>
      </c>
      <c r="T899" s="8"/>
    </row>
    <row r="900" spans="2:20" x14ac:dyDescent="0.2">
      <c r="B900" s="11" t="str">
        <f>IF(PRODUCTOS[[#This Row],[CODIGO]]="", "", PRODUCTOS[[#This Row],[CODIGO]])</f>
        <v>PAP-LETREX-91</v>
      </c>
      <c r="C900" s="6" t="str">
        <f>IF(GENERAL[[#This Row],[CODIGO]]="", "", VLOOKUP(GENERAL[[#This Row],[CODIGO]], PRODUCTOS[#All], 2, FALSE))</f>
        <v>Letrero "Extintor"</v>
      </c>
      <c r="D90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00" s="28" t="str">
        <f>IFERROR(IF(GENERAL[[#This Row],[CANTIDAD]]=0, "AGOTADO", IF(GENERAL[[#This Row],[CANTIDAD]]&lt;VLOOKUP(GENERAL[[#This Row],[CODIGO]], PRODUCTOS[#All], 3, FALSE), "MENOR AL MINIMO", "")), "")</f>
        <v/>
      </c>
      <c r="F900" s="39">
        <f>IF(OR(GENERAL[[#This Row],[CODIGO]]="", GENERAL[[#This Row],[CANTIDAD]]=""), "", VLOOKUP(GENERAL[[#This Row],[CODIGO]], PRODUCTOS[#All], 4, FALSE) * GENERAL[[#This Row],[CANTIDAD]])</f>
        <v>46</v>
      </c>
      <c r="T900" s="8"/>
    </row>
    <row r="901" spans="2:20" x14ac:dyDescent="0.2">
      <c r="B901" s="11" t="str">
        <f>IF(PRODUCTOS[[#This Row],[CODIGO]]="", "", PRODUCTOS[[#This Row],[CODIGO]])</f>
        <v>PAP-LIGAC-028</v>
      </c>
      <c r="C901" s="6" t="str">
        <f>IF(GENERAL[[#This Row],[CODIGO]]="", "", VLOOKUP(GENERAL[[#This Row],[CODIGO]], PRODUCTOS[#All], 2, FALSE))</f>
        <v>ligas de colores (bolsa)</v>
      </c>
      <c r="D90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01" s="28" t="str">
        <f>IFERROR(IF(GENERAL[[#This Row],[CANTIDAD]]=0, "AGOTADO", IF(GENERAL[[#This Row],[CANTIDAD]]&lt;VLOOKUP(GENERAL[[#This Row],[CODIGO]], PRODUCTOS[#All], 3, FALSE), "MENOR AL MINIMO", "")), "")</f>
        <v/>
      </c>
      <c r="F901" s="39">
        <f>IF(OR(GENERAL[[#This Row],[CODIGO]]="", GENERAL[[#This Row],[CANTIDAD]]=""), "", VLOOKUP(GENERAL[[#This Row],[CODIGO]], PRODUCTOS[#All], 4, FALSE) * GENERAL[[#This Row],[CANTIDAD]])</f>
        <v>48</v>
      </c>
      <c r="T901" s="8"/>
    </row>
    <row r="902" spans="2:20" x14ac:dyDescent="0.2">
      <c r="B902" s="11" t="str">
        <f>IF(PRODUCTOS[[#This Row],[CODIGO]]="", "", PRODUCTOS[[#This Row],[CODIGO]])</f>
        <v>PAP-LISCA-010</v>
      </c>
      <c r="C902" s="6" t="str">
        <f>IF(GENERAL[[#This Row],[CODIGO]]="", "", VLOOKUP(GENERAL[[#This Row],[CODIGO]], PRODUCTOS[#All], 2, FALSE))</f>
        <v>Listón curly azul</v>
      </c>
      <c r="D90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02" s="28" t="str">
        <f>IFERROR(IF(GENERAL[[#This Row],[CANTIDAD]]=0, "AGOTADO", IF(GENERAL[[#This Row],[CANTIDAD]]&lt;VLOOKUP(GENERAL[[#This Row],[CODIGO]], PRODUCTOS[#All], 3, FALSE), "MENOR AL MINIMO", "")), "")</f>
        <v/>
      </c>
      <c r="F902" s="39">
        <f>IF(OR(GENERAL[[#This Row],[CODIGO]]="", GENERAL[[#This Row],[CANTIDAD]]=""), "", VLOOKUP(GENERAL[[#This Row],[CODIGO]], PRODUCTOS[#All], 4, FALSE) * GENERAL[[#This Row],[CANTIDAD]])</f>
        <v>76.540000000000006</v>
      </c>
      <c r="T902" s="8"/>
    </row>
    <row r="903" spans="2:20" x14ac:dyDescent="0.2">
      <c r="B903" s="11" t="str">
        <f>IF(PRODUCTOS[[#This Row],[CODIGO]]="", "", PRODUCTOS[[#This Row],[CODIGO]])</f>
        <v>PAP-LISCB-009</v>
      </c>
      <c r="C903" s="6" t="str">
        <f>IF(GENERAL[[#This Row],[CODIGO]]="", "", VLOOKUP(GENERAL[[#This Row],[CODIGO]], PRODUCTOS[#All], 2, FALSE))</f>
        <v xml:space="preserve">Listón curly blanco </v>
      </c>
      <c r="D90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03" s="28" t="str">
        <f>IFERROR(IF(GENERAL[[#This Row],[CANTIDAD]]=0, "AGOTADO", IF(GENERAL[[#This Row],[CANTIDAD]]&lt;VLOOKUP(GENERAL[[#This Row],[CODIGO]], PRODUCTOS[#All], 3, FALSE), "MENOR AL MINIMO", "")), "")</f>
        <v/>
      </c>
      <c r="F903" s="39">
        <f>IF(OR(GENERAL[[#This Row],[CODIGO]]="", GENERAL[[#This Row],[CANTIDAD]]=""), "", VLOOKUP(GENERAL[[#This Row],[CODIGO]], PRODUCTOS[#All], 4, FALSE) * GENERAL[[#This Row],[CANTIDAD]])</f>
        <v>76.540000000000006</v>
      </c>
      <c r="T903" s="8"/>
    </row>
    <row r="904" spans="2:20" x14ac:dyDescent="0.2">
      <c r="B904" s="11" t="str">
        <f>IF(PRODUCTOS[[#This Row],[CODIGO]]="", "", PRODUCTOS[[#This Row],[CODIGO]])</f>
        <v>PAP-LOCL-008</v>
      </c>
      <c r="C904" s="6" t="str">
        <f>IF(GENERAL[[#This Row],[CODIGO]]="", "", VLOOKUP(GENERAL[[#This Row],[CODIGO]], PRODUCTOS[#All], 2, FALSE))</f>
        <v>Loción limpiadora</v>
      </c>
      <c r="D90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04" s="28" t="str">
        <f>IFERROR(IF(GENERAL[[#This Row],[CANTIDAD]]=0, "AGOTADO", IF(GENERAL[[#This Row],[CANTIDAD]]&lt;VLOOKUP(GENERAL[[#This Row],[CODIGO]], PRODUCTOS[#All], 3, FALSE), "MENOR AL MINIMO", "")), "")</f>
        <v/>
      </c>
      <c r="F904" s="39">
        <f>IF(OR(GENERAL[[#This Row],[CODIGO]]="", GENERAL[[#This Row],[CANTIDAD]]=""), "", VLOOKUP(GENERAL[[#This Row],[CODIGO]], PRODUCTOS[#All], 4, FALSE) * GENERAL[[#This Row],[CANTIDAD]])</f>
        <v>212.8</v>
      </c>
      <c r="T904" s="8"/>
    </row>
    <row r="905" spans="2:20" x14ac:dyDescent="0.2">
      <c r="B905" s="11" t="str">
        <f>IF(PRODUCTOS[[#This Row],[CODIGO]]="", "", PRODUCTOS[[#This Row],[CODIGO]])</f>
        <v>PAP-MANEL-060</v>
      </c>
      <c r="C905" s="6" t="str">
        <f>IF(GENERAL[[#This Row],[CODIGO]]="", "", VLOOKUP(GENERAL[[#This Row],[CODIGO]], PRODUCTOS[#All], 2, FALSE))</f>
        <v xml:space="preserve">Manual de electrisista </v>
      </c>
      <c r="D90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05" s="28" t="str">
        <f>IFERROR(IF(GENERAL[[#This Row],[CANTIDAD]]=0, "AGOTADO", IF(GENERAL[[#This Row],[CANTIDAD]]&lt;VLOOKUP(GENERAL[[#This Row],[CODIGO]], PRODUCTOS[#All], 3, FALSE), "MENOR AL MINIMO", "")), "")</f>
        <v/>
      </c>
      <c r="F905" s="39">
        <f>IF(OR(GENERAL[[#This Row],[CODIGO]]="", GENERAL[[#This Row],[CANTIDAD]]=""), "", VLOOKUP(GENERAL[[#This Row],[CODIGO]], PRODUCTOS[#All], 4, FALSE) * GENERAL[[#This Row],[CANTIDAD]])</f>
        <v>0</v>
      </c>
      <c r="T905" s="8"/>
    </row>
    <row r="906" spans="2:20" x14ac:dyDescent="0.2">
      <c r="B906" s="11" t="str">
        <f>IF(PRODUCTOS[[#This Row],[CODIGO]]="", "", PRODUCTOS[[#This Row],[CODIGO]])</f>
        <v>PAP-MARPA-083</v>
      </c>
      <c r="C906" s="6" t="str">
        <f>IF(GENERAL[[#This Row],[CODIGO]]="", "", VLOOKUP(GENERAL[[#This Row],[CODIGO]], PRODUCTOS[#All], 2, FALSE))</f>
        <v>Marcador p/pizarrón INDRA azul c/12pz</v>
      </c>
      <c r="D90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06" s="28" t="str">
        <f>IFERROR(IF(GENERAL[[#This Row],[CANTIDAD]]=0, "AGOTADO", IF(GENERAL[[#This Row],[CANTIDAD]]&lt;VLOOKUP(GENERAL[[#This Row],[CODIGO]], PRODUCTOS[#All], 3, FALSE), "MENOR AL MINIMO", "")), "")</f>
        <v/>
      </c>
      <c r="F906" s="39">
        <f>IF(OR(GENERAL[[#This Row],[CODIGO]]="", GENERAL[[#This Row],[CANTIDAD]]=""), "", VLOOKUP(GENERAL[[#This Row],[CODIGO]], PRODUCTOS[#All], 4, FALSE) * GENERAL[[#This Row],[CANTIDAD]])</f>
        <v>156</v>
      </c>
      <c r="T906" s="8"/>
    </row>
    <row r="907" spans="2:20" x14ac:dyDescent="0.2">
      <c r="B907" s="11" t="str">
        <f>IF(PRODUCTOS[[#This Row],[CODIGO]]="", "", PRODUCTOS[[#This Row],[CODIGO]])</f>
        <v>PAP-MARPC-001</v>
      </c>
      <c r="C907" s="6" t="str">
        <f>IF(GENERAL[[#This Row],[CODIGO]]="", "", VLOOKUP(GENERAL[[#This Row],[CODIGO]], PRODUCTOS[#All], 2, FALSE))</f>
        <v>Maracador p/pizarrón INDRA colores c/4pzs</v>
      </c>
      <c r="D90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907" s="28" t="str">
        <f>IFERROR(IF(GENERAL[[#This Row],[CANTIDAD]]=0, "AGOTADO", IF(GENERAL[[#This Row],[CANTIDAD]]&lt;VLOOKUP(GENERAL[[#This Row],[CODIGO]], PRODUCTOS[#All], 3, FALSE), "MENOR AL MINIMO", "")), "")</f>
        <v/>
      </c>
      <c r="F907" s="39">
        <f>IF(OR(GENERAL[[#This Row],[CODIGO]]="", GENERAL[[#This Row],[CANTIDAD]]=""), "", VLOOKUP(GENERAL[[#This Row],[CODIGO]], PRODUCTOS[#All], 4, FALSE) * GENERAL[[#This Row],[CANTIDAD]])</f>
        <v>240</v>
      </c>
      <c r="T907" s="8"/>
    </row>
    <row r="908" spans="2:20" x14ac:dyDescent="0.2">
      <c r="B908" s="11" t="str">
        <f>IF(PRODUCTOS[[#This Row],[CODIGO]]="", "", PRODUCTOS[[#This Row],[CODIGO]])</f>
        <v>PAP-MARPEA-084</v>
      </c>
      <c r="C908" s="6" t="str">
        <f>IF(GENERAL[[#This Row],[CODIGO]]="", "", VLOOKUP(GENERAL[[#This Row],[CODIGO]], PRODUCTOS[#All], 2, FALSE))</f>
        <v>Marcador permanente INDRA azul c/12pz</v>
      </c>
      <c r="D90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08" s="28" t="str">
        <f>IFERROR(IF(GENERAL[[#This Row],[CANTIDAD]]=0, "AGOTADO", IF(GENERAL[[#This Row],[CANTIDAD]]&lt;VLOOKUP(GENERAL[[#This Row],[CODIGO]], PRODUCTOS[#All], 3, FALSE), "MENOR AL MINIMO", "")), "")</f>
        <v/>
      </c>
      <c r="F908" s="39">
        <f>IF(OR(GENERAL[[#This Row],[CODIGO]]="", GENERAL[[#This Row],[CANTIDAD]]=""), "", VLOOKUP(GENERAL[[#This Row],[CODIGO]], PRODUCTOS[#All], 4, FALSE) * GENERAL[[#This Row],[CANTIDAD]])</f>
        <v>147</v>
      </c>
      <c r="T908" s="8"/>
    </row>
    <row r="909" spans="2:20" x14ac:dyDescent="0.2">
      <c r="B909" s="11" t="str">
        <f>IF(PRODUCTOS[[#This Row],[CODIGO]]="", "", PRODUCTOS[[#This Row],[CODIGO]])</f>
        <v>PAP-MARPER-085</v>
      </c>
      <c r="C909" s="6" t="str">
        <f>IF(GENERAL[[#This Row],[CODIGO]]="", "", VLOOKUP(GENERAL[[#This Row],[CODIGO]], PRODUCTOS[#All], 2, FALSE))</f>
        <v>Marcador permanente INDRA rojo c/12pz</v>
      </c>
      <c r="D90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09" s="28" t="str">
        <f>IFERROR(IF(GENERAL[[#This Row],[CANTIDAD]]=0, "AGOTADO", IF(GENERAL[[#This Row],[CANTIDAD]]&lt;VLOOKUP(GENERAL[[#This Row],[CODIGO]], PRODUCTOS[#All], 3, FALSE), "MENOR AL MINIMO", "")), "")</f>
        <v/>
      </c>
      <c r="F909" s="39">
        <f>IF(OR(GENERAL[[#This Row],[CODIGO]]="", GENERAL[[#This Row],[CANTIDAD]]=""), "", VLOOKUP(GENERAL[[#This Row],[CODIGO]], PRODUCTOS[#All], 4, FALSE) * GENERAL[[#This Row],[CANTIDAD]])</f>
        <v>147</v>
      </c>
      <c r="T909" s="8"/>
    </row>
    <row r="910" spans="2:20" x14ac:dyDescent="0.2">
      <c r="B910" s="11" t="str">
        <f>IF(PRODUCTOS[[#This Row],[CODIGO]]="", "", PRODUCTOS[[#This Row],[CODIGO]])</f>
        <v>PAP-MARPI-001</v>
      </c>
      <c r="C910" s="6" t="str">
        <f>IF(GENERAL[[#This Row],[CODIGO]]="", "", VLOOKUP(GENERAL[[#This Row],[CODIGO]], PRODUCTOS[#All], 2, FALSE))</f>
        <v>Marcadores magistral (paq 4)</v>
      </c>
      <c r="D91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10" s="28" t="str">
        <f>IFERROR(IF(GENERAL[[#This Row],[CANTIDAD]]=0, "AGOTADO", IF(GENERAL[[#This Row],[CANTIDAD]]&lt;VLOOKUP(GENERAL[[#This Row],[CODIGO]], PRODUCTOS[#All], 3, FALSE), "MENOR AL MINIMO", "")), "")</f>
        <v/>
      </c>
      <c r="F910" s="39">
        <f>IF(OR(GENERAL[[#This Row],[CODIGO]]="", GENERAL[[#This Row],[CANTIDAD]]=""), "", VLOOKUP(GENERAL[[#This Row],[CODIGO]], PRODUCTOS[#All], 4, FALSE) * GENERAL[[#This Row],[CANTIDAD]])</f>
        <v>17.899999999999999</v>
      </c>
      <c r="T910" s="8"/>
    </row>
    <row r="911" spans="2:20" x14ac:dyDescent="0.2">
      <c r="B911" s="11" t="str">
        <f>IF(PRODUCTOS[[#This Row],[CODIGO]]="", "", PRODUCTOS[[#This Row],[CODIGO]])</f>
        <v>PAP-MARPN-082</v>
      </c>
      <c r="C911" s="6" t="str">
        <f>IF(GENERAL[[#This Row],[CODIGO]]="", "", VLOOKUP(GENERAL[[#This Row],[CODIGO]], PRODUCTOS[#All], 2, FALSE))</f>
        <v>Marcador p/pizarrón INDRA negro c/12pz</v>
      </c>
      <c r="D91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11" s="28" t="str">
        <f>IFERROR(IF(GENERAL[[#This Row],[CANTIDAD]]=0, "AGOTADO", IF(GENERAL[[#This Row],[CANTIDAD]]&lt;VLOOKUP(GENERAL[[#This Row],[CODIGO]], PRODUCTOS[#All], 3, FALSE), "MENOR AL MINIMO", "")), "")</f>
        <v/>
      </c>
      <c r="F911" s="39">
        <f>IF(OR(GENERAL[[#This Row],[CODIGO]]="", GENERAL[[#This Row],[CANTIDAD]]=""), "", VLOOKUP(GENERAL[[#This Row],[CODIGO]], PRODUCTOS[#All], 4, FALSE) * GENERAL[[#This Row],[CANTIDAD]])</f>
        <v>156</v>
      </c>
      <c r="T911" s="8"/>
    </row>
    <row r="912" spans="2:20" x14ac:dyDescent="0.2">
      <c r="B912" s="11" t="str">
        <f>IF(PRODUCTOS[[#This Row],[CODIGO]]="", "", PRODUCTOS[[#This Row],[CODIGO]])</f>
        <v>PAP-MARTN-065</v>
      </c>
      <c r="C912" s="6" t="str">
        <f>IF(GENERAL[[#This Row],[CODIGO]]="", "", VLOOKUP(GENERAL[[#This Row],[CODIGO]], PRODUCTOS[#All], 2, FALSE))</f>
        <v xml:space="preserve">Marcatextos naranja </v>
      </c>
      <c r="D91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12" s="28" t="str">
        <f>IFERROR(IF(GENERAL[[#This Row],[CANTIDAD]]=0, "AGOTADO", IF(GENERAL[[#This Row],[CANTIDAD]]&lt;VLOOKUP(GENERAL[[#This Row],[CODIGO]], PRODUCTOS[#All], 3, FALSE), "MENOR AL MINIMO", "")), "")</f>
        <v/>
      </c>
      <c r="F912" s="39">
        <f>IF(OR(GENERAL[[#This Row],[CODIGO]]="", GENERAL[[#This Row],[CANTIDAD]]=""), "", VLOOKUP(GENERAL[[#This Row],[CODIGO]], PRODUCTOS[#All], 4, FALSE) * GENERAL[[#This Row],[CANTIDAD]])</f>
        <v>44.5</v>
      </c>
      <c r="T912" s="8"/>
    </row>
    <row r="913" spans="2:20" x14ac:dyDescent="0.2">
      <c r="B913" s="11" t="str">
        <f>IF(PRODUCTOS[[#This Row],[CODIGO]]="", "", PRODUCTOS[[#This Row],[CODIGO]])</f>
        <v>PAP-MARTV-064</v>
      </c>
      <c r="C913" s="6" t="str">
        <f>IF(GENERAL[[#This Row],[CODIGO]]="", "", VLOOKUP(GENERAL[[#This Row],[CODIGO]], PRODUCTOS[#All], 2, FALSE))</f>
        <v xml:space="preserve">Marcatextos verde </v>
      </c>
      <c r="D91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913" s="28" t="str">
        <f>IFERROR(IF(GENERAL[[#This Row],[CANTIDAD]]=0, "AGOTADO", IF(GENERAL[[#This Row],[CANTIDAD]]&lt;VLOOKUP(GENERAL[[#This Row],[CODIGO]], PRODUCTOS[#All], 3, FALSE), "MENOR AL MINIMO", "")), "")</f>
        <v/>
      </c>
      <c r="F913" s="39">
        <f>IF(OR(GENERAL[[#This Row],[CODIGO]]="", GENERAL[[#This Row],[CANTIDAD]]=""), "", VLOOKUP(GENERAL[[#This Row],[CODIGO]], PRODUCTOS[#All], 4, FALSE) * GENERAL[[#This Row],[CANTIDAD]])</f>
        <v>133.5</v>
      </c>
      <c r="T913" s="8"/>
    </row>
    <row r="914" spans="2:20" x14ac:dyDescent="0.2">
      <c r="B914" s="11" t="str">
        <f>IF(PRODUCTOS[[#This Row],[CODIGO]]="", "", PRODUCTOS[[#This Row],[CODIGO]])</f>
        <v>PAP-MEMAD-067</v>
      </c>
      <c r="C914" s="6" t="str">
        <f>IF(GENERAL[[#This Row],[CODIGO]]="", "", VLOOKUP(GENERAL[[#This Row],[CODIGO]], PRODUCTOS[#All], 2, FALSE))</f>
        <v>Memorias ADATA 16GB</v>
      </c>
      <c r="D91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</v>
      </c>
      <c r="E914" s="28" t="str">
        <f>IFERROR(IF(GENERAL[[#This Row],[CANTIDAD]]=0, "AGOTADO", IF(GENERAL[[#This Row],[CANTIDAD]]&lt;VLOOKUP(GENERAL[[#This Row],[CODIGO]], PRODUCTOS[#All], 3, FALSE), "MENOR AL MINIMO", "")), "")</f>
        <v/>
      </c>
      <c r="F914" s="39">
        <f>IF(OR(GENERAL[[#This Row],[CODIGO]]="", GENERAL[[#This Row],[CANTIDAD]]=""), "", VLOOKUP(GENERAL[[#This Row],[CODIGO]], PRODUCTOS[#All], 4, FALSE) * GENERAL[[#This Row],[CANTIDAD]])</f>
        <v>800</v>
      </c>
      <c r="T914" s="8"/>
    </row>
    <row r="915" spans="2:20" x14ac:dyDescent="0.2">
      <c r="B915" s="11" t="str">
        <f>IF(PRODUCTOS[[#This Row],[CODIGO]]="", "", PRODUCTOS[[#This Row],[CODIGO]])</f>
        <v>PAP-MICF-012</v>
      </c>
      <c r="C915" s="6" t="str">
        <f>IF(GENERAL[[#This Row],[CODIGO]]="", "", VLOOKUP(GENERAL[[#This Row],[CODIGO]], PRODUCTOS[#All], 2, FALSE))</f>
        <v>Microfiltro</v>
      </c>
      <c r="D91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15" s="28" t="str">
        <f>IFERROR(IF(GENERAL[[#This Row],[CANTIDAD]]=0, "AGOTADO", IF(GENERAL[[#This Row],[CANTIDAD]]&lt;VLOOKUP(GENERAL[[#This Row],[CODIGO]], PRODUCTOS[#All], 3, FALSE), "MENOR AL MINIMO", "")), "")</f>
        <v/>
      </c>
      <c r="F915" s="39">
        <f>IF(OR(GENERAL[[#This Row],[CODIGO]]="", GENERAL[[#This Row],[CANTIDAD]]=""), "", VLOOKUP(GENERAL[[#This Row],[CODIGO]], PRODUCTOS[#All], 4, FALSE) * GENERAL[[#This Row],[CANTIDAD]])</f>
        <v>89</v>
      </c>
      <c r="T915" s="8"/>
    </row>
    <row r="916" spans="2:20" x14ac:dyDescent="0.2">
      <c r="B916" s="11" t="str">
        <f>IF(PRODUCTOS[[#This Row],[CODIGO]]="", "", PRODUCTOS[[#This Row],[CODIGO]])</f>
        <v>PAP-MICTE-058</v>
      </c>
      <c r="C916" s="6" t="str">
        <f>IF(GENERAL[[#This Row],[CODIGO]]="", "", VLOOKUP(GENERAL[[#This Row],[CODIGO]], PRODUCTOS[#All], 2, FALSE))</f>
        <v>mica termica (paq)</v>
      </c>
      <c r="D91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16" s="28" t="str">
        <f>IFERROR(IF(GENERAL[[#This Row],[CANTIDAD]]=0, "AGOTADO", IF(GENERAL[[#This Row],[CANTIDAD]]&lt;VLOOKUP(GENERAL[[#This Row],[CODIGO]], PRODUCTOS[#All], 3, FALSE), "MENOR AL MINIMO", "")), "")</f>
        <v/>
      </c>
      <c r="F916" s="39">
        <f>IF(OR(GENERAL[[#This Row],[CODIGO]]="", GENERAL[[#This Row],[CANTIDAD]]=""), "", VLOOKUP(GENERAL[[#This Row],[CODIGO]], PRODUCTOS[#All], 4, FALSE) * GENERAL[[#This Row],[CANTIDAD]])</f>
        <v>48</v>
      </c>
      <c r="T916" s="8"/>
    </row>
    <row r="917" spans="2:20" x14ac:dyDescent="0.2">
      <c r="B917" s="11" t="str">
        <f>IF(PRODUCTOS[[#This Row],[CODIGO]]="", "", PRODUCTOS[[#This Row],[CODIGO]])</f>
        <v>PAP-MOUS-037</v>
      </c>
      <c r="C917" s="6" t="str">
        <f>IF(GENERAL[[#This Row],[CODIGO]]="", "", VLOOKUP(GENERAL[[#This Row],[CODIGO]], PRODUCTOS[#All], 2, FALSE))</f>
        <v>Mouse</v>
      </c>
      <c r="D91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17" s="28" t="str">
        <f>IFERROR(IF(GENERAL[[#This Row],[CANTIDAD]]=0, "AGOTADO", IF(GENERAL[[#This Row],[CANTIDAD]]&lt;VLOOKUP(GENERAL[[#This Row],[CODIGO]], PRODUCTOS[#All], 3, FALSE), "MENOR AL MINIMO", "")), "")</f>
        <v/>
      </c>
      <c r="F917" s="39">
        <f>IF(OR(GENERAL[[#This Row],[CODIGO]]="", GENERAL[[#This Row],[CANTIDAD]]=""), "", VLOOKUP(GENERAL[[#This Row],[CODIGO]], PRODUCTOS[#All], 4, FALSE) * GENERAL[[#This Row],[CANTIDAD]])</f>
        <v>499</v>
      </c>
      <c r="T917" s="8"/>
    </row>
    <row r="918" spans="2:20" x14ac:dyDescent="0.2">
      <c r="B918" s="11" t="str">
        <f>IF(PRODUCTOS[[#This Row],[CODIGO]]="", "", PRODUCTOS[[#This Row],[CODIGO]])</f>
        <v>PAP-NOTAAD-026</v>
      </c>
      <c r="C918" s="6" t="str">
        <f>IF(GENERAL[[#This Row],[CODIGO]]="", "", VLOOKUP(GENERAL[[#This Row],[CODIGO]], PRODUCTOS[#All], 2, FALSE))</f>
        <v xml:space="preserve">Notas adhesivas </v>
      </c>
      <c r="D91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18" s="28" t="str">
        <f>IFERROR(IF(GENERAL[[#This Row],[CANTIDAD]]=0, "AGOTADO", IF(GENERAL[[#This Row],[CANTIDAD]]&lt;VLOOKUP(GENERAL[[#This Row],[CODIGO]], PRODUCTOS[#All], 3, FALSE), "MENOR AL MINIMO", "")), "")</f>
        <v/>
      </c>
      <c r="F918" s="39">
        <f>IF(OR(GENERAL[[#This Row],[CODIGO]]="", GENERAL[[#This Row],[CANTIDAD]]=""), "", VLOOKUP(GENERAL[[#This Row],[CODIGO]], PRODUCTOS[#All], 4, FALSE) * GENERAL[[#This Row],[CANTIDAD]])</f>
        <v>134</v>
      </c>
      <c r="T918" s="8"/>
    </row>
    <row r="919" spans="2:20" x14ac:dyDescent="0.2">
      <c r="B919" s="11" t="str">
        <f>IF(PRODUCTOS[[#This Row],[CODIGO]]="", "", PRODUCTOS[[#This Row],[CODIGO]])</f>
        <v>PAP-NOTGA-097</v>
      </c>
      <c r="C919" s="6" t="str">
        <f>IF(GENERAL[[#This Row],[CODIGO]]="", "", VLOOKUP(GENERAL[[#This Row],[CODIGO]], PRODUCTOS[#All], 2, FALSE))</f>
        <v xml:space="preserve">Notas comprobante para gastos </v>
      </c>
      <c r="D91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919" s="28" t="str">
        <f>IFERROR(IF(GENERAL[[#This Row],[CANTIDAD]]=0, "AGOTADO", IF(GENERAL[[#This Row],[CANTIDAD]]&lt;VLOOKUP(GENERAL[[#This Row],[CODIGO]], PRODUCTOS[#All], 3, FALSE), "MENOR AL MINIMO", "")), "")</f>
        <v/>
      </c>
      <c r="F919" s="39">
        <f>IF(OR(GENERAL[[#This Row],[CODIGO]]="", GENERAL[[#This Row],[CANTIDAD]]=""), "", VLOOKUP(GENERAL[[#This Row],[CODIGO]], PRODUCTOS[#All], 4, FALSE) * GENERAL[[#This Row],[CANTIDAD]])</f>
        <v>0</v>
      </c>
      <c r="T919" s="8"/>
    </row>
    <row r="920" spans="2:20" x14ac:dyDescent="0.2">
      <c r="B920" s="11" t="str">
        <f>IF(PRODUCTOS[[#This Row],[CODIGO]]="", "", PRODUCTOS[[#This Row],[CODIGO]])</f>
        <v>PAP-PANCO-036</v>
      </c>
      <c r="C920" s="6" t="str">
        <f>IF(GENERAL[[#This Row],[CODIGO]]="", "", VLOOKUP(GENERAL[[#This Row],[CODIGO]], PRODUCTOS[#All], 2, FALSE))</f>
        <v>Panel de control</v>
      </c>
      <c r="D92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20" s="28" t="str">
        <f>IFERROR(IF(GENERAL[[#This Row],[CANTIDAD]]=0, "AGOTADO", IF(GENERAL[[#This Row],[CANTIDAD]]&lt;VLOOKUP(GENERAL[[#This Row],[CODIGO]], PRODUCTOS[#All], 3, FALSE), "MENOR AL MINIMO", "")), "")</f>
        <v/>
      </c>
      <c r="F920" s="39">
        <f>IF(OR(GENERAL[[#This Row],[CODIGO]]="", GENERAL[[#This Row],[CANTIDAD]]=""), "", VLOOKUP(GENERAL[[#This Row],[CODIGO]], PRODUCTOS[#All], 4, FALSE) * GENERAL[[#This Row],[CANTIDAD]])</f>
        <v>5798</v>
      </c>
      <c r="T920" s="8"/>
    </row>
    <row r="921" spans="2:20" x14ac:dyDescent="0.2">
      <c r="B921" s="11" t="str">
        <f>IF(PRODUCTOS[[#This Row],[CODIGO]]="", "", PRODUCTOS[[#This Row],[CODIGO]])</f>
        <v>PAP-PEG-062</v>
      </c>
      <c r="C921" s="6" t="str">
        <f>IF(GENERAL[[#This Row],[CODIGO]]="", "", VLOOKUP(GENERAL[[#This Row],[CODIGO]], PRODUCTOS[#All], 2, FALSE))</f>
        <v>Pegamento</v>
      </c>
      <c r="D92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8</v>
      </c>
      <c r="E921" s="28" t="str">
        <f>IFERROR(IF(GENERAL[[#This Row],[CANTIDAD]]=0, "AGOTADO", IF(GENERAL[[#This Row],[CANTIDAD]]&lt;VLOOKUP(GENERAL[[#This Row],[CODIGO]], PRODUCTOS[#All], 3, FALSE), "MENOR AL MINIMO", "")), "")</f>
        <v/>
      </c>
      <c r="F921" s="39">
        <f>IF(OR(GENERAL[[#This Row],[CODIGO]]="", GENERAL[[#This Row],[CANTIDAD]]=""), "", VLOOKUP(GENERAL[[#This Row],[CODIGO]], PRODUCTOS[#All], 4, FALSE) * GENERAL[[#This Row],[CANTIDAD]])</f>
        <v>126.32</v>
      </c>
      <c r="T921" s="8"/>
    </row>
    <row r="922" spans="2:20" x14ac:dyDescent="0.2">
      <c r="B922" s="11" t="str">
        <f>IF(PRODUCTOS[[#This Row],[CODIGO]]="", "", PRODUCTOS[[#This Row],[CODIGO]])</f>
        <v>PAP-PERF2O-025</v>
      </c>
      <c r="C922" s="6" t="str">
        <f>IF(GENERAL[[#This Row],[CODIGO]]="", "", VLOOKUP(GENERAL[[#This Row],[CODIGO]], PRODUCTOS[#All], 2, FALSE))</f>
        <v xml:space="preserve">Perforadora 2 orificios </v>
      </c>
      <c r="D92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22" s="28" t="str">
        <f>IFERROR(IF(GENERAL[[#This Row],[CANTIDAD]]=0, "AGOTADO", IF(GENERAL[[#This Row],[CANTIDAD]]&lt;VLOOKUP(GENERAL[[#This Row],[CODIGO]], PRODUCTOS[#All], 3, FALSE), "MENOR AL MINIMO", "")), "")</f>
        <v/>
      </c>
      <c r="F922" s="39">
        <f>IF(OR(GENERAL[[#This Row],[CODIGO]]="", GENERAL[[#This Row],[CANTIDAD]]=""), "", VLOOKUP(GENERAL[[#This Row],[CODIGO]], PRODUCTOS[#All], 4, FALSE) * GENERAL[[#This Row],[CANTIDAD]])</f>
        <v>173.25</v>
      </c>
      <c r="T922" s="8"/>
    </row>
    <row r="923" spans="2:20" x14ac:dyDescent="0.2">
      <c r="B923" s="11" t="str">
        <f>IF(PRODUCTOS[[#This Row],[CODIGO]]="", "", PRODUCTOS[[#This Row],[CODIGO]])</f>
        <v>PAP-PERFG-057</v>
      </c>
      <c r="C923" s="6" t="str">
        <f>IF(GENERAL[[#This Row],[CODIGO]]="", "", VLOOKUP(GENERAL[[#This Row],[CODIGO]], PRODUCTOS[#All], 2, FALSE))</f>
        <v>Perforadora grande</v>
      </c>
      <c r="D92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23" s="28" t="str">
        <f>IFERROR(IF(GENERAL[[#This Row],[CANTIDAD]]=0, "AGOTADO", IF(GENERAL[[#This Row],[CANTIDAD]]&lt;VLOOKUP(GENERAL[[#This Row],[CODIGO]], PRODUCTOS[#All], 3, FALSE), "MENOR AL MINIMO", "")), "")</f>
        <v/>
      </c>
      <c r="F923" s="39">
        <f>IF(OR(GENERAL[[#This Row],[CODIGO]]="", GENERAL[[#This Row],[CANTIDAD]]=""), "", VLOOKUP(GENERAL[[#This Row],[CODIGO]], PRODUCTOS[#All], 4, FALSE) * GENERAL[[#This Row],[CANTIDAD]])</f>
        <v>281</v>
      </c>
      <c r="T923" s="8"/>
    </row>
    <row r="924" spans="2:20" x14ac:dyDescent="0.2">
      <c r="B924" s="11" t="str">
        <f>IF(PRODUCTOS[[#This Row],[CODIGO]]="", "", PRODUCTOS[[#This Row],[CODIGO]])</f>
        <v>PAP-PIL2A-038</v>
      </c>
      <c r="C924" s="6" t="str">
        <f>IF(GENERAL[[#This Row],[CODIGO]]="", "", VLOOKUP(GENERAL[[#This Row],[CODIGO]], PRODUCTOS[#All], 2, FALSE))</f>
        <v>Pilas AA (pzas)</v>
      </c>
      <c r="D92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47</v>
      </c>
      <c r="E924" s="28" t="str">
        <f>IFERROR(IF(GENERAL[[#This Row],[CANTIDAD]]=0, "AGOTADO", IF(GENERAL[[#This Row],[CANTIDAD]]&lt;VLOOKUP(GENERAL[[#This Row],[CODIGO]], PRODUCTOS[#All], 3, FALSE), "MENOR AL MINIMO", "")), "")</f>
        <v/>
      </c>
      <c r="F924" s="39">
        <f>IF(OR(GENERAL[[#This Row],[CODIGO]]="", GENERAL[[#This Row],[CANTIDAD]]=""), "", VLOOKUP(GENERAL[[#This Row],[CODIGO]], PRODUCTOS[#All], 4, FALSE) * GENERAL[[#This Row],[CANTIDAD]])</f>
        <v>556.94999999999993</v>
      </c>
      <c r="T924" s="8"/>
    </row>
    <row r="925" spans="2:20" x14ac:dyDescent="0.2">
      <c r="B925" s="11" t="str">
        <f>IF(PRODUCTOS[[#This Row],[CODIGO]]="", "", PRODUCTOS[[#This Row],[CODIGO]])</f>
        <v>PAP-PIL3A-039</v>
      </c>
      <c r="C925" s="6" t="str">
        <f>IF(GENERAL[[#This Row],[CODIGO]]="", "", VLOOKUP(GENERAL[[#This Row],[CODIGO]], PRODUCTOS[#All], 2, FALSE))</f>
        <v>Pilas AAA (pzas)</v>
      </c>
      <c r="D92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24</v>
      </c>
      <c r="E925" s="28" t="str">
        <f>IFERROR(IF(GENERAL[[#This Row],[CANTIDAD]]=0, "AGOTADO", IF(GENERAL[[#This Row],[CANTIDAD]]&lt;VLOOKUP(GENERAL[[#This Row],[CODIGO]], PRODUCTOS[#All], 3, FALSE), "MENOR AL MINIMO", "")), "")</f>
        <v/>
      </c>
      <c r="F925" s="39">
        <f>IF(OR(GENERAL[[#This Row],[CODIGO]]="", GENERAL[[#This Row],[CANTIDAD]]=""), "", VLOOKUP(GENERAL[[#This Row],[CODIGO]], PRODUCTOS[#All], 4, FALSE) * GENERAL[[#This Row],[CANTIDAD]])</f>
        <v>312.48</v>
      </c>
      <c r="T925" s="8"/>
    </row>
    <row r="926" spans="2:20" x14ac:dyDescent="0.2">
      <c r="B926" s="11" t="str">
        <f>IF(PRODUCTOS[[#This Row],[CODIGO]]="", "", PRODUCTOS[[#This Row],[CODIGO]])</f>
        <v>PAP-PILAL-041</v>
      </c>
      <c r="C926" s="6" t="str">
        <f>IF(GENERAL[[#This Row],[CODIGO]]="", "", VLOOKUP(GENERAL[[#This Row],[CODIGO]], PRODUCTOS[#All], 2, FALSE))</f>
        <v>Pila alcalina 12V</v>
      </c>
      <c r="D92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26" s="28" t="str">
        <f>IFERROR(IF(GENERAL[[#This Row],[CANTIDAD]]=0, "AGOTADO", IF(GENERAL[[#This Row],[CANTIDAD]]&lt;VLOOKUP(GENERAL[[#This Row],[CODIGO]], PRODUCTOS[#All], 3, FALSE), "MENOR AL MINIMO", "")), "")</f>
        <v/>
      </c>
      <c r="F926" s="39">
        <f>IF(OR(GENERAL[[#This Row],[CODIGO]]="", GENERAL[[#This Row],[CANTIDAD]]=""), "", VLOOKUP(GENERAL[[#This Row],[CODIGO]], PRODUCTOS[#All], 4, FALSE) * GENERAL[[#This Row],[CANTIDAD]])</f>
        <v>691</v>
      </c>
      <c r="T926" s="8"/>
    </row>
    <row r="927" spans="2:20" x14ac:dyDescent="0.2">
      <c r="B927" s="11" t="str">
        <f>IF(PRODUCTOS[[#This Row],[CODIGO]]="", "", PRODUCTOS[[#This Row],[CODIGO]])</f>
        <v>PAP-PILARE-040</v>
      </c>
      <c r="C927" s="6" t="str">
        <f>IF(GENERAL[[#This Row],[CODIGO]]="", "", VLOOKUP(GENERAL[[#This Row],[CODIGO]], PRODUCTOS[#All], 2, FALSE))</f>
        <v>pilas recargables (paq)</v>
      </c>
      <c r="D92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27" s="28" t="str">
        <f>IFERROR(IF(GENERAL[[#This Row],[CANTIDAD]]=0, "AGOTADO", IF(GENERAL[[#This Row],[CANTIDAD]]&lt;VLOOKUP(GENERAL[[#This Row],[CODIGO]], PRODUCTOS[#All], 3, FALSE), "MENOR AL MINIMO", "")), "")</f>
        <v/>
      </c>
      <c r="F927" s="39">
        <f>IF(OR(GENERAL[[#This Row],[CODIGO]]="", GENERAL[[#This Row],[CANTIDAD]]=""), "", VLOOKUP(GENERAL[[#This Row],[CODIGO]], PRODUCTOS[#All], 4, FALSE) * GENERAL[[#This Row],[CANTIDAD]])</f>
        <v>1398</v>
      </c>
      <c r="T927" s="8"/>
    </row>
    <row r="928" spans="2:20" x14ac:dyDescent="0.2">
      <c r="B928" s="11" t="str">
        <f>IF(PRODUCTOS[[#This Row],[CODIGO]]="", "", PRODUCTOS[[#This Row],[CODIGO]])</f>
        <v>PAP-PINC-086</v>
      </c>
      <c r="C928" s="6" t="str">
        <f>IF(GENERAL[[#This Row],[CODIGO]]="", "", VLOOKUP(GENERAL[[#This Row],[CODIGO]], PRODUCTOS[#All], 2, FALSE))</f>
        <v>Pines de colores caja c/100 pzs</v>
      </c>
      <c r="D92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28" s="28" t="str">
        <f>IFERROR(IF(GENERAL[[#This Row],[CANTIDAD]]=0, "AGOTADO", IF(GENERAL[[#This Row],[CANTIDAD]]&lt;VLOOKUP(GENERAL[[#This Row],[CODIGO]], PRODUCTOS[#All], 3, FALSE), "MENOR AL MINIMO", "")), "")</f>
        <v/>
      </c>
      <c r="F928" s="39">
        <f>IF(OR(GENERAL[[#This Row],[CODIGO]]="", GENERAL[[#This Row],[CANTIDAD]]=""), "", VLOOKUP(GENERAL[[#This Row],[CODIGO]], PRODUCTOS[#All], 4, FALSE) * GENERAL[[#This Row],[CANTIDAD]])</f>
        <v>23</v>
      </c>
      <c r="T928" s="8"/>
    </row>
    <row r="929" spans="2:20" x14ac:dyDescent="0.2">
      <c r="B929" s="11" t="str">
        <f>IF(PRODUCTOS[[#This Row],[CODIGO]]="", "", PRODUCTOS[[#This Row],[CODIGO]])</f>
        <v>PAP-PIZ-080</v>
      </c>
      <c r="C929" s="6" t="str">
        <f>IF(GENERAL[[#This Row],[CODIGO]]="", "", VLOOKUP(GENERAL[[#This Row],[CODIGO]], PRODUCTOS[#All], 2, FALSE))</f>
        <v>Pizarrón</v>
      </c>
      <c r="D92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929" s="28" t="str">
        <f>IFERROR(IF(GENERAL[[#This Row],[CANTIDAD]]=0, "AGOTADO", IF(GENERAL[[#This Row],[CANTIDAD]]&lt;VLOOKUP(GENERAL[[#This Row],[CODIGO]], PRODUCTOS[#All], 3, FALSE), "MENOR AL MINIMO", "")), "")</f>
        <v/>
      </c>
      <c r="F929" s="39">
        <f>IF(OR(GENERAL[[#This Row],[CODIGO]]="", GENERAL[[#This Row],[CANTIDAD]]=""), "", VLOOKUP(GENERAL[[#This Row],[CODIGO]], PRODUCTOS[#All], 4, FALSE) * GENERAL[[#This Row],[CANTIDAD]])</f>
        <v>1491</v>
      </c>
      <c r="T929" s="8"/>
    </row>
    <row r="930" spans="2:20" x14ac:dyDescent="0.2">
      <c r="B930" s="11" t="str">
        <f>IF(PRODUCTOS[[#This Row],[CODIGO]]="", "", PRODUCTOS[[#This Row],[CODIGO]])</f>
        <v>PAP-PIZCO-081</v>
      </c>
      <c r="C930" s="6" t="str">
        <f>IF(GENERAL[[#This Row],[CODIGO]]="", "", VLOOKUP(GENERAL[[#This Row],[CODIGO]], PRODUCTOS[#All], 2, FALSE))</f>
        <v xml:space="preserve">pizarron de corcho </v>
      </c>
      <c r="D93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30" s="28" t="str">
        <f>IFERROR(IF(GENERAL[[#This Row],[CANTIDAD]]=0, "AGOTADO", IF(GENERAL[[#This Row],[CANTIDAD]]&lt;VLOOKUP(GENERAL[[#This Row],[CODIGO]], PRODUCTOS[#All], 3, FALSE), "MENOR AL MINIMO", "")), "")</f>
        <v/>
      </c>
      <c r="F930" s="39">
        <f>IF(OR(GENERAL[[#This Row],[CODIGO]]="", GENERAL[[#This Row],[CANTIDAD]]=""), "", VLOOKUP(GENERAL[[#This Row],[CODIGO]], PRODUCTOS[#All], 4, FALSE) * GENERAL[[#This Row],[CANTIDAD]])</f>
        <v>450</v>
      </c>
      <c r="T930" s="8"/>
    </row>
    <row r="931" spans="2:20" x14ac:dyDescent="0.2">
      <c r="B931" s="11" t="str">
        <f>IF(PRODUCTOS[[#This Row],[CODIGO]]="", "", PRODUCTOS[[#This Row],[CODIGO]])</f>
        <v>PAP-PLUVE-035</v>
      </c>
      <c r="C931" s="6" t="str">
        <f>IF(GENERAL[[#This Row],[CODIGO]]="", "", VLOOKUP(GENERAL[[#This Row],[CODIGO]], PRODUCTOS[#All], 2, FALSE))</f>
        <v>Plumones verdes (caja)</v>
      </c>
      <c r="D93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31" s="28" t="str">
        <f>IFERROR(IF(GENERAL[[#This Row],[CANTIDAD]]=0, "AGOTADO", IF(GENERAL[[#This Row],[CANTIDAD]]&lt;VLOOKUP(GENERAL[[#This Row],[CODIGO]], PRODUCTOS[#All], 3, FALSE), "MENOR AL MINIMO", "")), "")</f>
        <v/>
      </c>
      <c r="F931" s="39">
        <f>IF(OR(GENERAL[[#This Row],[CODIGO]]="", GENERAL[[#This Row],[CANTIDAD]]=""), "", VLOOKUP(GENERAL[[#This Row],[CODIGO]], PRODUCTOS[#All], 4, FALSE) * GENERAL[[#This Row],[CANTIDAD]])</f>
        <v>20</v>
      </c>
      <c r="T931" s="8"/>
    </row>
    <row r="932" spans="2:20" x14ac:dyDescent="0.2">
      <c r="B932" s="11" t="str">
        <f>IF(PRODUCTOS[[#This Row],[CODIGO]]="", "", PRODUCTOS[[#This Row],[CODIGO]])</f>
        <v>PAP-PROTP-070</v>
      </c>
      <c r="C932" s="6" t="str">
        <f>IF(GENERAL[[#This Row],[CODIGO]]="", "", VLOOKUP(GENERAL[[#This Row],[CODIGO]], PRODUCTOS[#All], 2, FALSE))</f>
        <v>Protector de plástico (paq)</v>
      </c>
      <c r="D93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932" s="28" t="str">
        <f>IFERROR(IF(GENERAL[[#This Row],[CANTIDAD]]=0, "AGOTADO", IF(GENERAL[[#This Row],[CANTIDAD]]&lt;VLOOKUP(GENERAL[[#This Row],[CODIGO]], PRODUCTOS[#All], 3, FALSE), "MENOR AL MINIMO", "")), "")</f>
        <v/>
      </c>
      <c r="F932" s="39">
        <f>IF(OR(GENERAL[[#This Row],[CODIGO]]="", GENERAL[[#This Row],[CANTIDAD]]=""), "", VLOOKUP(GENERAL[[#This Row],[CODIGO]], PRODUCTOS[#All], 4, FALSE) * GENERAL[[#This Row],[CANTIDAD]])</f>
        <v>552.5</v>
      </c>
      <c r="T932" s="8"/>
    </row>
    <row r="933" spans="2:20" x14ac:dyDescent="0.2">
      <c r="B933" s="11" t="str">
        <f>IF(PRODUCTOS[[#This Row],[CODIGO]]="", "", PRODUCTOS[[#This Row],[CODIGO]])</f>
        <v>PAP-RELLAV-046</v>
      </c>
      <c r="C933" s="6" t="str">
        <f>IF(GENERAL[[#This Row],[CODIGO]]="", "", VLOOKUP(GENERAL[[#This Row],[CODIGO]], PRODUCTOS[#All], 2, FALSE))</f>
        <v>Caja de llaves</v>
      </c>
      <c r="D93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33" s="28" t="str">
        <f>IFERROR(IF(GENERAL[[#This Row],[CANTIDAD]]=0, "AGOTADO", IF(GENERAL[[#This Row],[CANTIDAD]]&lt;VLOOKUP(GENERAL[[#This Row],[CODIGO]], PRODUCTOS[#All], 3, FALSE), "MENOR AL MINIMO", "")), "")</f>
        <v/>
      </c>
      <c r="F933" s="39">
        <f>IF(OR(GENERAL[[#This Row],[CODIGO]]="", GENERAL[[#This Row],[CANTIDAD]]=""), "", VLOOKUP(GENERAL[[#This Row],[CODIGO]], PRODUCTOS[#All], 4, FALSE) * GENERAL[[#This Row],[CANTIDAD]])</f>
        <v>0</v>
      </c>
      <c r="T933" s="8"/>
    </row>
    <row r="934" spans="2:20" x14ac:dyDescent="0.2">
      <c r="B934" s="11" t="str">
        <f>IF(PRODUCTOS[[#This Row],[CODIGO]]="", "", PRODUCTOS[[#This Row],[CODIGO]])</f>
        <v>PAP-REPET-018</v>
      </c>
      <c r="C934" s="6" t="str">
        <f>IF(GENERAL[[#This Row],[CODIGO]]="", "", VLOOKUP(GENERAL[[#This Row],[CODIGO]], PRODUCTOS[#All], 2, FALSE))</f>
        <v>Repuestos para etiquetadora</v>
      </c>
      <c r="D93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14</v>
      </c>
      <c r="E934" s="28" t="str">
        <f>IFERROR(IF(GENERAL[[#This Row],[CANTIDAD]]=0, "AGOTADO", IF(GENERAL[[#This Row],[CANTIDAD]]&lt;VLOOKUP(GENERAL[[#This Row],[CODIGO]], PRODUCTOS[#All], 3, FALSE), "MENOR AL MINIMO", "")), "")</f>
        <v/>
      </c>
      <c r="F934" s="39">
        <f>IF(OR(GENERAL[[#This Row],[CODIGO]]="", GENERAL[[#This Row],[CANTIDAD]]=""), "", VLOOKUP(GENERAL[[#This Row],[CODIGO]], PRODUCTOS[#All], 4, FALSE) * GENERAL[[#This Row],[CANTIDAD]])</f>
        <v>1529.78</v>
      </c>
      <c r="T934" s="8"/>
    </row>
    <row r="935" spans="2:20" x14ac:dyDescent="0.2">
      <c r="B935" s="11" t="str">
        <f>IF(PRODUCTOS[[#This Row],[CODIGO]]="", "", PRODUCTOS[[#This Row],[CODIGO]])</f>
        <v>PAP-SACP-013</v>
      </c>
      <c r="C935" s="6" t="str">
        <f>IF(GENERAL[[#This Row],[CODIGO]]="", "", VLOOKUP(GENERAL[[#This Row],[CODIGO]], PRODUCTOS[#All], 2, FALSE))</f>
        <v>Sacapuntas</v>
      </c>
      <c r="D93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935" s="28" t="str">
        <f>IFERROR(IF(GENERAL[[#This Row],[CANTIDAD]]=0, "AGOTADO", IF(GENERAL[[#This Row],[CANTIDAD]]&lt;VLOOKUP(GENERAL[[#This Row],[CODIGO]], PRODUCTOS[#All], 3, FALSE), "MENOR AL MINIMO", "")), "")</f>
        <v/>
      </c>
      <c r="F935" s="39">
        <f>IF(OR(GENERAL[[#This Row],[CODIGO]]="", GENERAL[[#This Row],[CANTIDAD]]=""), "", VLOOKUP(GENERAL[[#This Row],[CODIGO]], PRODUCTOS[#All], 4, FALSE) * GENERAL[[#This Row],[CANTIDAD]])</f>
        <v>34.85</v>
      </c>
      <c r="T935" s="8"/>
    </row>
    <row r="936" spans="2:20" x14ac:dyDescent="0.2">
      <c r="B936" s="11" t="str">
        <f>IF(PRODUCTOS[[#This Row],[CODIGO]]="", "", PRODUCTOS[[#This Row],[CODIGO]])</f>
        <v>PAP-SACP-014</v>
      </c>
      <c r="C936" s="6" t="str">
        <f>IF(GENERAL[[#This Row],[CODIGO]]="", "", VLOOKUP(GENERAL[[#This Row],[CODIGO]], PRODUCTOS[#All], 2, FALSE))</f>
        <v>Sacapuntas metálico</v>
      </c>
      <c r="D93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36" s="28" t="str">
        <f>IFERROR(IF(GENERAL[[#This Row],[CANTIDAD]]=0, "AGOTADO", IF(GENERAL[[#This Row],[CANTIDAD]]&lt;VLOOKUP(GENERAL[[#This Row],[CODIGO]], PRODUCTOS[#All], 3, FALSE), "MENOR AL MINIMO", "")), "")</f>
        <v/>
      </c>
      <c r="F936" s="39">
        <f>IF(OR(GENERAL[[#This Row],[CODIGO]]="", GENERAL[[#This Row],[CANTIDAD]]=""), "", VLOOKUP(GENERAL[[#This Row],[CODIGO]], PRODUCTOS[#All], 4, FALSE) * GENERAL[[#This Row],[CANTIDAD]])</f>
        <v>129</v>
      </c>
      <c r="T936" s="8"/>
    </row>
    <row r="937" spans="2:20" x14ac:dyDescent="0.2">
      <c r="B937" s="11" t="str">
        <f>IF(PRODUCTOS[[#This Row],[CODIGO]]="", "", PRODUCTOS[[#This Row],[CODIGO]])</f>
        <v>PAP-SELLF-055</v>
      </c>
      <c r="C937" s="6" t="str">
        <f>IF(GENERAL[[#This Row],[CODIGO]]="", "", VLOOKUP(GENERAL[[#This Row],[CODIGO]], PRODUCTOS[#All], 2, FALSE))</f>
        <v>Sello formulado</v>
      </c>
      <c r="D93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37" s="28" t="str">
        <f>IFERROR(IF(GENERAL[[#This Row],[CANTIDAD]]=0, "AGOTADO", IF(GENERAL[[#This Row],[CANTIDAD]]&lt;VLOOKUP(GENERAL[[#This Row],[CODIGO]], PRODUCTOS[#All], 3, FALSE), "MENOR AL MINIMO", "")), "")</f>
        <v/>
      </c>
      <c r="F937" s="39">
        <f>IF(OR(GENERAL[[#This Row],[CODIGO]]="", GENERAL[[#This Row],[CANTIDAD]]=""), "", VLOOKUP(GENERAL[[#This Row],[CODIGO]], PRODUCTOS[#All], 4, FALSE) * GENERAL[[#This Row],[CANTIDAD]])</f>
        <v>400</v>
      </c>
      <c r="T937" s="8"/>
    </row>
    <row r="938" spans="2:20" x14ac:dyDescent="0.2">
      <c r="B938" s="11" t="str">
        <f>IF(PRODUCTOS[[#This Row],[CODIGO]]="", "", PRODUCTOS[[#This Row],[CODIGO]])</f>
        <v>PAP-SEÑPE-093</v>
      </c>
      <c r="C938" s="6" t="str">
        <f>IF(GENERAL[[#This Row],[CODIGO]]="", "", VLOOKUP(GENERAL[[#This Row],[CODIGO]], PRODUCTOS[#All], 2, FALSE))</f>
        <v>Señalamiento Peligro</v>
      </c>
      <c r="D93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38" s="28" t="str">
        <f>IFERROR(IF(GENERAL[[#This Row],[CANTIDAD]]=0, "AGOTADO", IF(GENERAL[[#This Row],[CANTIDAD]]&lt;VLOOKUP(GENERAL[[#This Row],[CODIGO]], PRODUCTOS[#All], 3, FALSE), "MENOR AL MINIMO", "")), "")</f>
        <v/>
      </c>
      <c r="F938" s="39">
        <f>IF(OR(GENERAL[[#This Row],[CODIGO]]="", GENERAL[[#This Row],[CANTIDAD]]=""), "", VLOOKUP(GENERAL[[#This Row],[CODIGO]], PRODUCTOS[#All], 4, FALSE) * GENERAL[[#This Row],[CANTIDAD]])</f>
        <v>38</v>
      </c>
      <c r="T938" s="8"/>
    </row>
    <row r="939" spans="2:20" x14ac:dyDescent="0.2">
      <c r="B939" s="11" t="str">
        <f>IF(PRODUCTOS[[#This Row],[CODIGO]]="", "", PRODUCTOS[[#This Row],[CODIGO]])</f>
        <v>PAP-SEÑPR-094</v>
      </c>
      <c r="C939" s="6" t="str">
        <f>IF(GENERAL[[#This Row],[CODIGO]]="", "", VLOOKUP(GENERAL[[#This Row],[CODIGO]], PRODUCTOS[#All], 2, FALSE))</f>
        <v>Señalamiento Precaución</v>
      </c>
      <c r="D93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39" s="28" t="str">
        <f>IFERROR(IF(GENERAL[[#This Row],[CANTIDAD]]=0, "AGOTADO", IF(GENERAL[[#This Row],[CANTIDAD]]&lt;VLOOKUP(GENERAL[[#This Row],[CODIGO]], PRODUCTOS[#All], 3, FALSE), "MENOR AL MINIMO", "")), "")</f>
        <v/>
      </c>
      <c r="F939" s="39">
        <f>IF(OR(GENERAL[[#This Row],[CODIGO]]="", GENERAL[[#This Row],[CANTIDAD]]=""), "", VLOOKUP(GENERAL[[#This Row],[CODIGO]], PRODUCTOS[#All], 4, FALSE) * GENERAL[[#This Row],[CANTIDAD]])</f>
        <v>38</v>
      </c>
      <c r="T939" s="8"/>
    </row>
    <row r="940" spans="2:20" x14ac:dyDescent="0.2">
      <c r="B940" s="11" t="str">
        <f>IF(PRODUCTOS[[#This Row],[CODIGO]]="", "", PRODUCTOS[[#This Row],[CODIGO]])</f>
        <v>PAP-SOB5-068</v>
      </c>
      <c r="C940" s="6" t="str">
        <f>IF(GENERAL[[#This Row],[CODIGO]]="", "", VLOOKUP(GENERAL[[#This Row],[CODIGO]], PRODUCTOS[#All], 2, FALSE))</f>
        <v>Sobres #5 (8.8 x 16.4 cm)</v>
      </c>
      <c r="D94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500</v>
      </c>
      <c r="E940" s="28" t="str">
        <f>IFERROR(IF(GENERAL[[#This Row],[CANTIDAD]]=0, "AGOTADO", IF(GENERAL[[#This Row],[CANTIDAD]]&lt;VLOOKUP(GENERAL[[#This Row],[CODIGO]], PRODUCTOS[#All], 3, FALSE), "MENOR AL MINIMO", "")), "")</f>
        <v/>
      </c>
      <c r="F940" s="39">
        <f>IF(OR(GENERAL[[#This Row],[CODIGO]]="", GENERAL[[#This Row],[CANTIDAD]]=""), "", VLOOKUP(GENERAL[[#This Row],[CODIGO]], PRODUCTOS[#All], 4, FALSE) * GENERAL[[#This Row],[CANTIDAD]])</f>
        <v>474</v>
      </c>
      <c r="T940" s="8"/>
    </row>
    <row r="941" spans="2:20" x14ac:dyDescent="0.2">
      <c r="B941" s="11" t="str">
        <f>IF(PRODUCTOS[[#This Row],[CODIGO]]="", "", PRODUCTOS[[#This Row],[CODIGO]])</f>
        <v>PAP-SOBRP-095</v>
      </c>
      <c r="C941" s="6" t="str">
        <f>IF(GENERAL[[#This Row],[CODIGO]]="", "", VLOOKUP(GENERAL[[#This Row],[CODIGO]], PRODUCTOS[#All], 2, FALSE))</f>
        <v>Sobre pequeño c/hilo color negro</v>
      </c>
      <c r="D94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</v>
      </c>
      <c r="E941" s="28" t="str">
        <f>IFERROR(IF(GENERAL[[#This Row],[CANTIDAD]]=0, "AGOTADO", IF(GENERAL[[#This Row],[CANTIDAD]]&lt;VLOOKUP(GENERAL[[#This Row],[CODIGO]], PRODUCTOS[#All], 3, FALSE), "MENOR AL MINIMO", "")), "")</f>
        <v/>
      </c>
      <c r="F941" s="39">
        <f>IF(OR(GENERAL[[#This Row],[CODIGO]]="", GENERAL[[#This Row],[CANTIDAD]]=""), "", VLOOKUP(GENERAL[[#This Row],[CODIGO]], PRODUCTOS[#All], 4, FALSE) * GENERAL[[#This Row],[CANTIDAD]])</f>
        <v>0</v>
      </c>
      <c r="T941" s="8"/>
    </row>
    <row r="942" spans="2:20" x14ac:dyDescent="0.2">
      <c r="B942" s="11" t="str">
        <f>IF(PRODUCTOS[[#This Row],[CODIGO]]="", "", PRODUCTOS[[#This Row],[CODIGO]])</f>
        <v>PAP-SOPTC-071</v>
      </c>
      <c r="C942" s="6" t="str">
        <f>IF(GENERAL[[#This Row],[CODIGO]]="", "", VLOOKUP(GENERAL[[#This Row],[CODIGO]], PRODUCTOS[#All], 2, FALSE))</f>
        <v>sobre de plástico t/carta</v>
      </c>
      <c r="D94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19</v>
      </c>
      <c r="E942" s="28" t="str">
        <f>IFERROR(IF(GENERAL[[#This Row],[CANTIDAD]]=0, "AGOTADO", IF(GENERAL[[#This Row],[CANTIDAD]]&lt;VLOOKUP(GENERAL[[#This Row],[CODIGO]], PRODUCTOS[#All], 3, FALSE), "MENOR AL MINIMO", "")), "")</f>
        <v/>
      </c>
      <c r="F942" s="39">
        <f>IF(OR(GENERAL[[#This Row],[CODIGO]]="", GENERAL[[#This Row],[CANTIDAD]]=""), "", VLOOKUP(GENERAL[[#This Row],[CODIGO]], PRODUCTOS[#All], 4, FALSE) * GENERAL[[#This Row],[CANTIDAD]])</f>
        <v>307.23</v>
      </c>
      <c r="T942" s="8"/>
    </row>
    <row r="943" spans="2:20" x14ac:dyDescent="0.2">
      <c r="B943" s="11" t="str">
        <f>IF(PRODUCTOS[[#This Row],[CODIGO]]="", "", PRODUCTOS[[#This Row],[CODIGO]])</f>
        <v>PAP-SUJD-007</v>
      </c>
      <c r="C943" s="6" t="str">
        <f>IF(GENERAL[[#This Row],[CODIGO]]="", "", VLOOKUP(GENERAL[[#This Row],[CODIGO]], PRODUCTOS[#All], 2, FALSE))</f>
        <v>Sujeta documentos (cajas)</v>
      </c>
      <c r="D94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</v>
      </c>
      <c r="E943" s="28" t="str">
        <f>IFERROR(IF(GENERAL[[#This Row],[CANTIDAD]]=0, "AGOTADO", IF(GENERAL[[#This Row],[CANTIDAD]]&lt;VLOOKUP(GENERAL[[#This Row],[CODIGO]], PRODUCTOS[#All], 3, FALSE), "MENOR AL MINIMO", "")), "")</f>
        <v/>
      </c>
      <c r="F943" s="39">
        <f>IF(OR(GENERAL[[#This Row],[CODIGO]]="", GENERAL[[#This Row],[CANTIDAD]]=""), "", VLOOKUP(GENERAL[[#This Row],[CODIGO]], PRODUCTOS[#All], 4, FALSE) * GENERAL[[#This Row],[CANTIDAD]])</f>
        <v>19.64</v>
      </c>
      <c r="T943" s="8"/>
    </row>
    <row r="944" spans="2:20" x14ac:dyDescent="0.2">
      <c r="B944" s="11" t="str">
        <f>IF(PRODUCTOS[[#This Row],[CODIGO]]="", "", PRODUCTOS[[#This Row],[CODIGO]])</f>
        <v>PAP-TABLP-096</v>
      </c>
      <c r="C944" s="6" t="str">
        <f>IF(GENERAL[[#This Row],[CODIGO]]="", "", VLOOKUP(GENERAL[[#This Row],[CODIGO]], PRODUCTOS[#All], 2, FALSE))</f>
        <v xml:space="preserve">Tabla plástica pequeña </v>
      </c>
      <c r="D94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6</v>
      </c>
      <c r="E944" s="28" t="str">
        <f>IFERROR(IF(GENERAL[[#This Row],[CANTIDAD]]=0, "AGOTADO", IF(GENERAL[[#This Row],[CANTIDAD]]&lt;VLOOKUP(GENERAL[[#This Row],[CODIGO]], PRODUCTOS[#All], 3, FALSE), "MENOR AL MINIMO", "")), "")</f>
        <v/>
      </c>
      <c r="F944" s="39">
        <f>IF(OR(GENERAL[[#This Row],[CODIGO]]="", GENERAL[[#This Row],[CANTIDAD]]=""), "", VLOOKUP(GENERAL[[#This Row],[CODIGO]], PRODUCTOS[#All], 4, FALSE) * GENERAL[[#This Row],[CANTIDAD]])</f>
        <v>0</v>
      </c>
      <c r="T944" s="8"/>
    </row>
    <row r="945" spans="2:20" x14ac:dyDescent="0.2">
      <c r="B945" s="11" t="str">
        <f>IF(PRODUCTOS[[#This Row],[CODIGO]]="", "", PRODUCTOS[[#This Row],[CODIGO]])</f>
        <v>PAP-TACHD-021</v>
      </c>
      <c r="C945" s="6" t="str">
        <f>IF(GENERAL[[#This Row],[CODIGO]]="", "", VLOOKUP(GENERAL[[#This Row],[CODIGO]], PRODUCTOS[#All], 2, FALSE))</f>
        <v xml:space="preserve">Tachuela dorada (paq) </v>
      </c>
      <c r="D94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45" s="28" t="str">
        <f>IFERROR(IF(GENERAL[[#This Row],[CANTIDAD]]=0, "AGOTADO", IF(GENERAL[[#This Row],[CANTIDAD]]&lt;VLOOKUP(GENERAL[[#This Row],[CODIGO]], PRODUCTOS[#All], 3, FALSE), "MENOR AL MINIMO", "")), "")</f>
        <v/>
      </c>
      <c r="F945" s="39">
        <f>IF(OR(GENERAL[[#This Row],[CODIGO]]="", GENERAL[[#This Row],[CANTIDAD]]=""), "", VLOOKUP(GENERAL[[#This Row],[CODIGO]], PRODUCTOS[#All], 4, FALSE) * GENERAL[[#This Row],[CANTIDAD]])</f>
        <v>100</v>
      </c>
      <c r="T945" s="8"/>
    </row>
    <row r="946" spans="2:20" x14ac:dyDescent="0.2">
      <c r="B946" s="11" t="str">
        <f>IF(PRODUCTOS[[#This Row],[CODIGO]]="", "", PRODUCTOS[[#This Row],[CODIGO]])</f>
        <v>PAP-TACHD-021</v>
      </c>
      <c r="C946" s="6" t="str">
        <f>IF(GENERAL[[#This Row],[CODIGO]]="", "", VLOOKUP(GENERAL[[#This Row],[CODIGO]], PRODUCTOS[#All], 2, FALSE))</f>
        <v xml:space="preserve">Tachuela dorada (paq) </v>
      </c>
      <c r="D94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46" s="28" t="str">
        <f>IFERROR(IF(GENERAL[[#This Row],[CANTIDAD]]=0, "AGOTADO", IF(GENERAL[[#This Row],[CANTIDAD]]&lt;VLOOKUP(GENERAL[[#This Row],[CODIGO]], PRODUCTOS[#All], 3, FALSE), "MENOR AL MINIMO", "")), "")</f>
        <v/>
      </c>
      <c r="F946" s="39">
        <f>IF(OR(GENERAL[[#This Row],[CODIGO]]="", GENERAL[[#This Row],[CANTIDAD]]=""), "", VLOOKUP(GENERAL[[#This Row],[CODIGO]], PRODUCTOS[#All], 4, FALSE) * GENERAL[[#This Row],[CANTIDAD]])</f>
        <v>100</v>
      </c>
      <c r="T946" s="8"/>
    </row>
    <row r="947" spans="2:20" x14ac:dyDescent="0.2">
      <c r="B947" s="11" t="str">
        <f>IF(PRODUCTOS[[#This Row],[CODIGO]]="", "", PRODUCTOS[[#This Row],[CODIGO]])</f>
        <v>PAP-TIJ-016</v>
      </c>
      <c r="C947" s="6" t="str">
        <f>IF(GENERAL[[#This Row],[CODIGO]]="", "", VLOOKUP(GENERAL[[#This Row],[CODIGO]], PRODUCTOS[#All], 2, FALSE))</f>
        <v xml:space="preserve">Tijeras </v>
      </c>
      <c r="D94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47" s="28" t="str">
        <f>IFERROR(IF(GENERAL[[#This Row],[CANTIDAD]]=0, "AGOTADO", IF(GENERAL[[#This Row],[CANTIDAD]]&lt;VLOOKUP(GENERAL[[#This Row],[CODIGO]], PRODUCTOS[#All], 3, FALSE), "MENOR AL MINIMO", "")), "")</f>
        <v/>
      </c>
      <c r="F947" s="39">
        <f>IF(OR(GENERAL[[#This Row],[CODIGO]]="", GENERAL[[#This Row],[CANTIDAD]]=""), "", VLOOKUP(GENERAL[[#This Row],[CODIGO]], PRODUCTOS[#All], 4, FALSE) * GENERAL[[#This Row],[CANTIDAD]])</f>
        <v>40.28</v>
      </c>
      <c r="T947" s="8"/>
    </row>
    <row r="948" spans="2:20" x14ac:dyDescent="0.2">
      <c r="B948" s="11" t="str">
        <f>IF(PRODUCTOS[[#This Row],[CODIGO]]="", "", PRODUCTOS[[#This Row],[CODIGO]])</f>
        <v>PAP-TINSE-063</v>
      </c>
      <c r="C948" s="6" t="str">
        <f>IF(GENERAL[[#This Row],[CODIGO]]="", "", VLOOKUP(GENERAL[[#This Row],[CODIGO]], PRODUCTOS[#All], 2, FALSE))</f>
        <v xml:space="preserve">Tinta para sellos </v>
      </c>
      <c r="D94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48" s="28" t="str">
        <f>IFERROR(IF(GENERAL[[#This Row],[CANTIDAD]]=0, "AGOTADO", IF(GENERAL[[#This Row],[CANTIDAD]]&lt;VLOOKUP(GENERAL[[#This Row],[CODIGO]], PRODUCTOS[#All], 3, FALSE), "MENOR AL MINIMO", "")), "")</f>
        <v/>
      </c>
      <c r="F948" s="39">
        <f>IF(OR(GENERAL[[#This Row],[CODIGO]]="", GENERAL[[#This Row],[CANTIDAD]]=""), "", VLOOKUP(GENERAL[[#This Row],[CODIGO]], PRODUCTOS[#All], 4, FALSE) * GENERAL[[#This Row],[CANTIDAD]])</f>
        <v>44.8</v>
      </c>
      <c r="T948" s="8"/>
    </row>
    <row r="949" spans="2:20" x14ac:dyDescent="0.2">
      <c r="B949" s="11" t="str">
        <f>IF(PRODUCTOS[[#This Row],[CODIGO]]="", "", PRODUCTOS[[#This Row],[CODIGO]])</f>
        <v>PAP-TOAH-004</v>
      </c>
      <c r="C949" s="6" t="str">
        <f>IF(GENERAL[[#This Row],[CODIGO]]="", "", VLOOKUP(GENERAL[[#This Row],[CODIGO]], PRODUCTOS[#All], 2, FALSE))</f>
        <v>Toallas antiestáticas húmedas (bote)</v>
      </c>
      <c r="D94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49" s="28" t="str">
        <f>IFERROR(IF(GENERAL[[#This Row],[CANTIDAD]]=0, "AGOTADO", IF(GENERAL[[#This Row],[CANTIDAD]]&lt;VLOOKUP(GENERAL[[#This Row],[CODIGO]], PRODUCTOS[#All], 3, FALSE), "MENOR AL MINIMO", "")), "")</f>
        <v/>
      </c>
      <c r="F949" s="39">
        <f>IF(OR(GENERAL[[#This Row],[CODIGO]]="", GENERAL[[#This Row],[CANTIDAD]]=""), "", VLOOKUP(GENERAL[[#This Row],[CODIGO]], PRODUCTOS[#All], 4, FALSE) * GENERAL[[#This Row],[CANTIDAD]])</f>
        <v>172</v>
      </c>
      <c r="T949" s="8"/>
    </row>
    <row r="950" spans="2:20" x14ac:dyDescent="0.2">
      <c r="B950" s="11" t="str">
        <f>IF(PRODUCTOS[[#This Row],[CODIGO]]="", "", PRODUCTOS[[#This Row],[CODIGO]])</f>
        <v>PAP-TOAS-005</v>
      </c>
      <c r="C950" s="6" t="str">
        <f>IF(GENERAL[[#This Row],[CODIGO]]="", "", VLOOKUP(GENERAL[[#This Row],[CODIGO]], PRODUCTOS[#All], 2, FALSE))</f>
        <v>Toallas antiestáticas secas (bote)</v>
      </c>
      <c r="D95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50" s="28" t="str">
        <f>IFERROR(IF(GENERAL[[#This Row],[CANTIDAD]]=0, "AGOTADO", IF(GENERAL[[#This Row],[CANTIDAD]]&lt;VLOOKUP(GENERAL[[#This Row],[CODIGO]], PRODUCTOS[#All], 3, FALSE), "MENOR AL MINIMO", "")), "")</f>
        <v/>
      </c>
      <c r="F950" s="39">
        <f>IF(OR(GENERAL[[#This Row],[CODIGO]]="", GENERAL[[#This Row],[CANTIDAD]]=""), "", VLOOKUP(GENERAL[[#This Row],[CODIGO]], PRODUCTOS[#All], 4, FALSE) * GENERAL[[#This Row],[CANTIDAD]])</f>
        <v>344</v>
      </c>
      <c r="T950" s="8"/>
    </row>
    <row r="951" spans="2:20" x14ac:dyDescent="0.2">
      <c r="B951" s="11" t="str">
        <f>IF(PRODUCTOS[[#This Row],[CODIGO]]="", "", PRODUCTOS[[#This Row],[CODIGO]])</f>
        <v>PAP-VELC-030</v>
      </c>
      <c r="C951" s="6" t="str">
        <f>IF(GENERAL[[#This Row],[CODIGO]]="", "", VLOOKUP(GENERAL[[#This Row],[CODIGO]], PRODUCTOS[#All], 2, FALSE))</f>
        <v>Velcro negro (rollo)</v>
      </c>
      <c r="D95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51" s="28" t="str">
        <f>IFERROR(IF(GENERAL[[#This Row],[CANTIDAD]]=0, "AGOTADO", IF(GENERAL[[#This Row],[CANTIDAD]]&lt;VLOOKUP(GENERAL[[#This Row],[CODIGO]], PRODUCTOS[#All], 3, FALSE), "MENOR AL MINIMO", "")), "")</f>
        <v/>
      </c>
      <c r="F951" s="39">
        <f>IF(OR(GENERAL[[#This Row],[CODIGO]]="", GENERAL[[#This Row],[CANTIDAD]]=""), "", VLOOKUP(GENERAL[[#This Row],[CODIGO]], PRODUCTOS[#All], 4, FALSE) * GENERAL[[#This Row],[CANTIDAD]])</f>
        <v>134.83000000000001</v>
      </c>
      <c r="T951" s="8"/>
    </row>
    <row r="952" spans="2:20" x14ac:dyDescent="0.2">
      <c r="B952" s="11" t="str">
        <f>IF(PRODUCTOS[[#This Row],[CODIGO]]="", "", PRODUCTOS[[#This Row],[CODIGO]])</f>
        <v>SOU-BOLAZ-007</v>
      </c>
      <c r="C952" s="6" t="str">
        <f>IF(GENERAL[[#This Row],[CODIGO]]="", "", VLOOKUP(GENERAL[[#This Row],[CODIGO]], PRODUCTOS[#All], 2, FALSE))</f>
        <v xml:space="preserve">Bolsas azules </v>
      </c>
      <c r="D95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169</v>
      </c>
      <c r="E952" s="28" t="str">
        <f>IFERROR(IF(GENERAL[[#This Row],[CANTIDAD]]=0, "AGOTADO", IF(GENERAL[[#This Row],[CANTIDAD]]&lt;VLOOKUP(GENERAL[[#This Row],[CODIGO]], PRODUCTOS[#All], 3, FALSE), "MENOR AL MINIMO", "")), "")</f>
        <v/>
      </c>
      <c r="F952" s="39">
        <f>IF(OR(GENERAL[[#This Row],[CODIGO]]="", GENERAL[[#This Row],[CANTIDAD]]=""), "", VLOOKUP(GENERAL[[#This Row],[CODIGO]], PRODUCTOS[#All], 4, FALSE) * GENERAL[[#This Row],[CANTIDAD]])</f>
        <v>0</v>
      </c>
      <c r="T952" s="8"/>
    </row>
    <row r="953" spans="2:20" x14ac:dyDescent="0.2">
      <c r="B953" s="11" t="str">
        <f>IF(PRODUCTOS[[#This Row],[CODIGO]]="", "", PRODUCTOS[[#This Row],[CODIGO]])</f>
        <v>SOU-BONE-012</v>
      </c>
      <c r="C953" s="6" t="str">
        <f>IF(GENERAL[[#This Row],[CODIGO]]="", "", VLOOKUP(GENERAL[[#This Row],[CODIGO]], PRODUCTOS[#All], 2, FALSE))</f>
        <v>Bolsa negra expo</v>
      </c>
      <c r="D95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49</v>
      </c>
      <c r="E953" s="28" t="str">
        <f>IFERROR(IF(GENERAL[[#This Row],[CANTIDAD]]=0, "AGOTADO", IF(GENERAL[[#This Row],[CANTIDAD]]&lt;VLOOKUP(GENERAL[[#This Row],[CODIGO]], PRODUCTOS[#All], 3, FALSE), "MENOR AL MINIMO", "")), "")</f>
        <v/>
      </c>
      <c r="F953" s="39">
        <f>IF(OR(GENERAL[[#This Row],[CODIGO]]="", GENERAL[[#This Row],[CANTIDAD]]=""), "", VLOOKUP(GENERAL[[#This Row],[CODIGO]], PRODUCTOS[#All], 4, FALSE) * GENERAL[[#This Row],[CANTIDAD]])</f>
        <v>635.04000000000008</v>
      </c>
      <c r="T953" s="8"/>
    </row>
    <row r="954" spans="2:20" x14ac:dyDescent="0.2">
      <c r="B954" s="11" t="str">
        <f>IF(PRODUCTOS[[#This Row],[CODIGO]]="", "", PRODUCTOS[[#This Row],[CODIGO]])</f>
        <v>SOU-CALC-025</v>
      </c>
      <c r="C954" s="6" t="str">
        <f>IF(GENERAL[[#This Row],[CODIGO]]="", "", VLOOKUP(GENERAL[[#This Row],[CODIGO]], PRODUCTOS[#All], 2, FALSE))</f>
        <v xml:space="preserve">Calcamonías </v>
      </c>
      <c r="D95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131</v>
      </c>
      <c r="E954" s="28" t="str">
        <f>IFERROR(IF(GENERAL[[#This Row],[CANTIDAD]]=0, "AGOTADO", IF(GENERAL[[#This Row],[CANTIDAD]]&lt;VLOOKUP(GENERAL[[#This Row],[CODIGO]], PRODUCTOS[#All], 3, FALSE), "MENOR AL MINIMO", "")), "")</f>
        <v/>
      </c>
      <c r="F954" s="39">
        <f>IF(OR(GENERAL[[#This Row],[CODIGO]]="", GENERAL[[#This Row],[CANTIDAD]]=""), "", VLOOKUP(GENERAL[[#This Row],[CODIGO]], PRODUCTOS[#All], 4, FALSE) * GENERAL[[#This Row],[CANTIDAD]])</f>
        <v>1572</v>
      </c>
      <c r="T954" s="8"/>
    </row>
    <row r="955" spans="2:20" x14ac:dyDescent="0.2">
      <c r="B955" s="11" t="str">
        <f>IF(PRODUCTOS[[#This Row],[CODIGO]]="", "", PRODUCTOS[[#This Row],[CODIGO]])</f>
        <v>SOU-DEST-026</v>
      </c>
      <c r="C955" s="6" t="str">
        <f>IF(GENERAL[[#This Row],[CODIGO]]="", "", VLOOKUP(GENERAL[[#This Row],[CODIGO]], PRODUCTOS[#All], 2, FALSE))</f>
        <v xml:space="preserve">Destapadores </v>
      </c>
      <c r="D95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328</v>
      </c>
      <c r="E955" s="28" t="str">
        <f>IFERROR(IF(GENERAL[[#This Row],[CANTIDAD]]=0, "AGOTADO", IF(GENERAL[[#This Row],[CANTIDAD]]&lt;VLOOKUP(GENERAL[[#This Row],[CODIGO]], PRODUCTOS[#All], 3, FALSE), "MENOR AL MINIMO", "")), "")</f>
        <v/>
      </c>
      <c r="F955" s="39">
        <f>IF(OR(GENERAL[[#This Row],[CODIGO]]="", GENERAL[[#This Row],[CANTIDAD]]=""), "", VLOOKUP(GENERAL[[#This Row],[CODIGO]], PRODUCTOS[#All], 4, FALSE) * GENERAL[[#This Row],[CANTIDAD]])</f>
        <v>3214.4</v>
      </c>
      <c r="T955" s="8"/>
    </row>
    <row r="956" spans="2:20" x14ac:dyDescent="0.2">
      <c r="B956" s="11" t="str">
        <f>IF(PRODUCTOS[[#This Row],[CODIGO]]="", "", PRODUCTOS[[#This Row],[CODIGO]])</f>
        <v>SOU-GOACU-023</v>
      </c>
      <c r="C956" s="6" t="str">
        <f>IF(GENERAL[[#This Row],[CODIGO]]="", "", VLOOKUP(GENERAL[[#This Row],[CODIGO]], PRODUCTOS[#All], 2, FALSE))</f>
        <v>Gorra azul cuero</v>
      </c>
      <c r="D95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956" s="28" t="str">
        <f>IFERROR(IF(GENERAL[[#This Row],[CANTIDAD]]=0, "AGOTADO", IF(GENERAL[[#This Row],[CANTIDAD]]&lt;VLOOKUP(GENERAL[[#This Row],[CODIGO]], PRODUCTOS[#All], 3, FALSE), "MENOR AL MINIMO", "")), "")</f>
        <v>AGOTADO</v>
      </c>
      <c r="F956" s="39">
        <f>IF(OR(GENERAL[[#This Row],[CODIGO]]="", GENERAL[[#This Row],[CANTIDAD]]=""), "", VLOOKUP(GENERAL[[#This Row],[CODIGO]], PRODUCTOS[#All], 4, FALSE) * GENERAL[[#This Row],[CANTIDAD]])</f>
        <v>0</v>
      </c>
      <c r="T956" s="8"/>
    </row>
    <row r="957" spans="2:20" x14ac:dyDescent="0.2">
      <c r="B957" s="11" t="str">
        <f>IF(PRODUCTOS[[#This Row],[CODIGO]]="", "", PRODUCTOS[[#This Row],[CODIGO]])</f>
        <v>SOU-GOAM-016</v>
      </c>
      <c r="C957" s="6" t="str">
        <f>IF(GENERAL[[#This Row],[CODIGO]]="", "", VLOOKUP(GENERAL[[#This Row],[CODIGO]], PRODUCTOS[#All], 2, FALSE))</f>
        <v xml:space="preserve">Gorra azul marino </v>
      </c>
      <c r="D95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957" s="28" t="str">
        <f>IFERROR(IF(GENERAL[[#This Row],[CANTIDAD]]=0, "AGOTADO", IF(GENERAL[[#This Row],[CANTIDAD]]&lt;VLOOKUP(GENERAL[[#This Row],[CODIGO]], PRODUCTOS[#All], 3, FALSE), "MENOR AL MINIMO", "")), "")</f>
        <v/>
      </c>
      <c r="F957" s="39">
        <f>IF(OR(GENERAL[[#This Row],[CODIGO]]="", GENERAL[[#This Row],[CANTIDAD]]=""), "", VLOOKUP(GENERAL[[#This Row],[CODIGO]], PRODUCTOS[#All], 4, FALSE) * GENERAL[[#This Row],[CANTIDAD]])</f>
        <v>171</v>
      </c>
      <c r="T957" s="8"/>
    </row>
    <row r="958" spans="2:20" x14ac:dyDescent="0.2">
      <c r="B958" s="11" t="str">
        <f>IF(PRODUCTOS[[#This Row],[CODIGO]]="", "", PRODUCTOS[[#This Row],[CODIGO]])</f>
        <v>SOU-GOAMLL-009</v>
      </c>
      <c r="C958" s="6" t="str">
        <f>IF(GENERAL[[#This Row],[CODIGO]]="", "", VLOOKUP(GENERAL[[#This Row],[CODIGO]], PRODUCTOS[#All], 2, FALSE))</f>
        <v>Gorra azul malla</v>
      </c>
      <c r="D95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-3</v>
      </c>
      <c r="E958" s="28" t="str">
        <f>IFERROR(IF(GENERAL[[#This Row],[CANTIDAD]]=0, "AGOTADO", IF(GENERAL[[#This Row],[CANTIDAD]]&lt;VLOOKUP(GENERAL[[#This Row],[CODIGO]], PRODUCTOS[#All], 3, FALSE), "MENOR AL MINIMO", "")), "")</f>
        <v>MENOR AL MINIMO</v>
      </c>
      <c r="F958" s="39">
        <f>IF(OR(GENERAL[[#This Row],[CODIGO]]="", GENERAL[[#This Row],[CANTIDAD]]=""), "", VLOOKUP(GENERAL[[#This Row],[CODIGO]], PRODUCTOS[#All], 4, FALSE) * GENERAL[[#This Row],[CANTIDAD]])</f>
        <v>-171</v>
      </c>
      <c r="T958" s="8"/>
    </row>
    <row r="959" spans="2:20" x14ac:dyDescent="0.2">
      <c r="B959" s="11" t="str">
        <f>IF(PRODUCTOS[[#This Row],[CODIGO]]="", "", PRODUCTOS[[#This Row],[CODIGO]])</f>
        <v>SOU-GOBDA-030</v>
      </c>
      <c r="C959" s="6" t="str">
        <f>IF(GENERAL[[#This Row],[CODIGO]]="", "", VLOOKUP(GENERAL[[#This Row],[CODIGO]], PRODUCTOS[#All], 2, FALSE))</f>
        <v>Gorra blanca dama</v>
      </c>
      <c r="D95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959" s="28" t="str">
        <f>IFERROR(IF(GENERAL[[#This Row],[CANTIDAD]]=0, "AGOTADO", IF(GENERAL[[#This Row],[CANTIDAD]]&lt;VLOOKUP(GENERAL[[#This Row],[CODIGO]], PRODUCTOS[#All], 3, FALSE), "MENOR AL MINIMO", "")), "")</f>
        <v/>
      </c>
      <c r="F959" s="39">
        <f>IF(OR(GENERAL[[#This Row],[CODIGO]]="", GENERAL[[#This Row],[CANTIDAD]]=""), "", VLOOKUP(GENERAL[[#This Row],[CODIGO]], PRODUCTOS[#All], 4, FALSE) * GENERAL[[#This Row],[CANTIDAD]])</f>
        <v>0</v>
      </c>
      <c r="T959" s="8"/>
    </row>
    <row r="960" spans="2:20" x14ac:dyDescent="0.2">
      <c r="B960" s="11" t="str">
        <f>IF(PRODUCTOS[[#This Row],[CODIGO]]="", "", PRODUCTOS[[#This Row],[CODIGO]])</f>
        <v>SOU-GOBL-015</v>
      </c>
      <c r="C960" s="6" t="str">
        <f>IF(GENERAL[[#This Row],[CODIGO]]="", "", VLOOKUP(GENERAL[[#This Row],[CODIGO]], PRODUCTOS[#All], 2, FALSE))</f>
        <v xml:space="preserve">Gorra blanca </v>
      </c>
      <c r="D96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960" s="28" t="str">
        <f>IFERROR(IF(GENERAL[[#This Row],[CANTIDAD]]=0, "AGOTADO", IF(GENERAL[[#This Row],[CANTIDAD]]&lt;VLOOKUP(GENERAL[[#This Row],[CODIGO]], PRODUCTOS[#All], 3, FALSE), "MENOR AL MINIMO", "")), "")</f>
        <v/>
      </c>
      <c r="F960" s="39">
        <f>IF(OR(GENERAL[[#This Row],[CODIGO]]="", GENERAL[[#This Row],[CANTIDAD]]=""), "", VLOOKUP(GENERAL[[#This Row],[CODIGO]], PRODUCTOS[#All], 4, FALSE) * GENERAL[[#This Row],[CANTIDAD]])</f>
        <v>684</v>
      </c>
      <c r="T960" s="8"/>
    </row>
    <row r="961" spans="2:20" x14ac:dyDescent="0.2">
      <c r="B961" s="11" t="str">
        <f>IF(PRODUCTOS[[#This Row],[CODIGO]]="", "", PRODUCTOS[[#This Row],[CODIGO]])</f>
        <v>SOU-GOBN-014</v>
      </c>
      <c r="C961" s="6" t="str">
        <f>IF(GENERAL[[#This Row],[CODIGO]]="", "", VLOOKUP(GENERAL[[#This Row],[CODIGO]], PRODUCTOS[#All], 2, FALSE))</f>
        <v>Gorra blanco y negro malla</v>
      </c>
      <c r="D96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18</v>
      </c>
      <c r="E961" s="28" t="str">
        <f>IFERROR(IF(GENERAL[[#This Row],[CANTIDAD]]=0, "AGOTADO", IF(GENERAL[[#This Row],[CANTIDAD]]&lt;VLOOKUP(GENERAL[[#This Row],[CODIGO]], PRODUCTOS[#All], 3, FALSE), "MENOR AL MINIMO", "")), "")</f>
        <v/>
      </c>
      <c r="F961" s="39">
        <f>IF(OR(GENERAL[[#This Row],[CODIGO]]="", GENERAL[[#This Row],[CANTIDAD]]=""), "", VLOOKUP(GENERAL[[#This Row],[CODIGO]], PRODUCTOS[#All], 4, FALSE) * GENERAL[[#This Row],[CANTIDAD]])</f>
        <v>1026</v>
      </c>
      <c r="T961" s="8"/>
    </row>
    <row r="962" spans="2:20" x14ac:dyDescent="0.2">
      <c r="B962" s="11" t="str">
        <f>IF(PRODUCTOS[[#This Row],[CODIGO]]="", "", PRODUCTOS[[#This Row],[CODIGO]])</f>
        <v>SOU-GOBSP-021</v>
      </c>
      <c r="C962" s="6" t="str">
        <f>IF(GENERAL[[#This Row],[CODIGO]]="", "", VLOOKUP(GENERAL[[#This Row],[CODIGO]], PRODUCTOS[#All], 2, FALSE))</f>
        <v>Gorra blanca sport</v>
      </c>
      <c r="D96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962" s="28" t="str">
        <f>IFERROR(IF(GENERAL[[#This Row],[CANTIDAD]]=0, "AGOTADO", IF(GENERAL[[#This Row],[CANTIDAD]]&lt;VLOOKUP(GENERAL[[#This Row],[CODIGO]], PRODUCTOS[#All], 3, FALSE), "MENOR AL MINIMO", "")), "")</f>
        <v>AGOTADO</v>
      </c>
      <c r="F962" s="39">
        <f>IF(OR(GENERAL[[#This Row],[CODIGO]]="", GENERAL[[#This Row],[CANTIDAD]]=""), "", VLOOKUP(GENERAL[[#This Row],[CODIGO]], PRODUCTOS[#All], 4, FALSE) * GENERAL[[#This Row],[CANTIDAD]])</f>
        <v>0</v>
      </c>
      <c r="T962" s="8"/>
    </row>
    <row r="963" spans="2:20" x14ac:dyDescent="0.2">
      <c r="B963" s="11" t="str">
        <f>IF(PRODUCTOS[[#This Row],[CODIGO]]="", "", PRODUCTOS[[#This Row],[CODIGO]])</f>
        <v>SOU-GOCAM-017</v>
      </c>
      <c r="C963" s="6" t="str">
        <f>IF(GENERAL[[#This Row],[CODIGO]]="", "", VLOOKUP(GENERAL[[#This Row],[CODIGO]], PRODUCTOS[#All], 2, FALSE))</f>
        <v xml:space="preserve">Gorras camuflajeadas </v>
      </c>
      <c r="D96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252</v>
      </c>
      <c r="E963" s="28" t="str">
        <f>IFERROR(IF(GENERAL[[#This Row],[CANTIDAD]]=0, "AGOTADO", IF(GENERAL[[#This Row],[CANTIDAD]]&lt;VLOOKUP(GENERAL[[#This Row],[CODIGO]], PRODUCTOS[#All], 3, FALSE), "MENOR AL MINIMO", "")), "")</f>
        <v/>
      </c>
      <c r="F963" s="39">
        <f>IF(OR(GENERAL[[#This Row],[CODIGO]]="", GENERAL[[#This Row],[CANTIDAD]]=""), "", VLOOKUP(GENERAL[[#This Row],[CODIGO]], PRODUCTOS[#All], 4, FALSE) * GENERAL[[#This Row],[CANTIDAD]])</f>
        <v>20462.400000000001</v>
      </c>
      <c r="T963" s="8"/>
    </row>
    <row r="964" spans="2:20" x14ac:dyDescent="0.2">
      <c r="B964" s="11" t="str">
        <f>IF(PRODUCTOS[[#This Row],[CODIGO]]="", "", PRODUCTOS[[#This Row],[CODIGO]])</f>
        <v>SOU-GOGDA-019</v>
      </c>
      <c r="C964" s="6" t="str">
        <f>IF(GENERAL[[#This Row],[CODIGO]]="", "", VLOOKUP(GENERAL[[#This Row],[CODIGO]], PRODUCTOS[#All], 2, FALSE))</f>
        <v xml:space="preserve">Gorra gris/café dama </v>
      </c>
      <c r="D96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964" s="28" t="str">
        <f>IFERROR(IF(GENERAL[[#This Row],[CANTIDAD]]=0, "AGOTADO", IF(GENERAL[[#This Row],[CANTIDAD]]&lt;VLOOKUP(GENERAL[[#This Row],[CODIGO]], PRODUCTOS[#All], 3, FALSE), "MENOR AL MINIMO", "")), "")</f>
        <v/>
      </c>
      <c r="F964" s="39">
        <f>IF(OR(GENERAL[[#This Row],[CODIGO]]="", GENERAL[[#This Row],[CANTIDAD]]=""), "", VLOOKUP(GENERAL[[#This Row],[CODIGO]], PRODUCTOS[#All], 4, FALSE) * GENERAL[[#This Row],[CANTIDAD]])</f>
        <v>0</v>
      </c>
      <c r="T964" s="8"/>
    </row>
    <row r="965" spans="2:20" x14ac:dyDescent="0.2">
      <c r="B965" s="11" t="str">
        <f>IF(PRODUCTOS[[#This Row],[CODIGO]]="", "", PRODUCTOS[[#This Row],[CODIGO]])</f>
        <v>SOU-GOGJ-008</v>
      </c>
      <c r="C965" s="6" t="str">
        <f>IF(GENERAL[[#This Row],[CODIGO]]="", "", VLOOKUP(GENERAL[[#This Row],[CODIGO]], PRODUCTOS[#All], 2, FALSE))</f>
        <v xml:space="preserve">Gorra gris jaspeado </v>
      </c>
      <c r="D96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53</v>
      </c>
      <c r="E965" s="28" t="str">
        <f>IFERROR(IF(GENERAL[[#This Row],[CANTIDAD]]=0, "AGOTADO", IF(GENERAL[[#This Row],[CANTIDAD]]&lt;VLOOKUP(GENERAL[[#This Row],[CODIGO]], PRODUCTOS[#All], 3, FALSE), "MENOR AL MINIMO", "")), "")</f>
        <v/>
      </c>
      <c r="F965" s="39">
        <f>IF(OR(GENERAL[[#This Row],[CODIGO]]="", GENERAL[[#This Row],[CANTIDAD]]=""), "", VLOOKUP(GENERAL[[#This Row],[CODIGO]], PRODUCTOS[#All], 4, FALSE) * GENERAL[[#This Row],[CANTIDAD]])</f>
        <v>0</v>
      </c>
      <c r="T965" s="8"/>
    </row>
    <row r="966" spans="2:20" x14ac:dyDescent="0.2">
      <c r="B966" s="11" t="str">
        <f>IF(PRODUCTOS[[#This Row],[CODIGO]]="", "", PRODUCTOS[[#This Row],[CODIGO]])</f>
        <v>SOU-GOGMLL-018</v>
      </c>
      <c r="C966" s="6" t="str">
        <f>IF(GENERAL[[#This Row],[CODIGO]]="", "", VLOOKUP(GENERAL[[#This Row],[CODIGO]], PRODUCTOS[#All], 2, FALSE))</f>
        <v>Gorras gris malla</v>
      </c>
      <c r="D96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54</v>
      </c>
      <c r="E966" s="28" t="str">
        <f>IFERROR(IF(GENERAL[[#This Row],[CANTIDAD]]=0, "AGOTADO", IF(GENERAL[[#This Row],[CANTIDAD]]&lt;VLOOKUP(GENERAL[[#This Row],[CODIGO]], PRODUCTOS[#All], 3, FALSE), "MENOR AL MINIMO", "")), "")</f>
        <v/>
      </c>
      <c r="F966" s="39">
        <f>IF(OR(GENERAL[[#This Row],[CODIGO]]="", GENERAL[[#This Row],[CANTIDAD]]=""), "", VLOOKUP(GENERAL[[#This Row],[CODIGO]], PRODUCTOS[#All], 4, FALSE) * GENERAL[[#This Row],[CANTIDAD]])</f>
        <v>3078</v>
      </c>
      <c r="T966" s="8"/>
    </row>
    <row r="967" spans="2:20" x14ac:dyDescent="0.2">
      <c r="B967" s="11" t="str">
        <f>IF(PRODUCTOS[[#This Row],[CODIGO]]="", "", PRODUCTOS[[#This Row],[CODIGO]])</f>
        <v>SOU-GONCU-022</v>
      </c>
      <c r="C967" s="6" t="str">
        <f>IF(GENERAL[[#This Row],[CODIGO]]="", "", VLOOKUP(GENERAL[[#This Row],[CODIGO]], PRODUCTOS[#All], 2, FALSE))</f>
        <v>Gorra naranja cuero</v>
      </c>
      <c r="D96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</v>
      </c>
      <c r="E967" s="28" t="str">
        <f>IFERROR(IF(GENERAL[[#This Row],[CANTIDAD]]=0, "AGOTADO", IF(GENERAL[[#This Row],[CANTIDAD]]&lt;VLOOKUP(GENERAL[[#This Row],[CODIGO]], PRODUCTOS[#All], 3, FALSE), "MENOR AL MINIMO", "")), "")</f>
        <v/>
      </c>
      <c r="F967" s="39">
        <f>IF(OR(GENERAL[[#This Row],[CODIGO]]="", GENERAL[[#This Row],[CANTIDAD]]=""), "", VLOOKUP(GENERAL[[#This Row],[CODIGO]], PRODUCTOS[#All], 4, FALSE) * GENERAL[[#This Row],[CANTIDAD]])</f>
        <v>974.39999999999986</v>
      </c>
      <c r="T967" s="8"/>
    </row>
    <row r="968" spans="2:20" x14ac:dyDescent="0.2">
      <c r="B968" s="11" t="str">
        <f>IF(PRODUCTOS[[#This Row],[CODIGO]]="", "", PRODUCTOS[[#This Row],[CODIGO]])</f>
        <v>SOU-GONDA-029</v>
      </c>
      <c r="C968" s="6" t="str">
        <f>IF(GENERAL[[#This Row],[CODIGO]]="", "", VLOOKUP(GENERAL[[#This Row],[CODIGO]], PRODUCTOS[#All], 2, FALSE))</f>
        <v xml:space="preserve">gorra negra dama </v>
      </c>
      <c r="D96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968" s="28" t="str">
        <f>IFERROR(IF(GENERAL[[#This Row],[CANTIDAD]]=0, "AGOTADO", IF(GENERAL[[#This Row],[CANTIDAD]]&lt;VLOOKUP(GENERAL[[#This Row],[CODIGO]], PRODUCTOS[#All], 3, FALSE), "MENOR AL MINIMO", "")), "")</f>
        <v/>
      </c>
      <c r="F968" s="39">
        <f>IF(OR(GENERAL[[#This Row],[CODIGO]]="", GENERAL[[#This Row],[CANTIDAD]]=""), "", VLOOKUP(GENERAL[[#This Row],[CODIGO]], PRODUCTOS[#All], 4, FALSE) * GENERAL[[#This Row],[CANTIDAD]])</f>
        <v>0</v>
      </c>
      <c r="T968" s="8"/>
    </row>
    <row r="969" spans="2:20" x14ac:dyDescent="0.2">
      <c r="B969" s="11" t="str">
        <f>IF(PRODUCTOS[[#This Row],[CODIGO]]="", "", PRODUCTOS[[#This Row],[CODIGO]])</f>
        <v>SOU-GONE-013</v>
      </c>
      <c r="C969" s="6" t="str">
        <f>IF(GENERAL[[#This Row],[CODIGO]]="", "", VLOOKUP(GENERAL[[#This Row],[CODIGO]], PRODUCTOS[#All], 2, FALSE))</f>
        <v xml:space="preserve">Gorra negra </v>
      </c>
      <c r="D96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17</v>
      </c>
      <c r="E969" s="28" t="str">
        <f>IFERROR(IF(GENERAL[[#This Row],[CANTIDAD]]=0, "AGOTADO", IF(GENERAL[[#This Row],[CANTIDAD]]&lt;VLOOKUP(GENERAL[[#This Row],[CODIGO]], PRODUCTOS[#All], 3, FALSE), "MENOR AL MINIMO", "")), "")</f>
        <v/>
      </c>
      <c r="F969" s="39">
        <f>IF(OR(GENERAL[[#This Row],[CODIGO]]="", GENERAL[[#This Row],[CANTIDAD]]=""), "", VLOOKUP(GENERAL[[#This Row],[CODIGO]], PRODUCTOS[#All], 4, FALSE) * GENERAL[[#This Row],[CANTIDAD]])</f>
        <v>1873.4</v>
      </c>
      <c r="T969" s="8"/>
    </row>
    <row r="970" spans="2:20" x14ac:dyDescent="0.2">
      <c r="B970" s="11" t="str">
        <f>IF(PRODUCTOS[[#This Row],[CODIGO]]="", "", PRODUCTOS[[#This Row],[CODIGO]])</f>
        <v>SOU-GORDA-020</v>
      </c>
      <c r="C970" s="6" t="str">
        <f>IF(GENERAL[[#This Row],[CODIGO]]="", "", VLOOKUP(GENERAL[[#This Row],[CODIGO]], PRODUCTOS[#All], 2, FALSE))</f>
        <v>Gorra rosa dama</v>
      </c>
      <c r="D97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70" s="28" t="str">
        <f>IFERROR(IF(GENERAL[[#This Row],[CANTIDAD]]=0, "AGOTADO", IF(GENERAL[[#This Row],[CANTIDAD]]&lt;VLOOKUP(GENERAL[[#This Row],[CODIGO]], PRODUCTOS[#All], 3, FALSE), "MENOR AL MINIMO", "")), "")</f>
        <v/>
      </c>
      <c r="F970" s="39">
        <f>IF(OR(GENERAL[[#This Row],[CODIGO]]="", GENERAL[[#This Row],[CANTIDAD]]=""), "", VLOOKUP(GENERAL[[#This Row],[CODIGO]], PRODUCTOS[#All], 4, FALSE) * GENERAL[[#This Row],[CANTIDAD]])</f>
        <v>0</v>
      </c>
      <c r="T970" s="8"/>
    </row>
    <row r="971" spans="2:20" x14ac:dyDescent="0.2">
      <c r="B971" s="11" t="str">
        <f>IF(PRODUCTOS[[#This Row],[CODIGO]]="", "", PRODUCTOS[[#This Row],[CODIGO]])</f>
        <v>SOU-GOTO-010</v>
      </c>
      <c r="C971" s="6" t="str">
        <f>IF(GENERAL[[#This Row],[CODIGO]]="", "", VLOOKUP(GENERAL[[#This Row],[CODIGO]], PRODUCTOS[#All], 2, FALSE))</f>
        <v>Gorra Tornasol</v>
      </c>
      <c r="D97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76</v>
      </c>
      <c r="E971" s="28" t="str">
        <f>IFERROR(IF(GENERAL[[#This Row],[CANTIDAD]]=0, "AGOTADO", IF(GENERAL[[#This Row],[CANTIDAD]]&lt;VLOOKUP(GENERAL[[#This Row],[CODIGO]], PRODUCTOS[#All], 3, FALSE), "MENOR AL MINIMO", "")), "")</f>
        <v/>
      </c>
      <c r="F971" s="39">
        <f>IF(OR(GENERAL[[#This Row],[CODIGO]]="", GENERAL[[#This Row],[CANTIDAD]]=""), "", VLOOKUP(GENERAL[[#This Row],[CODIGO]], PRODUCTOS[#All], 4, FALSE) * GENERAL[[#This Row],[CANTIDAD]])</f>
        <v>0</v>
      </c>
      <c r="T971" s="8"/>
    </row>
    <row r="972" spans="2:20" x14ac:dyDescent="0.2">
      <c r="B972" s="11" t="str">
        <f>IF(PRODUCTOS[[#This Row],[CODIGO]]="", "", PRODUCTOS[[#This Row],[CODIGO]])</f>
        <v>SOU-LAPAB-001</v>
      </c>
      <c r="C972" s="6" t="str">
        <f>IF(GENERAL[[#This Row],[CODIGO]]="", "", VLOOKUP(GENERAL[[#This Row],[CODIGO]], PRODUCTOS[#All], 2, FALSE))</f>
        <v xml:space="preserve">Lapiceras Azul c/blanco </v>
      </c>
      <c r="D97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391</v>
      </c>
      <c r="E972" s="28" t="str">
        <f>IFERROR(IF(GENERAL[[#This Row],[CANTIDAD]]=0, "AGOTADO", IF(GENERAL[[#This Row],[CANTIDAD]]&lt;VLOOKUP(GENERAL[[#This Row],[CODIGO]], PRODUCTOS[#All], 3, FALSE), "MENOR AL MINIMO", "")), "")</f>
        <v/>
      </c>
      <c r="F972" s="39">
        <f>IF(OR(GENERAL[[#This Row],[CODIGO]]="", GENERAL[[#This Row],[CANTIDAD]]=""), "", VLOOKUP(GENERAL[[#This Row],[CODIGO]], PRODUCTOS[#All], 4, FALSE) * GENERAL[[#This Row],[CANTIDAD]])</f>
        <v>2001.92</v>
      </c>
      <c r="T972" s="8"/>
    </row>
    <row r="973" spans="2:20" x14ac:dyDescent="0.2">
      <c r="B973" s="11" t="str">
        <f>IF(PRODUCTOS[[#This Row],[CODIGO]]="", "", PRODUCTOS[[#This Row],[CODIGO]])</f>
        <v>SOU-LAPAIC-032</v>
      </c>
      <c r="C973" s="6" t="str">
        <f>IF(GENERAL[[#This Row],[CODIGO]]="", "", VLOOKUP(GENERAL[[#This Row],[CODIGO]], PRODUCTOS[#All], 2, FALSE))</f>
        <v>Lapiceras azul ice</v>
      </c>
      <c r="D97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253</v>
      </c>
      <c r="E973" s="28" t="str">
        <f>IFERROR(IF(GENERAL[[#This Row],[CANTIDAD]]=0, "AGOTADO", IF(GENERAL[[#This Row],[CANTIDAD]]&lt;VLOOKUP(GENERAL[[#This Row],[CODIGO]], PRODUCTOS[#All], 3, FALSE), "MENOR AL MINIMO", "")), "")</f>
        <v/>
      </c>
      <c r="F973" s="39">
        <f>IF(OR(GENERAL[[#This Row],[CODIGO]]="", GENERAL[[#This Row],[CANTIDAD]]=""), "", VLOOKUP(GENERAL[[#This Row],[CODIGO]], PRODUCTOS[#All], 4, FALSE) * GENERAL[[#This Row],[CANTIDAD]])</f>
        <v>1295.3600000000001</v>
      </c>
      <c r="T973" s="8"/>
    </row>
    <row r="974" spans="2:20" x14ac:dyDescent="0.2">
      <c r="B974" s="11" t="str">
        <f>IF(PRODUCTOS[[#This Row],[CODIGO]]="", "", PRODUCTOS[[#This Row],[CODIGO]])</f>
        <v>SOU-LAPBN-004</v>
      </c>
      <c r="C974" s="6" t="str">
        <f>IF(GENERAL[[#This Row],[CODIGO]]="", "", VLOOKUP(GENERAL[[#This Row],[CODIGO]], PRODUCTOS[#All], 2, FALSE))</f>
        <v xml:space="preserve">Lapiceras blanco/naranja </v>
      </c>
      <c r="D97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285</v>
      </c>
      <c r="E974" s="28" t="str">
        <f>IFERROR(IF(GENERAL[[#This Row],[CANTIDAD]]=0, "AGOTADO", IF(GENERAL[[#This Row],[CANTIDAD]]&lt;VLOOKUP(GENERAL[[#This Row],[CODIGO]], PRODUCTOS[#All], 3, FALSE), "MENOR AL MINIMO", "")), "")</f>
        <v/>
      </c>
      <c r="F974" s="39">
        <f>IF(OR(GENERAL[[#This Row],[CODIGO]]="", GENERAL[[#This Row],[CANTIDAD]]=""), "", VLOOKUP(GENERAL[[#This Row],[CODIGO]], PRODUCTOS[#All], 4, FALSE) * GENERAL[[#This Row],[CANTIDAD]])</f>
        <v>1459.2</v>
      </c>
      <c r="T974" s="8"/>
    </row>
    <row r="975" spans="2:20" x14ac:dyDescent="0.2">
      <c r="B975" s="11" t="str">
        <f>IF(PRODUCTOS[[#This Row],[CODIGO]]="", "", PRODUCTOS[[#This Row],[CODIGO]])</f>
        <v>SOU-LAPF-002</v>
      </c>
      <c r="C975" s="6" t="str">
        <f>IF(GENERAL[[#This Row],[CODIGO]]="", "", VLOOKUP(GENERAL[[#This Row],[CODIGO]], PRODUCTOS[#All], 2, FALSE))</f>
        <v xml:space="preserve">Lapiceras fosforescentes </v>
      </c>
      <c r="D97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94</v>
      </c>
      <c r="E975" s="28" t="str">
        <f>IFERROR(IF(GENERAL[[#This Row],[CANTIDAD]]=0, "AGOTADO", IF(GENERAL[[#This Row],[CANTIDAD]]&lt;VLOOKUP(GENERAL[[#This Row],[CODIGO]], PRODUCTOS[#All], 3, FALSE), "MENOR AL MINIMO", "")), "")</f>
        <v/>
      </c>
      <c r="F975" s="39">
        <f>IF(OR(GENERAL[[#This Row],[CODIGO]]="", GENERAL[[#This Row],[CANTIDAD]]=""), "", VLOOKUP(GENERAL[[#This Row],[CODIGO]], PRODUCTOS[#All], 4, FALSE) * GENERAL[[#This Row],[CANTIDAD]])</f>
        <v>481.28000000000003</v>
      </c>
      <c r="T975" s="8"/>
    </row>
    <row r="976" spans="2:20" x14ac:dyDescent="0.2">
      <c r="B976" s="11" t="str">
        <f>IF(PRODUCTOS[[#This Row],[CODIGO]]="", "", PRODUCTOS[[#This Row],[CODIGO]])</f>
        <v>SOU-LAPGR-031</v>
      </c>
      <c r="C976" s="6" t="str">
        <f>IF(GENERAL[[#This Row],[CODIGO]]="", "", VLOOKUP(GENERAL[[#This Row],[CODIGO]], PRODUCTOS[#All], 2, FALSE))</f>
        <v xml:space="preserve">Lapiceras grabadas </v>
      </c>
      <c r="D97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8</v>
      </c>
      <c r="E976" s="28" t="str">
        <f>IFERROR(IF(GENERAL[[#This Row],[CANTIDAD]]=0, "AGOTADO", IF(GENERAL[[#This Row],[CANTIDAD]]&lt;VLOOKUP(GENERAL[[#This Row],[CODIGO]], PRODUCTOS[#All], 3, FALSE), "MENOR AL MINIMO", "")), "")</f>
        <v/>
      </c>
      <c r="F976" s="39">
        <f>IF(OR(GENERAL[[#This Row],[CODIGO]]="", GENERAL[[#This Row],[CANTIDAD]]=""), "", VLOOKUP(GENERAL[[#This Row],[CODIGO]], PRODUCTOS[#All], 4, FALSE) * GENERAL[[#This Row],[CANTIDAD]])</f>
        <v>0</v>
      </c>
      <c r="T976" s="8"/>
    </row>
    <row r="977" spans="2:20" x14ac:dyDescent="0.2">
      <c r="B977" s="11" t="str">
        <f>IF(PRODUCTOS[[#This Row],[CODIGO]]="", "", PRODUCTOS[[#This Row],[CODIGO]])</f>
        <v>SOU-LAPNB-005</v>
      </c>
      <c r="C977" s="6" t="str">
        <f>IF(GENERAL[[#This Row],[CODIGO]]="", "", VLOOKUP(GENERAL[[#This Row],[CODIGO]], PRODUCTOS[#All], 2, FALSE))</f>
        <v xml:space="preserve">Lapiceras Naranja/blanco </v>
      </c>
      <c r="D97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300</v>
      </c>
      <c r="E977" s="28" t="str">
        <f>IFERROR(IF(GENERAL[[#This Row],[CANTIDAD]]=0, "AGOTADO", IF(GENERAL[[#This Row],[CANTIDAD]]&lt;VLOOKUP(GENERAL[[#This Row],[CODIGO]], PRODUCTOS[#All], 3, FALSE), "MENOR AL MINIMO", "")), "")</f>
        <v/>
      </c>
      <c r="F977" s="39">
        <f>IF(OR(GENERAL[[#This Row],[CODIGO]]="", GENERAL[[#This Row],[CANTIDAD]]=""), "", VLOOKUP(GENERAL[[#This Row],[CODIGO]], PRODUCTOS[#All], 4, FALSE) * GENERAL[[#This Row],[CANTIDAD]])</f>
        <v>1536</v>
      </c>
      <c r="H977" s="67" t="s">
        <v>1972</v>
      </c>
      <c r="T977" s="8"/>
    </row>
    <row r="978" spans="2:20" x14ac:dyDescent="0.2">
      <c r="B978" s="37" t="str">
        <f>IF(PRODUCTOS[[#This Row],[CODIGO]]="", "", PRODUCTOS[[#This Row],[CODIGO]])</f>
        <v>SOU-LAPNP-003</v>
      </c>
      <c r="C978" s="12" t="str">
        <f>IF(GENERAL[[#This Row],[CODIGO]]="", "", VLOOKUP(GENERAL[[#This Row],[CODIGO]], PRODUCTOS[#All], 2, FALSE))</f>
        <v>Lapiceras negra c/plata</v>
      </c>
      <c r="D978" s="22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395</v>
      </c>
      <c r="E978" s="29" t="str">
        <f>IFERROR(IF(GENERAL[[#This Row],[CANTIDAD]]=0, "AGOTADO", IF(GENERAL[[#This Row],[CANTIDAD]]&lt;VLOOKUP(GENERAL[[#This Row],[CODIGO]], PRODUCTOS[#All], 3, FALSE), "MENOR AL MINIMO", "")), "")</f>
        <v/>
      </c>
      <c r="F978" s="41">
        <f>IF(OR(GENERAL[[#This Row],[CODIGO]]="", GENERAL[[#This Row],[CANTIDAD]]=""), "", VLOOKUP(GENERAL[[#This Row],[CODIGO]], PRODUCTOS[#All], 4, FALSE) * GENERAL[[#This Row],[CANTIDAD]])</f>
        <v>2022.4</v>
      </c>
      <c r="H978" s="62">
        <f>SUM(F708:F979)</f>
        <v>82397.689999999988</v>
      </c>
      <c r="T978" s="8"/>
    </row>
    <row r="979" spans="2:20" x14ac:dyDescent="0.2">
      <c r="B979" s="11" t="str">
        <f>IF(PRODUCTOS[[#This Row],[CODIGO]]="", "", PRODUCTOS[[#This Row],[CODIGO]])</f>
        <v>SOU-LAPPLB-033</v>
      </c>
      <c r="C979" s="6" t="str">
        <f>IF(GENERAL[[#This Row],[CODIGO]]="", "", VLOOKUP(GENERAL[[#This Row],[CODIGO]], PRODUCTOS[#All], 2, FALSE))</f>
        <v>Lapiceras plata c/blanco</v>
      </c>
      <c r="D97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276</v>
      </c>
      <c r="E979" s="28" t="str">
        <f>IFERROR(IF(GENERAL[[#This Row],[CANTIDAD]]=0, "AGOTADO", IF(GENERAL[[#This Row],[CANTIDAD]]&lt;VLOOKUP(GENERAL[[#This Row],[CODIGO]], PRODUCTOS[#All], 3, FALSE), "MENOR AL MINIMO", "")), "")</f>
        <v/>
      </c>
      <c r="F979" s="39">
        <f>IF(OR(GENERAL[[#This Row],[CODIGO]]="", GENERAL[[#This Row],[CANTIDAD]]=""), "", VLOOKUP(GENERAL[[#This Row],[CODIGO]], PRODUCTOS[#All], 4, FALSE) * GENERAL[[#This Row],[CANTIDAD]])</f>
        <v>1413.1200000000001</v>
      </c>
      <c r="T979" s="8"/>
    </row>
    <row r="980" spans="2:20" x14ac:dyDescent="0.2">
      <c r="B980" s="11" t="str">
        <f>IF(PRODUCTOS[[#This Row],[CODIGO]]="", "", PRODUCTOS[[#This Row],[CODIGO]])</f>
        <v>SOU-LAPPLN-34</v>
      </c>
      <c r="C980" s="6" t="str">
        <f>IF(GENERAL[[#This Row],[CODIGO]]="", "", VLOOKUP(GENERAL[[#This Row],[CODIGO]], PRODUCTOS[#All], 2, FALSE))</f>
        <v>Lapiceras plata c/negro</v>
      </c>
      <c r="D98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294</v>
      </c>
      <c r="E980" s="28" t="str">
        <f>IFERROR(IF(GENERAL[[#This Row],[CANTIDAD]]=0, "AGOTADO", IF(GENERAL[[#This Row],[CANTIDAD]]&lt;VLOOKUP(GENERAL[[#This Row],[CODIGO]], PRODUCTOS[#All], 3, FALSE), "MENOR AL MINIMO", "")), "")</f>
        <v/>
      </c>
      <c r="F980" s="39">
        <f>IF(OR(GENERAL[[#This Row],[CODIGO]]="", GENERAL[[#This Row],[CANTIDAD]]=""), "", VLOOKUP(GENERAL[[#This Row],[CODIGO]], PRODUCTOS[#All], 4, FALSE) * GENERAL[[#This Row],[CANTIDAD]])</f>
        <v>1505.28</v>
      </c>
      <c r="T980" s="8"/>
    </row>
    <row r="981" spans="2:20" x14ac:dyDescent="0.2">
      <c r="B981" s="11" t="str">
        <f>IF(PRODUCTOS[[#This Row],[CODIGO]]="", "", PRODUCTOS[[#This Row],[CODIGO]])</f>
        <v>SOU-MOCHN-006</v>
      </c>
      <c r="C981" s="6" t="str">
        <f>IF(GENERAL[[#This Row],[CODIGO]]="", "", VLOOKUP(GENERAL[[#This Row],[CODIGO]], PRODUCTOS[#All], 2, FALSE))</f>
        <v xml:space="preserve">Mochilas naranjas </v>
      </c>
      <c r="D98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163</v>
      </c>
      <c r="E981" s="28" t="str">
        <f>IFERROR(IF(GENERAL[[#This Row],[CANTIDAD]]=0, "AGOTADO", IF(GENERAL[[#This Row],[CANTIDAD]]&lt;VLOOKUP(GENERAL[[#This Row],[CODIGO]], PRODUCTOS[#All], 3, FALSE), "MENOR AL MINIMO", "")), "")</f>
        <v/>
      </c>
      <c r="F981" s="39">
        <f>IF(OR(GENERAL[[#This Row],[CODIGO]]="", GENERAL[[#This Row],[CANTIDAD]]=""), "", VLOOKUP(GENERAL[[#This Row],[CODIGO]], PRODUCTOS[#All], 4, FALSE) * GENERAL[[#This Row],[CANTIDAD]])</f>
        <v>2013.05</v>
      </c>
      <c r="T981" s="8"/>
    </row>
    <row r="982" spans="2:20" x14ac:dyDescent="0.2">
      <c r="B982" s="37" t="str">
        <f>IF(PRODUCTOS[[#This Row],[CODIGO]]="", "", PRODUCTOS[[#This Row],[CODIGO]])</f>
        <v>SOU-PORTLL-027</v>
      </c>
      <c r="C982" s="12" t="str">
        <f>IF(GENERAL[[#This Row],[CODIGO]]="", "", VLOOKUP(GENERAL[[#This Row],[CODIGO]], PRODUCTOS[#All], 2, FALSE))</f>
        <v>Portallaves</v>
      </c>
      <c r="D982" s="22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16</v>
      </c>
      <c r="E982" s="29" t="str">
        <f>IFERROR(IF(GENERAL[[#This Row],[CANTIDAD]]=0, "AGOTADO", IF(GENERAL[[#This Row],[CANTIDAD]]&lt;VLOOKUP(GENERAL[[#This Row],[CODIGO]], PRODUCTOS[#All], 3, FALSE), "MENOR AL MINIMO", "")), "")</f>
        <v/>
      </c>
      <c r="F982" s="41">
        <f>IF(OR(GENERAL[[#This Row],[CODIGO]]="", GENERAL[[#This Row],[CANTIDAD]]=""), "", VLOOKUP(GENERAL[[#This Row],[CODIGO]], PRODUCTOS[#All], 4, FALSE) * GENERAL[[#This Row],[CANTIDAD]])</f>
        <v>1200</v>
      </c>
      <c r="T982" s="8"/>
    </row>
    <row r="983" spans="2:20" x14ac:dyDescent="0.2">
      <c r="B983" s="11" t="str">
        <f>IF(PRODUCTOS[[#This Row],[CODIGO]]="", "", PRODUCTOS[[#This Row],[CODIGO]])</f>
        <v>SOU-TERM-024</v>
      </c>
      <c r="C983" s="6" t="str">
        <f>IF(GENERAL[[#This Row],[CODIGO]]="", "", VLOOKUP(GENERAL[[#This Row],[CODIGO]], PRODUCTOS[#All], 2, FALSE))</f>
        <v xml:space="preserve">Termos </v>
      </c>
      <c r="D98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83" s="28" t="str">
        <f>IFERROR(IF(GENERAL[[#This Row],[CANTIDAD]]=0, "AGOTADO", IF(GENERAL[[#This Row],[CANTIDAD]]&lt;VLOOKUP(GENERAL[[#This Row],[CODIGO]], PRODUCTOS[#All], 3, FALSE), "MENOR AL MINIMO", "")), "")</f>
        <v/>
      </c>
      <c r="F983" s="39">
        <f>IF(OR(GENERAL[[#This Row],[CODIGO]]="", GENERAL[[#This Row],[CANTIDAD]]=""), "", VLOOKUP(GENERAL[[#This Row],[CODIGO]], PRODUCTOS[#All], 4, FALSE) * GENERAL[[#This Row],[CANTIDAD]])</f>
        <v>216</v>
      </c>
      <c r="T983" s="8"/>
    </row>
    <row r="984" spans="2:20" x14ac:dyDescent="0.2">
      <c r="B984" s="37" t="str">
        <f>IF(PRODUCTOS[[#This Row],[CODIGO]]="", "", PRODUCTOS[[#This Row],[CODIGO]])</f>
        <v>SOU-TERMDI-028</v>
      </c>
      <c r="C984" s="12" t="str">
        <f>IF(GENERAL[[#This Row],[CODIGO]]="", "", VLOOKUP(GENERAL[[#This Row],[CODIGO]], PRODUCTOS[#All], 2, FALSE))</f>
        <v xml:space="preserve">Termo digital </v>
      </c>
      <c r="D984" s="22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12</v>
      </c>
      <c r="E984" s="29" t="str">
        <f>IFERROR(IF(GENERAL[[#This Row],[CANTIDAD]]=0, "AGOTADO", IF(GENERAL[[#This Row],[CANTIDAD]]&lt;VLOOKUP(GENERAL[[#This Row],[CODIGO]], PRODUCTOS[#All], 3, FALSE), "MENOR AL MINIMO", "")), "")</f>
        <v/>
      </c>
      <c r="F984" s="41">
        <f>IF(OR(GENERAL[[#This Row],[CODIGO]]="", GENERAL[[#This Row],[CANTIDAD]]=""), "", VLOOKUP(GENERAL[[#This Row],[CODIGO]], PRODUCTOS[#All], 4, FALSE) * GENERAL[[#This Row],[CANTIDAD]])</f>
        <v>1080</v>
      </c>
      <c r="T984" s="8"/>
    </row>
    <row r="985" spans="2:20" x14ac:dyDescent="0.2">
      <c r="B985" s="11" t="str">
        <f>IF(PRODUCTOS[[#This Row],[CODIGO]]="", "", PRODUCTOS[[#This Row],[CODIGO]])</f>
        <v>SOU-VAMA-035</v>
      </c>
      <c r="C985" s="6" t="str">
        <f>IF(GENERAL[[#This Row],[CODIGO]]="", "", VLOOKUP(GENERAL[[#This Row],[CODIGO]], PRODUCTOS[#All], 2, FALSE))</f>
        <v>Vaso mágico c/tapa 710ml</v>
      </c>
      <c r="D98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100</v>
      </c>
      <c r="E985" s="28" t="str">
        <f>IFERROR(IF(GENERAL[[#This Row],[CANTIDAD]]=0, "AGOTADO", IF(GENERAL[[#This Row],[CANTIDAD]]&lt;VLOOKUP(GENERAL[[#This Row],[CODIGO]], PRODUCTOS[#All], 3, FALSE), "MENOR AL MINIMO", "")), "")</f>
        <v/>
      </c>
      <c r="F985" s="39">
        <f>IF(OR(GENERAL[[#This Row],[CODIGO]]="", GENERAL[[#This Row],[CANTIDAD]]=""), "", VLOOKUP(GENERAL[[#This Row],[CODIGO]], PRODUCTOS[#All], 4, FALSE) * GENERAL[[#This Row],[CANTIDAD]])</f>
        <v>0</v>
      </c>
      <c r="T985" s="8"/>
    </row>
    <row r="986" spans="2:20" x14ac:dyDescent="0.2">
      <c r="B986" s="11" t="str">
        <f>IF(PRODUCTOS[[#This Row],[CODIGO]]="", "", PRODUCTOS[[#This Row],[CODIGO]])</f>
        <v>SOU-VANE-011</v>
      </c>
      <c r="C986" s="6" t="str">
        <f>IF(GENERAL[[#This Row],[CODIGO]]="", "", VLOOKUP(GENERAL[[#This Row],[CODIGO]], PRODUCTOS[#All], 2, FALSE))</f>
        <v>Vasos negros</v>
      </c>
      <c r="D986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35</v>
      </c>
      <c r="E986" s="28" t="str">
        <f>IFERROR(IF(GENERAL[[#This Row],[CANTIDAD]]=0, "AGOTADO", IF(GENERAL[[#This Row],[CANTIDAD]]&lt;VLOOKUP(GENERAL[[#This Row],[CODIGO]], PRODUCTOS[#All], 3, FALSE), "MENOR AL MINIMO", "")), "")</f>
        <v/>
      </c>
      <c r="F986" s="39">
        <f>IF(OR(GENERAL[[#This Row],[CODIGO]]="", GENERAL[[#This Row],[CANTIDAD]]=""), "", VLOOKUP(GENERAL[[#This Row],[CODIGO]], PRODUCTOS[#All], 4, FALSE) * GENERAL[[#This Row],[CANTIDAD]])</f>
        <v>980</v>
      </c>
      <c r="T986" s="8"/>
    </row>
    <row r="987" spans="2:20" x14ac:dyDescent="0.2">
      <c r="B987" s="37" t="str">
        <f>IF(PRODUCTOS[[#This Row],[CODIGO]]="", "", PRODUCTOS[[#This Row],[CODIGO]])</f>
        <v>SOU-GOTRU-36</v>
      </c>
      <c r="C987" s="12" t="str">
        <f>IF(GENERAL[[#This Row],[CODIGO]]="", "", VLOOKUP(GENERAL[[#This Row],[CODIGO]], PRODUCTOS[#All], 2, FALSE))</f>
        <v xml:space="preserve">Gorras trucker </v>
      </c>
      <c r="D987" s="22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46</v>
      </c>
      <c r="E987" s="29" t="str">
        <f>IFERROR(IF(GENERAL[[#This Row],[CANTIDAD]]=0, "AGOTADO", IF(GENERAL[[#This Row],[CANTIDAD]]&lt;VLOOKUP(GENERAL[[#This Row],[CODIGO]], PRODUCTOS[#All], 3, FALSE), "MENOR AL MINIMO", "")), "")</f>
        <v/>
      </c>
      <c r="F987" s="41" t="e">
        <f>IF(OR(GENERAL[[#This Row],[CODIGO]]="", GENERAL[[#This Row],[CANTIDAD]]=""), "", VLOOKUP(GENERAL[[#This Row],[CODIGO]], PRODUCTOS[#All], 4, FALSE) * GENERAL[[#This Row],[CANTIDAD]])</f>
        <v>#VALUE!</v>
      </c>
      <c r="T987" s="8"/>
    </row>
    <row r="988" spans="2:20" x14ac:dyDescent="0.2">
      <c r="B988" s="11" t="str">
        <f>IF(PRODUCTOS[[#This Row],[CODIGO]]="", "", PRODUCTOS[[#This Row],[CODIGO]])</f>
        <v/>
      </c>
      <c r="C988" s="6" t="str">
        <f>IF(GENERAL[[#This Row],[CODIGO]]="", "", VLOOKUP(GENERAL[[#This Row],[CODIGO]], PRODUCTOS[#All], 2, FALSE))</f>
        <v/>
      </c>
      <c r="D98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988" s="28" t="str">
        <f>IFERROR(IF(GENERAL[[#This Row],[CANTIDAD]]=0, "AGOTADO", IF(GENERAL[[#This Row],[CANTIDAD]]&lt;VLOOKUP(GENERAL[[#This Row],[CODIGO]], PRODUCTOS[#All], 3, FALSE), "MENOR AL MINIMO", "")), "")</f>
        <v>AGOTADO</v>
      </c>
      <c r="F988" s="39" t="str">
        <f>IF(OR(GENERAL[[#This Row],[CODIGO]]="", GENERAL[[#This Row],[CANTIDAD]]=""), "", VLOOKUP(GENERAL[[#This Row],[CODIGO]], PRODUCTOS[#All], 4, FALSE) * GENERAL[[#This Row],[CANTIDAD]])</f>
        <v/>
      </c>
      <c r="T988" s="8"/>
    </row>
    <row r="989" spans="2:20" x14ac:dyDescent="0.2">
      <c r="B989" s="11" t="str">
        <f>IF(PRODUCTOS[[#This Row],[CODIGO]]="", "", PRODUCTOS[[#This Row],[CODIGO]])</f>
        <v>HER-TROQML-029</v>
      </c>
      <c r="C989" s="6" t="str">
        <f>IF(GENERAL[[#This Row],[CODIGO]]="", "", VLOOKUP(GENERAL[[#This Row],[CODIGO]], PRODUCTOS[#All], 2, FALSE))</f>
        <v>Troqueles manuales letras 8mm</v>
      </c>
      <c r="D98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989" s="28" t="str">
        <f>IFERROR(IF(GENERAL[[#This Row],[CANTIDAD]]=0, "AGOTADO", IF(GENERAL[[#This Row],[CANTIDAD]]&lt;VLOOKUP(GENERAL[[#This Row],[CODIGO]], PRODUCTOS[#All], 3, FALSE), "MENOR AL MINIMO", "")), "")</f>
        <v>AGOTADO</v>
      </c>
      <c r="F989" s="39">
        <f>IF(OR(GENERAL[[#This Row],[CODIGO]]="", GENERAL[[#This Row],[CANTIDAD]]=""), "", VLOOKUP(GENERAL[[#This Row],[CODIGO]], PRODUCTOS[#All], 4, FALSE) * GENERAL[[#This Row],[CANTIDAD]])</f>
        <v>0</v>
      </c>
      <c r="T989" s="8"/>
    </row>
    <row r="990" spans="2:20" x14ac:dyDescent="0.2">
      <c r="B990" s="11" t="str">
        <f>IF(PRODUCTOS[[#This Row],[CODIGO]]="", "", PRODUCTOS[[#This Row],[CODIGO]])</f>
        <v>HER-TROQMN-030</v>
      </c>
      <c r="C990" s="6" t="str">
        <f>IF(GENERAL[[#This Row],[CODIGO]]="", "", VLOOKUP(GENERAL[[#This Row],[CODIGO]], PRODUCTOS[#All], 2, FALSE))</f>
        <v>Troqueles manuales números 8mm</v>
      </c>
      <c r="D99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990" s="28" t="str">
        <f>IFERROR(IF(GENERAL[[#This Row],[CANTIDAD]]=0, "AGOTADO", IF(GENERAL[[#This Row],[CANTIDAD]]&lt;VLOOKUP(GENERAL[[#This Row],[CODIGO]], PRODUCTOS[#All], 3, FALSE), "MENOR AL MINIMO", "")), "")</f>
        <v>AGOTADO</v>
      </c>
      <c r="F990" s="39">
        <f>IF(OR(GENERAL[[#This Row],[CODIGO]]="", GENERAL[[#This Row],[CANTIDAD]]=""), "", VLOOKUP(GENERAL[[#This Row],[CODIGO]], PRODUCTOS[#All], 4, FALSE) * GENERAL[[#This Row],[CANTIDAD]])</f>
        <v>0</v>
      </c>
      <c r="T990" s="8"/>
    </row>
    <row r="991" spans="2:20" x14ac:dyDescent="0.2">
      <c r="B991" s="11" t="str">
        <f>IF(PRODUCTOS[[#This Row],[CODIGO]]="", "", PRODUCTOS[[#This Row],[CODIGO]])</f>
        <v>FER-GATV-20T</v>
      </c>
      <c r="C991" s="6" t="str">
        <f>IF(GENERAL[[#This Row],[CODIGO]]="", "", VLOOKUP(GENERAL[[#This Row],[CODIGO]], PRODUCTOS[#All], 2, FALSE))</f>
        <v xml:space="preserve">Gato vertical </v>
      </c>
      <c r="D99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91" s="28" t="str">
        <f>IFERROR(IF(GENERAL[[#This Row],[CANTIDAD]]=0, "AGOTADO", IF(GENERAL[[#This Row],[CANTIDAD]]&lt;VLOOKUP(GENERAL[[#This Row],[CODIGO]], PRODUCTOS[#All], 3, FALSE), "MENOR AL MINIMO", "")), "")</f>
        <v/>
      </c>
      <c r="F991" s="39">
        <f>IF(OR(GENERAL[[#This Row],[CODIGO]]="", GENERAL[[#This Row],[CANTIDAD]]=""), "", VLOOKUP(GENERAL[[#This Row],[CODIGO]], PRODUCTOS[#All], 4, FALSE) * GENERAL[[#This Row],[CANTIDAD]])</f>
        <v>1440</v>
      </c>
      <c r="T991" s="8"/>
    </row>
    <row r="992" spans="2:20" x14ac:dyDescent="0.2">
      <c r="B992" s="11" t="str">
        <f>IF(PRODUCTOS[[#This Row],[CODIGO]]="", "", PRODUCTOS[[#This Row],[CODIGO]])</f>
        <v>FER-CAIM-CAD</v>
      </c>
      <c r="C992" s="6" t="str">
        <f>IF(GENERAL[[#This Row],[CODIGO]]="", "", VLOOKUP(GENERAL[[#This Row],[CODIGO]], PRODUCTOS[#All], 2, FALSE))</f>
        <v xml:space="preserve">Caiman de cadena </v>
      </c>
      <c r="D99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</v>
      </c>
      <c r="E992" s="28" t="str">
        <f>IFERROR(IF(GENERAL[[#This Row],[CANTIDAD]]=0, "AGOTADO", IF(GENERAL[[#This Row],[CANTIDAD]]&lt;VLOOKUP(GENERAL[[#This Row],[CODIGO]], PRODUCTOS[#All], 3, FALSE), "MENOR AL MINIMO", "")), "")</f>
        <v/>
      </c>
      <c r="F992" s="39">
        <f>IF(OR(GENERAL[[#This Row],[CODIGO]]="", GENERAL[[#This Row],[CANTIDAD]]=""), "", VLOOKUP(GENERAL[[#This Row],[CODIGO]], PRODUCTOS[#All], 4, FALSE) * GENERAL[[#This Row],[CANTIDAD]])</f>
        <v>190</v>
      </c>
      <c r="T992" s="8"/>
    </row>
    <row r="993" spans="2:20" x14ac:dyDescent="0.2">
      <c r="B993" s="11" t="str">
        <f>IF(PRODUCTOS[[#This Row],[CODIGO]]="", "", PRODUCTOS[[#This Row],[CODIGO]])</f>
        <v>FER-JPDP-SHAW</v>
      </c>
      <c r="C993" s="6" t="str">
        <f>IF(GENERAL[[#This Row],[CODIGO]]="", "", VLOOKUP(GENERAL[[#This Row],[CODIGO]], PRODUCTOS[#All], 2, FALSE))</f>
        <v>Juego de pinzas de presión SHAWTY</v>
      </c>
      <c r="D99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993" s="28" t="str">
        <f>IFERROR(IF(GENERAL[[#This Row],[CANTIDAD]]=0, "AGOTADO", IF(GENERAL[[#This Row],[CANTIDAD]]&lt;VLOOKUP(GENERAL[[#This Row],[CODIGO]], PRODUCTOS[#All], 3, FALSE), "MENOR AL MINIMO", "")), "")</f>
        <v/>
      </c>
      <c r="F993" s="39">
        <f>IF(OR(GENERAL[[#This Row],[CODIGO]]="", GENERAL[[#This Row],[CANTIDAD]]=""), "", VLOOKUP(GENERAL[[#This Row],[CODIGO]], PRODUCTOS[#All], 4, FALSE) * GENERAL[[#This Row],[CANTIDAD]])</f>
        <v>680</v>
      </c>
      <c r="T993" s="8"/>
    </row>
    <row r="994" spans="2:20" x14ac:dyDescent="0.2">
      <c r="B994" s="11" t="str">
        <f>IF(PRODUCTOS[[#This Row],[CODIGO]]="", "", PRODUCTOS[[#This Row],[CODIGO]])</f>
        <v>FER-CINCO-ANC</v>
      </c>
      <c r="C994" s="6" t="str">
        <f>IF(GENERAL[[#This Row],[CODIGO]]="", "", VLOOKUP(GENERAL[[#This Row],[CODIGO]], PRODUCTOS[#All], 2, FALSE))</f>
        <v xml:space="preserve">Cintas de colores anchas </v>
      </c>
      <c r="D994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24</v>
      </c>
      <c r="E994" s="28" t="str">
        <f>IFERROR(IF(GENERAL[[#This Row],[CANTIDAD]]=0, "AGOTADO", IF(GENERAL[[#This Row],[CANTIDAD]]&lt;VLOOKUP(GENERAL[[#This Row],[CODIGO]], PRODUCTOS[#All], 3, FALSE), "MENOR AL MINIMO", "")), "")</f>
        <v/>
      </c>
      <c r="F994" s="39">
        <f>IF(OR(GENERAL[[#This Row],[CODIGO]]="", GENERAL[[#This Row],[CANTIDAD]]=""), "", VLOOKUP(GENERAL[[#This Row],[CODIGO]], PRODUCTOS[#All], 4, FALSE) * GENERAL[[#This Row],[CANTIDAD]])</f>
        <v>420</v>
      </c>
      <c r="T994" s="8"/>
    </row>
    <row r="995" spans="2:20" x14ac:dyDescent="0.2">
      <c r="B995" s="11" t="str">
        <f>IF(PRODUCTOS[[#This Row],[CODIGO]]="", "", PRODUCTOS[[#This Row],[CODIGO]])</f>
        <v/>
      </c>
      <c r="C995" s="6" t="str">
        <f>IF(GENERAL[[#This Row],[CODIGO]]="", "", VLOOKUP(GENERAL[[#This Row],[CODIGO]], PRODUCTOS[#All], 2, FALSE))</f>
        <v/>
      </c>
      <c r="D99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995" s="28" t="str">
        <f>IFERROR(IF(GENERAL[[#This Row],[CANTIDAD]]=0, "AGOTADO", IF(GENERAL[[#This Row],[CANTIDAD]]&lt;VLOOKUP(GENERAL[[#This Row],[CODIGO]], PRODUCTOS[#All], 3, FALSE), "MENOR AL MINIMO", "")), "")</f>
        <v>AGOTADO</v>
      </c>
      <c r="F995" s="39" t="str">
        <f>IF(OR(GENERAL[[#This Row],[CODIGO]]="", GENERAL[[#This Row],[CANTIDAD]]=""), "", VLOOKUP(GENERAL[[#This Row],[CODIGO]], PRODUCTOS[#All], 4, FALSE) * GENERAL[[#This Row],[CANTIDAD]])</f>
        <v/>
      </c>
      <c r="T995" s="8"/>
    </row>
    <row r="996" spans="2:20" x14ac:dyDescent="0.2">
      <c r="B996" s="37" t="str">
        <f>IF(PRODUCTOS[[#This Row],[CODIGO]]="", "", PRODUCTOS[[#This Row],[CODIGO]])</f>
        <v/>
      </c>
      <c r="C996" s="12" t="str">
        <f>IF(GENERAL[[#This Row],[CODIGO]]="", "", VLOOKUP(GENERAL[[#This Row],[CODIGO]], PRODUCTOS[#All], 2, FALSE))</f>
        <v/>
      </c>
      <c r="D996" s="22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996" s="29" t="str">
        <f>IFERROR(IF(GENERAL[[#This Row],[CANTIDAD]]=0, "AGOTADO", IF(GENERAL[[#This Row],[CANTIDAD]]&lt;VLOOKUP(GENERAL[[#This Row],[CODIGO]], PRODUCTOS[#All], 3, FALSE), "MENOR AL MINIMO", "")), "")</f>
        <v>AGOTADO</v>
      </c>
      <c r="F996" s="41" t="str">
        <f>IF(OR(GENERAL[[#This Row],[CODIGO]]="", GENERAL[[#This Row],[CANTIDAD]]=""), "", VLOOKUP(GENERAL[[#This Row],[CODIGO]], PRODUCTOS[#All], 4, FALSE) * GENERAL[[#This Row],[CANTIDAD]])</f>
        <v/>
      </c>
      <c r="T996" s="8"/>
    </row>
    <row r="997" spans="2:20" x14ac:dyDescent="0.2">
      <c r="B997" s="11" t="str">
        <f>IF(PRODUCTOS[[#This Row],[CODIGO]]="", "", PRODUCTOS[[#This Row],[CODIGO]])</f>
        <v/>
      </c>
      <c r="C997" s="6" t="str">
        <f>IF(GENERAL[[#This Row],[CODIGO]]="", "", VLOOKUP(GENERAL[[#This Row],[CODIGO]], PRODUCTOS[#All], 2, FALSE))</f>
        <v/>
      </c>
      <c r="D997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997" s="28" t="str">
        <f>IFERROR(IF(GENERAL[[#This Row],[CANTIDAD]]=0, "AGOTADO", IF(GENERAL[[#This Row],[CANTIDAD]]&lt;VLOOKUP(GENERAL[[#This Row],[CODIGO]], PRODUCTOS[#All], 3, FALSE), "MENOR AL MINIMO", "")), "")</f>
        <v>AGOTADO</v>
      </c>
      <c r="F997" s="39" t="str">
        <f>IF(OR(GENERAL[[#This Row],[CODIGO]]="", GENERAL[[#This Row],[CANTIDAD]]=""), "", VLOOKUP(GENERAL[[#This Row],[CODIGO]], PRODUCTOS[#All], 4, FALSE) * GENERAL[[#This Row],[CANTIDAD]])</f>
        <v/>
      </c>
      <c r="T997" s="8"/>
    </row>
    <row r="998" spans="2:20" x14ac:dyDescent="0.2">
      <c r="B998" s="11" t="str">
        <f>IF(PRODUCTOS[[#This Row],[CODIGO]]="", "", PRODUCTOS[[#This Row],[CODIGO]])</f>
        <v/>
      </c>
      <c r="C998" s="6" t="str">
        <f>IF(GENERAL[[#This Row],[CODIGO]]="", "", VLOOKUP(GENERAL[[#This Row],[CODIGO]], PRODUCTOS[#All], 2, FALSE))</f>
        <v/>
      </c>
      <c r="D99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998" s="28" t="str">
        <f>IFERROR(IF(GENERAL[[#This Row],[CANTIDAD]]=0, "AGOTADO", IF(GENERAL[[#This Row],[CANTIDAD]]&lt;VLOOKUP(GENERAL[[#This Row],[CODIGO]], PRODUCTOS[#All], 3, FALSE), "MENOR AL MINIMO", "")), "")</f>
        <v>AGOTADO</v>
      </c>
      <c r="F998" s="39" t="str">
        <f>IF(OR(GENERAL[[#This Row],[CODIGO]]="", GENERAL[[#This Row],[CANTIDAD]]=""), "", VLOOKUP(GENERAL[[#This Row],[CODIGO]], PRODUCTOS[#All], 4, FALSE) * GENERAL[[#This Row],[CANTIDAD]])</f>
        <v/>
      </c>
      <c r="T998" s="8"/>
    </row>
    <row r="999" spans="2:20" x14ac:dyDescent="0.2">
      <c r="B999" s="11" t="str">
        <f>IF(PRODUCTOS[[#This Row],[CODIGO]]="", "", PRODUCTOS[[#This Row],[CODIGO]])</f>
        <v>FER-LUMLED-087</v>
      </c>
      <c r="C999" s="6" t="str">
        <f>IF(GENERAL[[#This Row],[CODIGO]]="", "", VLOOKUP(GENERAL[[#This Row],[CODIGO]], PRODUCTOS[#All], 2, FALSE))</f>
        <v>Luminaria interior Led</v>
      </c>
      <c r="D999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3</v>
      </c>
      <c r="E999" s="28" t="str">
        <f>IFERROR(IF(GENERAL[[#This Row],[CANTIDAD]]=0, "AGOTADO", IF(GENERAL[[#This Row],[CANTIDAD]]&lt;VLOOKUP(GENERAL[[#This Row],[CODIGO]], PRODUCTOS[#All], 3, FALSE), "MENOR AL MINIMO", "")), "")</f>
        <v/>
      </c>
      <c r="F999" s="39">
        <f>IF(OR(GENERAL[[#This Row],[CODIGO]]="", GENERAL[[#This Row],[CANTIDAD]]=""), "", VLOOKUP(GENERAL[[#This Row],[CODIGO]], PRODUCTOS[#All], 4, FALSE) * GENERAL[[#This Row],[CANTIDAD]])</f>
        <v>420</v>
      </c>
      <c r="T999" s="8"/>
    </row>
    <row r="1000" spans="2:20" x14ac:dyDescent="0.2">
      <c r="B1000" s="11" t="str">
        <f>IF(PRODUCTOS[[#This Row],[CODIGO]]="", "", PRODUCTOS[[#This Row],[CODIGO]])</f>
        <v>FER-REFLED-088</v>
      </c>
      <c r="C1000" s="6" t="str">
        <f>IF(GENERAL[[#This Row],[CODIGO]]="", "", VLOOKUP(GENERAL[[#This Row],[CODIGO]], PRODUCTOS[#All], 2, FALSE))</f>
        <v>Reflector Led 20w</v>
      </c>
      <c r="D1000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000" s="28" t="str">
        <f>IFERROR(IF(GENERAL[[#This Row],[CANTIDAD]]=0, "AGOTADO", IF(GENERAL[[#This Row],[CANTIDAD]]&lt;VLOOKUP(GENERAL[[#This Row],[CODIGO]], PRODUCTOS[#All], 3, FALSE), "MENOR AL MINIMO", "")), "")</f>
        <v/>
      </c>
      <c r="F1000" s="39">
        <f>IF(OR(GENERAL[[#This Row],[CODIGO]]="", GENERAL[[#This Row],[CANTIDAD]]=""), "", VLOOKUP(GENERAL[[#This Row],[CODIGO]], PRODUCTOS[#All], 4, FALSE) * GENERAL[[#This Row],[CANTIDAD]])</f>
        <v>287.60000000000002</v>
      </c>
      <c r="T1000" s="8"/>
    </row>
    <row r="1001" spans="2:20" x14ac:dyDescent="0.2">
      <c r="B1001" s="11" t="str">
        <f>IF(PRODUCTOS[[#This Row],[CODIGO]]="", "", PRODUCTOS[[#This Row],[CODIGO]])</f>
        <v>FER-EXTNA-089</v>
      </c>
      <c r="C1001" s="6" t="str">
        <f>IF(GENERAL[[#This Row],[CODIGO]]="", "", VLOOKUP(GENERAL[[#This Row],[CODIGO]], PRODUCTOS[#All], 2, FALSE))</f>
        <v>Extension Naranja 5m</v>
      </c>
      <c r="D1001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001" s="28" t="str">
        <f>IFERROR(IF(GENERAL[[#This Row],[CANTIDAD]]=0, "AGOTADO", IF(GENERAL[[#This Row],[CANTIDAD]]&lt;VLOOKUP(GENERAL[[#This Row],[CODIGO]], PRODUCTOS[#All], 3, FALSE), "MENOR AL MINIMO", "")), "")</f>
        <v/>
      </c>
      <c r="F1001" s="39">
        <f>IF(OR(GENERAL[[#This Row],[CODIGO]]="", GENERAL[[#This Row],[CANTIDAD]]=""), "", VLOOKUP(GENERAL[[#This Row],[CODIGO]], PRODUCTOS[#All], 4, FALSE) * GENERAL[[#This Row],[CANTIDAD]])</f>
        <v>210</v>
      </c>
      <c r="T1001" s="8"/>
    </row>
    <row r="1002" spans="2:20" x14ac:dyDescent="0.2">
      <c r="B1002" s="11" t="str">
        <f>IF(PRODUCTOS[[#This Row],[CODIGO]]="", "", PRODUCTOS[[#This Row],[CODIGO]])</f>
        <v>FER-LUMDP-090</v>
      </c>
      <c r="C1002" s="6" t="str">
        <f>IF(GENERAL[[#This Row],[CODIGO]]="", "", VLOOKUP(GENERAL[[#This Row],[CODIGO]], PRODUCTOS[#All], 2, FALSE))</f>
        <v xml:space="preserve">Luminario de pinza </v>
      </c>
      <c r="D1002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002" s="28" t="str">
        <f>IFERROR(IF(GENERAL[[#This Row],[CANTIDAD]]=0, "AGOTADO", IF(GENERAL[[#This Row],[CANTIDAD]]&lt;VLOOKUP(GENERAL[[#This Row],[CODIGO]], PRODUCTOS[#All], 3, FALSE), "MENOR AL MINIMO", "")), "")</f>
        <v/>
      </c>
      <c r="F1002" s="39">
        <f>IF(OR(GENERAL[[#This Row],[CODIGO]]="", GENERAL[[#This Row],[CANTIDAD]]=""), "", VLOOKUP(GENERAL[[#This Row],[CODIGO]], PRODUCTOS[#All], 4, FALSE) * GENERAL[[#This Row],[CANTIDAD]])</f>
        <v>169</v>
      </c>
      <c r="T1002" s="8"/>
    </row>
    <row r="1003" spans="2:20" x14ac:dyDescent="0.2">
      <c r="B1003" s="11" t="str">
        <f>IF(PRODUCTOS[[#This Row],[CODIGO]]="", "", PRODUCTOS[[#This Row],[CODIGO]])</f>
        <v>FER-FOCLED-091</v>
      </c>
      <c r="C1003" s="6" t="str">
        <f>IF(GENERAL[[#This Row],[CODIGO]]="", "", VLOOKUP(GENERAL[[#This Row],[CODIGO]], PRODUCTOS[#All], 2, FALSE))</f>
        <v>Foco Led A19 Paq 3</v>
      </c>
      <c r="D1003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1</v>
      </c>
      <c r="E1003" s="28" t="str">
        <f>IFERROR(IF(GENERAL[[#This Row],[CANTIDAD]]=0, "AGOTADO", IF(GENERAL[[#This Row],[CANTIDAD]]&lt;VLOOKUP(GENERAL[[#This Row],[CODIGO]], PRODUCTOS[#All], 3, FALSE), "MENOR AL MINIMO", "")), "")</f>
        <v/>
      </c>
      <c r="F1003" s="39">
        <f>IF(OR(GENERAL[[#This Row],[CODIGO]]="", GENERAL[[#This Row],[CANTIDAD]]=""), "", VLOOKUP(GENERAL[[#This Row],[CODIGO]], PRODUCTOS[#All], 4, FALSE) * GENERAL[[#This Row],[CANTIDAD]])</f>
        <v>45</v>
      </c>
      <c r="T1003" s="8"/>
    </row>
    <row r="1004" spans="2:20" x14ac:dyDescent="0.2">
      <c r="B1004" s="37" t="str">
        <f>IF(PRODUCTOS[[#This Row],[CODIGO]]="", "", PRODUCTOS[[#This Row],[CODIGO]])</f>
        <v>FER-KITEM-0000</v>
      </c>
      <c r="C1004" s="12" t="str">
        <f>IF(GENERAL[[#This Row],[CODIGO]]="", "", VLOOKUP(GENERAL[[#This Row],[CODIGO]], PRODUCTOS[#All], 2, FALSE))</f>
        <v>Kit de empate 4/0</v>
      </c>
      <c r="D1004" s="22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5</v>
      </c>
      <c r="E1004" s="29" t="str">
        <f>IFERROR(IF(GENERAL[[#This Row],[CANTIDAD]]=0, "AGOTADO", IF(GENERAL[[#This Row],[CANTIDAD]]&lt;VLOOKUP(GENERAL[[#This Row],[CODIGO]], PRODUCTOS[#All], 3, FALSE), "MENOR AL MINIMO", "")), "")</f>
        <v/>
      </c>
      <c r="F1004" s="41">
        <f>IF(OR(GENERAL[[#This Row],[CODIGO]]="", GENERAL[[#This Row],[CANTIDAD]]=""), "", VLOOKUP(GENERAL[[#This Row],[CODIGO]], PRODUCTOS[#All], 4, FALSE) * GENERAL[[#This Row],[CANTIDAD]])</f>
        <v>0</v>
      </c>
      <c r="T1004" s="8"/>
    </row>
    <row r="1005" spans="2:20" x14ac:dyDescent="0.2">
      <c r="B1005" s="11"/>
      <c r="C1005" s="6" t="str">
        <f>IF(GENERAL[[#This Row],[CODIGO]]="", "", VLOOKUP(GENERAL[[#This Row],[CODIGO]], PRODUCTOS[#All], 2, FALSE))</f>
        <v/>
      </c>
      <c r="D1005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1005" s="28" t="str">
        <f>IFERROR(IF(GENERAL[[#This Row],[CANTIDAD]]=0, "AGOTADO", IF(GENERAL[[#This Row],[CANTIDAD]]&lt;VLOOKUP(GENERAL[[#This Row],[CODIGO]], PRODUCTOS[#All], 3, FALSE), "MENOR AL MINIMO", "")), "")</f>
        <v>AGOTADO</v>
      </c>
      <c r="F1005" s="39" t="str">
        <f>IF(OR(GENERAL[[#This Row],[CODIGO]]="", GENERAL[[#This Row],[CANTIDAD]]=""), "", VLOOKUP(GENERAL[[#This Row],[CODIGO]], PRODUCTOS[#All], 4, FALSE) * GENERAL[[#This Row],[CANTIDAD]])</f>
        <v/>
      </c>
      <c r="T1005" s="8"/>
    </row>
    <row r="1006" spans="2:20" x14ac:dyDescent="0.2">
      <c r="B1006" s="37" t="str">
        <f>IF(PRODUCTOS[[#This Row],[CODIGO]]="", "", PRODUCTOS[[#This Row],[CODIGO]])</f>
        <v>FER-ABR-OM2"</v>
      </c>
      <c r="C1006" s="12" t="str">
        <f>IF(GENERAL[[#This Row],[CODIGO]]="", "", VLOOKUP(GENERAL[[#This Row],[CODIGO]], PRODUCTOS[#All], 2, FALSE))</f>
        <v>Abrazadera omega 2"</v>
      </c>
      <c r="D1006" s="22">
        <v>8</v>
      </c>
      <c r="E1006" s="29" t="str">
        <f>IFERROR(IF(GENERAL[[#This Row],[CANTIDAD]]=0, "AGOTADO", IF(GENERAL[[#This Row],[CANTIDAD]]&lt;VLOOKUP(GENERAL[[#This Row],[CODIGO]], PRODUCTOS[#All], 3, FALSE), "MENOR AL MINIMO", "")), "")</f>
        <v/>
      </c>
      <c r="F1006" s="41">
        <f>IF(OR(GENERAL[[#This Row],[CODIGO]]="", GENERAL[[#This Row],[CANTIDAD]]=""), "", VLOOKUP(GENERAL[[#This Row],[CODIGO]], PRODUCTOS[#All], 4, FALSE) * GENERAL[[#This Row],[CANTIDAD]])</f>
        <v>0</v>
      </c>
      <c r="T1006" s="8"/>
    </row>
    <row r="1007" spans="2:20" x14ac:dyDescent="0.2">
      <c r="B1007" s="11" t="str">
        <f>IF(PRODUCTOS[[#This Row],[CODIGO]]="", "", PRODUCTOS[[#This Row],[CODIGO]])</f>
        <v>FER-ACEMOT-4T-10W-40</v>
      </c>
      <c r="C1007" s="6" t="str">
        <f>IF(GENERAL[[#This Row],[CODIGO]]="", "", VLOOKUP(GENERAL[[#This Row],[CODIGO]], PRODUCTOS[#All], 2, FALSE))</f>
        <v>Aceite para motor 4T 10w-.40</v>
      </c>
      <c r="D1007" s="20">
        <v>5</v>
      </c>
      <c r="E1007" s="28" t="str">
        <f>IFERROR(IF(GENERAL[[#This Row],[CANTIDAD]]=0, "AGOTADO", IF(GENERAL[[#This Row],[CANTIDAD]]&lt;VLOOKUP(GENERAL[[#This Row],[CODIGO]], PRODUCTOS[#All], 3, FALSE), "MENOR AL MINIMO", "")), "")</f>
        <v/>
      </c>
      <c r="F1007" s="39">
        <f>IF(OR(GENERAL[[#This Row],[CODIGO]]="", GENERAL[[#This Row],[CANTIDAD]]=""), "", VLOOKUP(GENERAL[[#This Row],[CODIGO]], PRODUCTOS[#All], 4, FALSE) * GENERAL[[#This Row],[CANTIDAD]])</f>
        <v>0</v>
      </c>
      <c r="T1007" s="8"/>
    </row>
    <row r="1008" spans="2:20" x14ac:dyDescent="0.2">
      <c r="B1008" s="11" t="str">
        <f>IF(PRODUCTOS[[#This Row],[CODIGO]]="", "", PRODUCTOS[[#This Row],[CODIGO]])</f>
        <v/>
      </c>
      <c r="C1008" s="6" t="str">
        <f>IF(GENERAL[[#This Row],[CODIGO]]="", "", VLOOKUP(GENERAL[[#This Row],[CODIGO]], PRODUCTOS[#All], 2, FALSE))</f>
        <v/>
      </c>
      <c r="D1008" s="20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1008" s="28" t="str">
        <f>IFERROR(IF(GENERAL[[#This Row],[CANTIDAD]]=0, "AGOTADO", IF(GENERAL[[#This Row],[CANTIDAD]]&lt;VLOOKUP(GENERAL[[#This Row],[CODIGO]], PRODUCTOS[#All], 3, FALSE), "MENOR AL MINIMO", "")), "")</f>
        <v>AGOTADO</v>
      </c>
      <c r="F1008" s="39" t="str">
        <f>IF(OR(GENERAL[[#This Row],[CODIGO]]="", GENERAL[[#This Row],[CANTIDAD]]=""), "", VLOOKUP(GENERAL[[#This Row],[CODIGO]], PRODUCTOS[#All], 4, FALSE) * GENERAL[[#This Row],[CANTIDAD]])</f>
        <v/>
      </c>
      <c r="T1008" s="8"/>
    </row>
    <row r="1009" spans="2:20" x14ac:dyDescent="0.2">
      <c r="B1009" s="37" t="str">
        <f>IF(PRODUCTOS[[#This Row],[CODIGO]]="", "", PRODUCTOS[[#This Row],[CODIGO]])</f>
        <v/>
      </c>
      <c r="C1009" s="12" t="str">
        <f>IF(GENERAL[[#This Row],[CODIGO]]="", "", VLOOKUP(GENERAL[[#This Row],[CODIGO]], PRODUCTOS[#All], 2, FALSE))</f>
        <v/>
      </c>
      <c r="D1009" s="22">
        <f>IF(
    $C$3="",
    IFERROR(
        SUMIF(INICIAL[CODIGO], GENERAL[[#This Row],[CODIGO]], INICIAL[CANTIDAD]) +
        SUMIF(ENTRADAS[CODIGO], GENERAL[[#This Row],[CODIGO]], ENTRADAS[CANTIDAD]) -
        SUMIF(SALIDAS[CODIGO], GENERAL[[#This Row],[CODIGO]], SALIDAS[CANTIDAD]),
    0),
    IFERROR(
        SUMIFS(INICIAL[CANTIDAD], INICIAL[SUCURSAL], $C$3, INICIAL[CODIGO], GENERAL[[#This Row],[CODIGO]]) +
        SUMIFS(ENTRADAS[CANTIDAD], ENTRADAS[SUCURSAL], $C$3, ENTRADAS[CODIGO], GENERAL[[#This Row],[CODIGO]]) -
        SUMIFS(SALIDAS[CANTIDAD], SALIDAS[SUCURSAL], $C$3, SALIDAS[CODIGO], GENERAL[[#This Row],[CODIGO]]),
    0)
)</f>
        <v>0</v>
      </c>
      <c r="E1009" s="29" t="str">
        <f>IFERROR(IF(GENERAL[[#This Row],[CANTIDAD]]=0, "AGOTADO", IF(GENERAL[[#This Row],[CANTIDAD]]&lt;VLOOKUP(GENERAL[[#This Row],[CODIGO]], PRODUCTOS[#All], 3, FALSE), "MENOR AL MINIMO", "")), "")</f>
        <v>AGOTADO</v>
      </c>
      <c r="F1009" s="41" t="str">
        <f>IF(OR(GENERAL[[#This Row],[CODIGO]]="", GENERAL[[#This Row],[CANTIDAD]]=""), "", VLOOKUP(GENERAL[[#This Row],[CODIGO]], PRODUCTOS[#All], 4, FALSE) * GENERAL[[#This Row],[CANTIDAD]])</f>
        <v/>
      </c>
      <c r="T1009" s="8"/>
    </row>
    <row r="1010" spans="2:20" x14ac:dyDescent="0.2">
      <c r="T1010" s="8"/>
    </row>
    <row r="1011" spans="2:20" x14ac:dyDescent="0.2">
      <c r="T1011" s="8"/>
    </row>
    <row r="1012" spans="2:20" x14ac:dyDescent="0.2">
      <c r="T1012" s="8"/>
    </row>
    <row r="1013" spans="2:20" x14ac:dyDescent="0.2">
      <c r="T1013" s="8"/>
    </row>
    <row r="1014" spans="2:20" x14ac:dyDescent="0.2">
      <c r="T1014" s="8"/>
    </row>
    <row r="1015" spans="2:20" x14ac:dyDescent="0.2">
      <c r="T1015" s="8"/>
    </row>
    <row r="1016" spans="2:20" x14ac:dyDescent="0.2">
      <c r="T1016" s="8"/>
    </row>
    <row r="1017" spans="2:20" x14ac:dyDescent="0.2">
      <c r="T1017" s="8"/>
    </row>
    <row r="1018" spans="2:20" x14ac:dyDescent="0.2">
      <c r="T1018" s="8"/>
    </row>
    <row r="1019" spans="2:20" x14ac:dyDescent="0.2">
      <c r="T1019" s="8"/>
    </row>
    <row r="1020" spans="2:20" x14ac:dyDescent="0.2">
      <c r="T1020" s="8"/>
    </row>
    <row r="1021" spans="2:20" x14ac:dyDescent="0.2">
      <c r="T1021" s="8"/>
    </row>
    <row r="1022" spans="2:20" x14ac:dyDescent="0.2">
      <c r="T1022" s="8"/>
    </row>
    <row r="1023" spans="2:20" x14ac:dyDescent="0.2">
      <c r="T1023" s="8"/>
    </row>
    <row r="1024" spans="2:20" x14ac:dyDescent="0.2">
      <c r="T1024" s="8"/>
    </row>
    <row r="1025" spans="20:20" x14ac:dyDescent="0.2">
      <c r="T1025" s="8"/>
    </row>
    <row r="1026" spans="20:20" x14ac:dyDescent="0.2">
      <c r="T1026" s="8"/>
    </row>
    <row r="1027" spans="20:20" x14ac:dyDescent="0.2">
      <c r="T1027" s="8"/>
    </row>
    <row r="1028" spans="20:20" x14ac:dyDescent="0.2">
      <c r="T1028" s="8"/>
    </row>
    <row r="1029" spans="20:20" x14ac:dyDescent="0.2">
      <c r="T1029" s="8"/>
    </row>
    <row r="1030" spans="20:20" x14ac:dyDescent="0.2">
      <c r="T1030" s="8"/>
    </row>
    <row r="1031" spans="20:20" x14ac:dyDescent="0.2">
      <c r="T1031" s="8"/>
    </row>
    <row r="1032" spans="20:20" x14ac:dyDescent="0.2">
      <c r="T1032" s="8"/>
    </row>
    <row r="1033" spans="20:20" x14ac:dyDescent="0.2">
      <c r="T1033" s="8"/>
    </row>
    <row r="1034" spans="20:20" x14ac:dyDescent="0.2">
      <c r="T1034" s="8"/>
    </row>
    <row r="1035" spans="20:20" x14ac:dyDescent="0.2">
      <c r="T1035" s="8"/>
    </row>
    <row r="1036" spans="20:20" x14ac:dyDescent="0.2">
      <c r="T1036" s="8"/>
    </row>
    <row r="1037" spans="20:20" x14ac:dyDescent="0.2">
      <c r="T1037" s="8"/>
    </row>
    <row r="1038" spans="20:20" x14ac:dyDescent="0.2">
      <c r="T1038" s="8"/>
    </row>
    <row r="1039" spans="20:20" x14ac:dyDescent="0.2">
      <c r="T1039" s="8"/>
    </row>
    <row r="1040" spans="20:20" x14ac:dyDescent="0.2">
      <c r="T1040" s="8"/>
    </row>
    <row r="1041" spans="20:20" x14ac:dyDescent="0.2">
      <c r="T1041" s="8"/>
    </row>
    <row r="1042" spans="20:20" x14ac:dyDescent="0.2">
      <c r="T1042" s="8"/>
    </row>
    <row r="1043" spans="20:20" x14ac:dyDescent="0.2">
      <c r="T1043" s="8"/>
    </row>
    <row r="1044" spans="20:20" x14ac:dyDescent="0.2">
      <c r="T1044" s="8"/>
    </row>
    <row r="1045" spans="20:20" x14ac:dyDescent="0.2">
      <c r="T1045" s="8"/>
    </row>
    <row r="1046" spans="20:20" x14ac:dyDescent="0.2">
      <c r="T1046" s="8"/>
    </row>
    <row r="1047" spans="20:20" x14ac:dyDescent="0.2">
      <c r="T1047" s="8"/>
    </row>
    <row r="1048" spans="20:20" x14ac:dyDescent="0.2">
      <c r="T1048" s="8"/>
    </row>
    <row r="1049" spans="20:20" x14ac:dyDescent="0.2">
      <c r="T1049" s="8"/>
    </row>
    <row r="1050" spans="20:20" x14ac:dyDescent="0.2">
      <c r="T1050" s="8"/>
    </row>
    <row r="1051" spans="20:20" x14ac:dyDescent="0.2">
      <c r="T1051" s="8"/>
    </row>
    <row r="1052" spans="20:20" x14ac:dyDescent="0.2">
      <c r="T1052" s="8"/>
    </row>
    <row r="1053" spans="20:20" x14ac:dyDescent="0.2">
      <c r="T1053" s="8"/>
    </row>
    <row r="1054" spans="20:20" x14ac:dyDescent="0.2">
      <c r="T1054" s="8"/>
    </row>
    <row r="1055" spans="20:20" x14ac:dyDescent="0.2">
      <c r="T1055" s="8"/>
    </row>
    <row r="1056" spans="20:20" x14ac:dyDescent="0.2">
      <c r="T1056" s="8"/>
    </row>
    <row r="1057" spans="20:20" x14ac:dyDescent="0.2">
      <c r="T1057" s="8"/>
    </row>
    <row r="1058" spans="20:20" x14ac:dyDescent="0.2">
      <c r="T1058" s="8"/>
    </row>
    <row r="1059" spans="20:20" x14ac:dyDescent="0.2">
      <c r="T1059" s="8"/>
    </row>
    <row r="1060" spans="20:20" x14ac:dyDescent="0.2">
      <c r="T1060" s="8"/>
    </row>
    <row r="1061" spans="20:20" x14ac:dyDescent="0.2">
      <c r="T1061" s="8"/>
    </row>
    <row r="1062" spans="20:20" x14ac:dyDescent="0.2">
      <c r="T1062" s="8"/>
    </row>
    <row r="1063" spans="20:20" x14ac:dyDescent="0.2">
      <c r="T1063" s="8"/>
    </row>
    <row r="1064" spans="20:20" x14ac:dyDescent="0.2">
      <c r="T1064" s="8"/>
    </row>
    <row r="1065" spans="20:20" x14ac:dyDescent="0.2">
      <c r="T1065" s="8"/>
    </row>
    <row r="1066" spans="20:20" x14ac:dyDescent="0.2">
      <c r="T1066" s="8"/>
    </row>
    <row r="1067" spans="20:20" x14ac:dyDescent="0.2">
      <c r="T1067" s="8"/>
    </row>
    <row r="1068" spans="20:20" x14ac:dyDescent="0.2">
      <c r="T1068" s="8"/>
    </row>
    <row r="1069" spans="20:20" x14ac:dyDescent="0.2">
      <c r="T1069" s="8"/>
    </row>
    <row r="1070" spans="20:20" x14ac:dyDescent="0.2">
      <c r="T1070" s="8"/>
    </row>
    <row r="1071" spans="20:20" x14ac:dyDescent="0.2">
      <c r="T1071" s="8"/>
    </row>
    <row r="1072" spans="20:20" x14ac:dyDescent="0.2">
      <c r="T1072" s="8"/>
    </row>
    <row r="1073" spans="20:20" x14ac:dyDescent="0.2">
      <c r="T1073" s="8"/>
    </row>
    <row r="1074" spans="20:20" x14ac:dyDescent="0.2">
      <c r="T1074" s="8"/>
    </row>
    <row r="1075" spans="20:20" x14ac:dyDescent="0.2">
      <c r="T1075" s="8"/>
    </row>
    <row r="1076" spans="20:20" x14ac:dyDescent="0.2">
      <c r="T1076" s="8"/>
    </row>
    <row r="1077" spans="20:20" x14ac:dyDescent="0.2">
      <c r="T1077" s="8"/>
    </row>
    <row r="1078" spans="20:20" x14ac:dyDescent="0.2">
      <c r="T1078" s="8"/>
    </row>
    <row r="1079" spans="20:20" x14ac:dyDescent="0.2">
      <c r="T1079" s="8"/>
    </row>
    <row r="1080" spans="20:20" x14ac:dyDescent="0.2">
      <c r="T1080" s="8"/>
    </row>
    <row r="1081" spans="20:20" x14ac:dyDescent="0.2">
      <c r="T1081" s="8"/>
    </row>
    <row r="1082" spans="20:20" x14ac:dyDescent="0.2">
      <c r="T1082" s="8"/>
    </row>
    <row r="1083" spans="20:20" x14ac:dyDescent="0.2">
      <c r="T1083" s="8"/>
    </row>
    <row r="1084" spans="20:20" x14ac:dyDescent="0.2">
      <c r="T1084" s="8"/>
    </row>
    <row r="1085" spans="20:20" x14ac:dyDescent="0.2">
      <c r="T1085" s="8"/>
    </row>
    <row r="1086" spans="20:20" x14ac:dyDescent="0.2">
      <c r="T1086" s="8"/>
    </row>
    <row r="1087" spans="20:20" x14ac:dyDescent="0.2">
      <c r="T1087" s="8"/>
    </row>
    <row r="1088" spans="20:20" x14ac:dyDescent="0.2">
      <c r="T1088" s="8"/>
    </row>
    <row r="1089" spans="20:20" x14ac:dyDescent="0.2">
      <c r="T1089" s="8"/>
    </row>
    <row r="1090" spans="20:20" x14ac:dyDescent="0.2">
      <c r="T1090" s="8"/>
    </row>
    <row r="1091" spans="20:20" x14ac:dyDescent="0.2">
      <c r="T1091" s="8"/>
    </row>
    <row r="1092" spans="20:20" x14ac:dyDescent="0.2">
      <c r="T1092" s="8"/>
    </row>
    <row r="1093" spans="20:20" x14ac:dyDescent="0.2">
      <c r="T1093" s="8"/>
    </row>
    <row r="1094" spans="20:20" x14ac:dyDescent="0.2">
      <c r="T1094" s="8"/>
    </row>
    <row r="1095" spans="20:20" x14ac:dyDescent="0.2">
      <c r="T1095" s="8"/>
    </row>
    <row r="1096" spans="20:20" x14ac:dyDescent="0.2">
      <c r="T1096" s="8"/>
    </row>
    <row r="1097" spans="20:20" x14ac:dyDescent="0.2">
      <c r="T1097" s="8"/>
    </row>
    <row r="1098" spans="20:20" x14ac:dyDescent="0.2">
      <c r="T1098" s="8"/>
    </row>
    <row r="1099" spans="20:20" x14ac:dyDescent="0.2">
      <c r="T1099" s="8"/>
    </row>
    <row r="1100" spans="20:20" x14ac:dyDescent="0.2">
      <c r="T1100" s="8"/>
    </row>
    <row r="1101" spans="20:20" x14ac:dyDescent="0.2">
      <c r="T1101" s="8"/>
    </row>
    <row r="1102" spans="20:20" x14ac:dyDescent="0.2">
      <c r="T1102" s="8"/>
    </row>
    <row r="1103" spans="20:20" x14ac:dyDescent="0.2">
      <c r="T1103" s="8"/>
    </row>
    <row r="1104" spans="20:20" x14ac:dyDescent="0.2">
      <c r="T1104" s="8"/>
    </row>
    <row r="1105" spans="20:20" x14ac:dyDescent="0.2">
      <c r="T1105" s="8"/>
    </row>
    <row r="1106" spans="20:20" x14ac:dyDescent="0.2">
      <c r="T1106" s="8"/>
    </row>
    <row r="1107" spans="20:20" x14ac:dyDescent="0.2">
      <c r="T1107" s="8"/>
    </row>
    <row r="1108" spans="20:20" x14ac:dyDescent="0.2">
      <c r="T1108" s="8"/>
    </row>
    <row r="1109" spans="20:20" x14ac:dyDescent="0.2">
      <c r="T1109" s="8"/>
    </row>
    <row r="1110" spans="20:20" x14ac:dyDescent="0.2">
      <c r="T1110" s="8"/>
    </row>
    <row r="1111" spans="20:20" x14ac:dyDescent="0.2">
      <c r="T1111" s="8"/>
    </row>
    <row r="1112" spans="20:20" x14ac:dyDescent="0.2">
      <c r="T1112" s="8"/>
    </row>
    <row r="1113" spans="20:20" x14ac:dyDescent="0.2">
      <c r="T1113" s="8"/>
    </row>
    <row r="1114" spans="20:20" x14ac:dyDescent="0.2">
      <c r="T1114" s="8"/>
    </row>
    <row r="1115" spans="20:20" x14ac:dyDescent="0.2">
      <c r="T1115" s="8"/>
    </row>
    <row r="1116" spans="20:20" x14ac:dyDescent="0.2">
      <c r="T1116" s="8"/>
    </row>
    <row r="1117" spans="20:20" x14ac:dyDescent="0.2">
      <c r="T1117" s="8"/>
    </row>
    <row r="1118" spans="20:20" x14ac:dyDescent="0.2">
      <c r="T1118" s="8"/>
    </row>
    <row r="1119" spans="20:20" x14ac:dyDescent="0.2">
      <c r="T1119" s="8"/>
    </row>
    <row r="1120" spans="20:20" x14ac:dyDescent="0.2">
      <c r="T1120" s="8"/>
    </row>
    <row r="1121" spans="20:20" x14ac:dyDescent="0.2">
      <c r="T1121" s="8"/>
    </row>
    <row r="1122" spans="20:20" x14ac:dyDescent="0.2">
      <c r="T1122" s="8"/>
    </row>
    <row r="1123" spans="20:20" x14ac:dyDescent="0.2">
      <c r="T1123" s="8"/>
    </row>
    <row r="1124" spans="20:20" x14ac:dyDescent="0.2">
      <c r="T1124" s="8"/>
    </row>
    <row r="1125" spans="20:20" x14ac:dyDescent="0.2">
      <c r="T1125" s="8"/>
    </row>
    <row r="1126" spans="20:20" x14ac:dyDescent="0.2">
      <c r="T1126" s="8"/>
    </row>
    <row r="1127" spans="20:20" x14ac:dyDescent="0.2">
      <c r="T1127" s="8"/>
    </row>
    <row r="1128" spans="20:20" x14ac:dyDescent="0.2">
      <c r="T1128" s="8"/>
    </row>
    <row r="1129" spans="20:20" x14ac:dyDescent="0.2">
      <c r="T1129" s="8"/>
    </row>
    <row r="1130" spans="20:20" x14ac:dyDescent="0.2">
      <c r="T1130" s="8"/>
    </row>
    <row r="1131" spans="20:20" x14ac:dyDescent="0.2">
      <c r="T1131" s="8"/>
    </row>
    <row r="1132" spans="20:20" x14ac:dyDescent="0.2">
      <c r="T1132" s="8"/>
    </row>
    <row r="1133" spans="20:20" x14ac:dyDescent="0.2">
      <c r="T1133" s="8"/>
    </row>
    <row r="1134" spans="20:20" x14ac:dyDescent="0.2">
      <c r="T1134" s="8"/>
    </row>
    <row r="1135" spans="20:20" x14ac:dyDescent="0.2">
      <c r="T1135" s="8"/>
    </row>
    <row r="1136" spans="20:20" x14ac:dyDescent="0.2">
      <c r="T1136" s="8"/>
    </row>
    <row r="1137" spans="20:20" x14ac:dyDescent="0.2">
      <c r="T1137" s="8"/>
    </row>
    <row r="1138" spans="20:20" x14ac:dyDescent="0.2">
      <c r="T1138" s="8"/>
    </row>
    <row r="1139" spans="20:20" x14ac:dyDescent="0.2">
      <c r="T1139" s="8"/>
    </row>
    <row r="1140" spans="20:20" x14ac:dyDescent="0.2">
      <c r="T1140" s="8"/>
    </row>
    <row r="1141" spans="20:20" x14ac:dyDescent="0.2">
      <c r="T1141" s="8"/>
    </row>
    <row r="1142" spans="20:20" x14ac:dyDescent="0.2">
      <c r="T1142" s="8"/>
    </row>
    <row r="1143" spans="20:20" x14ac:dyDescent="0.2">
      <c r="T1143" s="8"/>
    </row>
    <row r="1144" spans="20:20" x14ac:dyDescent="0.2">
      <c r="T1144" s="8"/>
    </row>
    <row r="1145" spans="20:20" x14ac:dyDescent="0.2">
      <c r="T1145" s="8"/>
    </row>
    <row r="1146" spans="20:20" x14ac:dyDescent="0.2">
      <c r="T1146" s="8"/>
    </row>
    <row r="1147" spans="20:20" x14ac:dyDescent="0.2">
      <c r="T1147" s="8"/>
    </row>
    <row r="1148" spans="20:20" x14ac:dyDescent="0.2">
      <c r="T1148" s="8"/>
    </row>
    <row r="1149" spans="20:20" x14ac:dyDescent="0.2">
      <c r="T1149" s="8"/>
    </row>
    <row r="1150" spans="20:20" x14ac:dyDescent="0.2">
      <c r="T1150" s="8"/>
    </row>
    <row r="1151" spans="20:20" x14ac:dyDescent="0.2">
      <c r="T1151" s="8"/>
    </row>
    <row r="1152" spans="20:20" x14ac:dyDescent="0.2">
      <c r="T1152" s="8"/>
    </row>
    <row r="1153" spans="20:20" x14ac:dyDescent="0.2">
      <c r="T1153" s="8"/>
    </row>
    <row r="1154" spans="20:20" x14ac:dyDescent="0.2">
      <c r="T1154" s="8"/>
    </row>
    <row r="1155" spans="20:20" x14ac:dyDescent="0.2">
      <c r="T1155" s="8"/>
    </row>
    <row r="1156" spans="20:20" x14ac:dyDescent="0.2">
      <c r="T1156" s="8"/>
    </row>
    <row r="1157" spans="20:20" x14ac:dyDescent="0.2">
      <c r="T1157" s="8"/>
    </row>
    <row r="1158" spans="20:20" x14ac:dyDescent="0.2">
      <c r="T1158" s="8"/>
    </row>
    <row r="1159" spans="20:20" x14ac:dyDescent="0.2">
      <c r="T1159" s="8"/>
    </row>
    <row r="1160" spans="20:20" x14ac:dyDescent="0.2">
      <c r="T1160" s="8"/>
    </row>
    <row r="1161" spans="20:20" x14ac:dyDescent="0.2">
      <c r="T1161" s="8"/>
    </row>
    <row r="1162" spans="20:20" x14ac:dyDescent="0.2">
      <c r="T1162" s="8"/>
    </row>
    <row r="1163" spans="20:20" x14ac:dyDescent="0.2">
      <c r="T1163" s="8"/>
    </row>
    <row r="1164" spans="20:20" x14ac:dyDescent="0.2">
      <c r="T1164" s="8"/>
    </row>
    <row r="1165" spans="20:20" x14ac:dyDescent="0.2">
      <c r="T1165" s="8"/>
    </row>
    <row r="1166" spans="20:20" x14ac:dyDescent="0.2">
      <c r="T1166" s="8"/>
    </row>
    <row r="1167" spans="20:20" x14ac:dyDescent="0.2">
      <c r="T1167" s="8"/>
    </row>
    <row r="1168" spans="20:20" x14ac:dyDescent="0.2">
      <c r="T1168" s="8"/>
    </row>
    <row r="1169" spans="20:20" x14ac:dyDescent="0.2">
      <c r="T1169" s="8"/>
    </row>
    <row r="1170" spans="20:20" x14ac:dyDescent="0.2">
      <c r="T1170" s="8"/>
    </row>
    <row r="1171" spans="20:20" x14ac:dyDescent="0.2">
      <c r="T1171" s="8"/>
    </row>
    <row r="1172" spans="20:20" x14ac:dyDescent="0.2">
      <c r="T1172" s="8"/>
    </row>
    <row r="1173" spans="20:20" x14ac:dyDescent="0.2">
      <c r="T1173" s="8"/>
    </row>
    <row r="1174" spans="20:20" x14ac:dyDescent="0.2">
      <c r="T1174" s="8"/>
    </row>
    <row r="1175" spans="20:20" x14ac:dyDescent="0.2">
      <c r="T1175" s="8"/>
    </row>
    <row r="1176" spans="20:20" x14ac:dyDescent="0.2">
      <c r="T1176" s="8"/>
    </row>
    <row r="1177" spans="20:20" x14ac:dyDescent="0.2">
      <c r="T1177" s="8"/>
    </row>
    <row r="1178" spans="20:20" x14ac:dyDescent="0.2">
      <c r="T1178" s="8"/>
    </row>
    <row r="1179" spans="20:20" x14ac:dyDescent="0.2">
      <c r="T1179" s="8"/>
    </row>
    <row r="1180" spans="20:20" x14ac:dyDescent="0.2">
      <c r="T1180" s="8"/>
    </row>
    <row r="1181" spans="20:20" x14ac:dyDescent="0.2">
      <c r="T1181" s="8"/>
    </row>
    <row r="1182" spans="20:20" x14ac:dyDescent="0.2">
      <c r="T1182" s="8"/>
    </row>
    <row r="1183" spans="20:20" x14ac:dyDescent="0.2">
      <c r="T1183" s="8"/>
    </row>
    <row r="1184" spans="20:20" x14ac:dyDescent="0.2">
      <c r="T1184" s="8"/>
    </row>
    <row r="1185" spans="20:20" x14ac:dyDescent="0.2">
      <c r="T1185" s="8"/>
    </row>
    <row r="1186" spans="20:20" x14ac:dyDescent="0.2">
      <c r="T1186" s="8"/>
    </row>
    <row r="1187" spans="20:20" x14ac:dyDescent="0.2">
      <c r="T1187" s="8"/>
    </row>
    <row r="1188" spans="20:20" x14ac:dyDescent="0.2">
      <c r="T1188" s="8"/>
    </row>
    <row r="1189" spans="20:20" x14ac:dyDescent="0.2">
      <c r="T1189" s="8"/>
    </row>
    <row r="1190" spans="20:20" x14ac:dyDescent="0.2">
      <c r="T1190" s="8"/>
    </row>
    <row r="1191" spans="20:20" x14ac:dyDescent="0.2">
      <c r="T1191" s="8"/>
    </row>
    <row r="1192" spans="20:20" x14ac:dyDescent="0.2">
      <c r="T1192" s="8"/>
    </row>
    <row r="1193" spans="20:20" x14ac:dyDescent="0.2">
      <c r="T1193" s="8"/>
    </row>
    <row r="1194" spans="20:20" x14ac:dyDescent="0.2">
      <c r="T1194" s="8"/>
    </row>
    <row r="1195" spans="20:20" x14ac:dyDescent="0.2">
      <c r="T1195" s="8"/>
    </row>
    <row r="1196" spans="20:20" x14ac:dyDescent="0.2">
      <c r="T1196" s="8"/>
    </row>
    <row r="1197" spans="20:20" x14ac:dyDescent="0.2">
      <c r="T1197" s="8"/>
    </row>
    <row r="1198" spans="20:20" x14ac:dyDescent="0.2">
      <c r="T1198" s="8"/>
    </row>
    <row r="1199" spans="20:20" x14ac:dyDescent="0.2">
      <c r="T1199" s="8"/>
    </row>
    <row r="1200" spans="20:20" x14ac:dyDescent="0.2">
      <c r="T1200" s="8"/>
    </row>
    <row r="1201" spans="20:20" x14ac:dyDescent="0.2">
      <c r="T1201" s="8"/>
    </row>
    <row r="1202" spans="20:20" x14ac:dyDescent="0.2">
      <c r="T1202" s="8"/>
    </row>
    <row r="1203" spans="20:20" x14ac:dyDescent="0.2">
      <c r="T1203" s="8"/>
    </row>
    <row r="1204" spans="20:20" x14ac:dyDescent="0.2">
      <c r="T1204" s="8"/>
    </row>
    <row r="1205" spans="20:20" x14ac:dyDescent="0.2">
      <c r="T1205" s="8"/>
    </row>
    <row r="1206" spans="20:20" x14ac:dyDescent="0.2">
      <c r="T1206" s="8"/>
    </row>
    <row r="1207" spans="20:20" x14ac:dyDescent="0.2">
      <c r="T1207" s="8"/>
    </row>
    <row r="1208" spans="20:20" x14ac:dyDescent="0.2">
      <c r="T1208" s="8"/>
    </row>
    <row r="1209" spans="20:20" x14ac:dyDescent="0.2">
      <c r="T1209" s="8"/>
    </row>
    <row r="1210" spans="20:20" x14ac:dyDescent="0.2">
      <c r="T1210" s="8"/>
    </row>
    <row r="1211" spans="20:20" x14ac:dyDescent="0.2">
      <c r="T1211" s="8"/>
    </row>
    <row r="1212" spans="20:20" x14ac:dyDescent="0.2">
      <c r="T1212" s="8"/>
    </row>
    <row r="1213" spans="20:20" x14ac:dyDescent="0.2">
      <c r="T1213" s="8"/>
    </row>
    <row r="1214" spans="20:20" x14ac:dyDescent="0.2">
      <c r="T1214" s="8"/>
    </row>
    <row r="1215" spans="20:20" x14ac:dyDescent="0.2">
      <c r="T1215" s="8"/>
    </row>
    <row r="1216" spans="20:20" x14ac:dyDescent="0.2">
      <c r="T1216" s="8"/>
    </row>
    <row r="1217" spans="20:20" x14ac:dyDescent="0.2">
      <c r="T1217" s="8"/>
    </row>
    <row r="1218" spans="20:20" x14ac:dyDescent="0.2">
      <c r="T1218" s="8"/>
    </row>
    <row r="1219" spans="20:20" x14ac:dyDescent="0.2">
      <c r="T1219" s="8"/>
    </row>
    <row r="1220" spans="20:20" x14ac:dyDescent="0.2">
      <c r="T1220" s="8"/>
    </row>
    <row r="1221" spans="20:20" x14ac:dyDescent="0.2">
      <c r="T1221" s="8"/>
    </row>
    <row r="1222" spans="20:20" x14ac:dyDescent="0.2">
      <c r="T1222" s="8"/>
    </row>
    <row r="1223" spans="20:20" x14ac:dyDescent="0.2">
      <c r="T1223" s="8"/>
    </row>
    <row r="1224" spans="20:20" x14ac:dyDescent="0.2">
      <c r="T1224" s="8"/>
    </row>
    <row r="1225" spans="20:20" x14ac:dyDescent="0.2">
      <c r="T1225" s="8"/>
    </row>
    <row r="1226" spans="20:20" x14ac:dyDescent="0.2">
      <c r="T1226" s="8"/>
    </row>
    <row r="1227" spans="20:20" x14ac:dyDescent="0.2">
      <c r="T1227" s="8"/>
    </row>
    <row r="1228" spans="20:20" x14ac:dyDescent="0.2">
      <c r="T1228" s="8"/>
    </row>
    <row r="1229" spans="20:20" x14ac:dyDescent="0.2">
      <c r="T1229" s="8"/>
    </row>
    <row r="1230" spans="20:20" x14ac:dyDescent="0.2">
      <c r="T1230" s="8"/>
    </row>
    <row r="1231" spans="20:20" x14ac:dyDescent="0.2">
      <c r="T1231" s="8"/>
    </row>
    <row r="1232" spans="20:20" x14ac:dyDescent="0.2">
      <c r="T1232" s="8"/>
    </row>
    <row r="1233" spans="20:20" x14ac:dyDescent="0.2">
      <c r="T1233" s="8"/>
    </row>
    <row r="1234" spans="20:20" x14ac:dyDescent="0.2">
      <c r="T1234" s="8"/>
    </row>
    <row r="1235" spans="20:20" x14ac:dyDescent="0.2">
      <c r="T1235" s="8"/>
    </row>
    <row r="1236" spans="20:20" x14ac:dyDescent="0.2">
      <c r="T1236" s="8"/>
    </row>
    <row r="1237" spans="20:20" x14ac:dyDescent="0.2">
      <c r="T1237" s="8"/>
    </row>
    <row r="1238" spans="20:20" x14ac:dyDescent="0.2">
      <c r="T1238" s="8"/>
    </row>
    <row r="1239" spans="20:20" x14ac:dyDescent="0.2">
      <c r="T1239" s="8"/>
    </row>
    <row r="1240" spans="20:20" x14ac:dyDescent="0.2">
      <c r="T1240" s="8"/>
    </row>
    <row r="1241" spans="20:20" x14ac:dyDescent="0.2">
      <c r="T1241" s="8"/>
    </row>
    <row r="1242" spans="20:20" x14ac:dyDescent="0.2">
      <c r="T1242" s="8"/>
    </row>
    <row r="1243" spans="20:20" x14ac:dyDescent="0.2">
      <c r="T1243" s="8"/>
    </row>
    <row r="1244" spans="20:20" x14ac:dyDescent="0.2">
      <c r="T1244" s="8"/>
    </row>
    <row r="1245" spans="20:20" x14ac:dyDescent="0.2">
      <c r="T1245" s="8"/>
    </row>
    <row r="1246" spans="20:20" x14ac:dyDescent="0.2">
      <c r="T1246" s="8"/>
    </row>
    <row r="1247" spans="20:20" x14ac:dyDescent="0.2">
      <c r="T1247" s="8"/>
    </row>
    <row r="1248" spans="20:20" x14ac:dyDescent="0.2">
      <c r="T1248" s="8"/>
    </row>
    <row r="1249" spans="20:20" x14ac:dyDescent="0.2">
      <c r="T1249" s="8"/>
    </row>
    <row r="1250" spans="20:20" x14ac:dyDescent="0.2">
      <c r="T1250" s="8"/>
    </row>
    <row r="1251" spans="20:20" x14ac:dyDescent="0.2">
      <c r="T1251" s="8"/>
    </row>
    <row r="1252" spans="20:20" x14ac:dyDescent="0.2">
      <c r="T1252" s="8"/>
    </row>
    <row r="1253" spans="20:20" x14ac:dyDescent="0.2">
      <c r="T1253" s="8"/>
    </row>
    <row r="1254" spans="20:20" x14ac:dyDescent="0.2">
      <c r="T1254" s="8"/>
    </row>
    <row r="1255" spans="20:20" x14ac:dyDescent="0.2">
      <c r="T1255" s="8"/>
    </row>
    <row r="1256" spans="20:20" x14ac:dyDescent="0.2">
      <c r="T1256" s="8"/>
    </row>
    <row r="1257" spans="20:20" x14ac:dyDescent="0.2">
      <c r="T1257" s="8"/>
    </row>
    <row r="1258" spans="20:20" x14ac:dyDescent="0.2">
      <c r="T1258" s="8"/>
    </row>
    <row r="1259" spans="20:20" x14ac:dyDescent="0.2">
      <c r="T1259" s="8"/>
    </row>
    <row r="1260" spans="20:20" x14ac:dyDescent="0.2">
      <c r="T1260" s="8"/>
    </row>
    <row r="1261" spans="20:20" x14ac:dyDescent="0.2">
      <c r="T1261" s="8"/>
    </row>
    <row r="1262" spans="20:20" x14ac:dyDescent="0.2">
      <c r="T1262" s="8"/>
    </row>
    <row r="1263" spans="20:20" x14ac:dyDescent="0.2">
      <c r="T1263" s="8"/>
    </row>
    <row r="1264" spans="20:20" x14ac:dyDescent="0.2">
      <c r="T1264" s="8"/>
    </row>
    <row r="1265" spans="20:20" x14ac:dyDescent="0.2">
      <c r="T1265" s="8"/>
    </row>
    <row r="1266" spans="20:20" x14ac:dyDescent="0.2">
      <c r="T1266" s="8"/>
    </row>
    <row r="1267" spans="20:20" x14ac:dyDescent="0.2">
      <c r="T1267" s="8"/>
    </row>
    <row r="1268" spans="20:20" x14ac:dyDescent="0.2">
      <c r="T1268" s="8"/>
    </row>
    <row r="1269" spans="20:20" x14ac:dyDescent="0.2">
      <c r="T1269" s="8"/>
    </row>
    <row r="1270" spans="20:20" x14ac:dyDescent="0.2">
      <c r="T1270" s="8"/>
    </row>
    <row r="1271" spans="20:20" x14ac:dyDescent="0.2">
      <c r="T1271" s="8"/>
    </row>
    <row r="1272" spans="20:20" x14ac:dyDescent="0.2">
      <c r="T1272" s="8"/>
    </row>
    <row r="1273" spans="20:20" x14ac:dyDescent="0.2">
      <c r="T1273" s="8"/>
    </row>
    <row r="1274" spans="20:20" x14ac:dyDescent="0.2">
      <c r="T1274" s="8"/>
    </row>
    <row r="1275" spans="20:20" x14ac:dyDescent="0.2">
      <c r="T1275" s="8"/>
    </row>
    <row r="1276" spans="20:20" x14ac:dyDescent="0.2">
      <c r="T1276" s="8"/>
    </row>
    <row r="1277" spans="20:20" x14ac:dyDescent="0.2">
      <c r="T1277" s="8"/>
    </row>
    <row r="1278" spans="20:20" x14ac:dyDescent="0.2">
      <c r="T1278" s="8"/>
    </row>
    <row r="1279" spans="20:20" x14ac:dyDescent="0.2">
      <c r="T1279" s="8"/>
    </row>
    <row r="1280" spans="20:20" x14ac:dyDescent="0.2">
      <c r="T1280" s="8"/>
    </row>
    <row r="1281" spans="20:20" x14ac:dyDescent="0.2">
      <c r="T1281" s="8"/>
    </row>
    <row r="1282" spans="20:20" x14ac:dyDescent="0.2">
      <c r="T1282" s="8"/>
    </row>
    <row r="1283" spans="20:20" x14ac:dyDescent="0.2">
      <c r="T1283" s="8"/>
    </row>
    <row r="1284" spans="20:20" x14ac:dyDescent="0.2">
      <c r="T1284" s="8"/>
    </row>
    <row r="1285" spans="20:20" x14ac:dyDescent="0.2">
      <c r="T1285" s="8"/>
    </row>
    <row r="1286" spans="20:20" x14ac:dyDescent="0.2">
      <c r="T1286" s="8"/>
    </row>
    <row r="1287" spans="20:20" x14ac:dyDescent="0.2">
      <c r="T1287" s="8"/>
    </row>
    <row r="1288" spans="20:20" x14ac:dyDescent="0.2">
      <c r="T1288" s="8"/>
    </row>
    <row r="1289" spans="20:20" x14ac:dyDescent="0.2">
      <c r="T1289" s="8"/>
    </row>
    <row r="1290" spans="20:20" x14ac:dyDescent="0.2">
      <c r="T1290" s="8"/>
    </row>
    <row r="1291" spans="20:20" x14ac:dyDescent="0.2">
      <c r="T1291" s="8"/>
    </row>
    <row r="1292" spans="20:20" x14ac:dyDescent="0.2">
      <c r="T1292" s="8"/>
    </row>
    <row r="1293" spans="20:20" x14ac:dyDescent="0.2">
      <c r="T1293" s="8"/>
    </row>
    <row r="1294" spans="20:20" x14ac:dyDescent="0.2">
      <c r="T1294" s="8"/>
    </row>
    <row r="1295" spans="20:20" x14ac:dyDescent="0.2">
      <c r="T1295" s="8"/>
    </row>
    <row r="1296" spans="20:20" x14ac:dyDescent="0.2">
      <c r="T1296" s="8"/>
    </row>
    <row r="1297" spans="20:20" x14ac:dyDescent="0.2">
      <c r="T1297" s="8"/>
    </row>
    <row r="1298" spans="20:20" x14ac:dyDescent="0.2">
      <c r="T1298" s="8"/>
    </row>
    <row r="1299" spans="20:20" x14ac:dyDescent="0.2">
      <c r="T1299" s="8"/>
    </row>
    <row r="1300" spans="20:20" x14ac:dyDescent="0.2">
      <c r="T1300" s="8"/>
    </row>
    <row r="1301" spans="20:20" x14ac:dyDescent="0.2">
      <c r="T1301" s="8"/>
    </row>
    <row r="1302" spans="20:20" x14ac:dyDescent="0.2">
      <c r="T1302" s="8"/>
    </row>
    <row r="1303" spans="20:20" x14ac:dyDescent="0.2">
      <c r="T1303" s="8"/>
    </row>
    <row r="1304" spans="20:20" x14ac:dyDescent="0.2">
      <c r="T1304" s="8"/>
    </row>
    <row r="1305" spans="20:20" x14ac:dyDescent="0.2">
      <c r="T1305" s="8"/>
    </row>
    <row r="1306" spans="20:20" x14ac:dyDescent="0.2">
      <c r="T1306" s="8"/>
    </row>
    <row r="1307" spans="20:20" x14ac:dyDescent="0.2">
      <c r="T1307" s="8"/>
    </row>
    <row r="1308" spans="20:20" x14ac:dyDescent="0.2">
      <c r="T1308" s="8"/>
    </row>
    <row r="1309" spans="20:20" x14ac:dyDescent="0.2">
      <c r="T1309" s="8"/>
    </row>
    <row r="1310" spans="20:20" x14ac:dyDescent="0.2">
      <c r="T1310" s="8"/>
    </row>
    <row r="1311" spans="20:20" x14ac:dyDescent="0.2">
      <c r="T1311" s="8"/>
    </row>
    <row r="1312" spans="20:20" x14ac:dyDescent="0.2">
      <c r="T1312" s="8"/>
    </row>
    <row r="1313" spans="20:20" x14ac:dyDescent="0.2">
      <c r="T1313" s="8"/>
    </row>
    <row r="1314" spans="20:20" x14ac:dyDescent="0.2">
      <c r="T1314" s="8"/>
    </row>
    <row r="1315" spans="20:20" x14ac:dyDescent="0.2">
      <c r="T1315" s="8"/>
    </row>
    <row r="1316" spans="20:20" x14ac:dyDescent="0.2">
      <c r="T1316" s="8"/>
    </row>
    <row r="1317" spans="20:20" x14ac:dyDescent="0.2">
      <c r="T1317" s="8"/>
    </row>
    <row r="1318" spans="20:20" x14ac:dyDescent="0.2">
      <c r="T1318" s="8"/>
    </row>
    <row r="1319" spans="20:20" x14ac:dyDescent="0.2">
      <c r="T1319" s="8"/>
    </row>
    <row r="1320" spans="20:20" x14ac:dyDescent="0.2">
      <c r="T1320" s="8"/>
    </row>
    <row r="1321" spans="20:20" x14ac:dyDescent="0.2">
      <c r="T1321" s="8"/>
    </row>
    <row r="1322" spans="20:20" x14ac:dyDescent="0.2">
      <c r="T1322" s="8"/>
    </row>
    <row r="1323" spans="20:20" x14ac:dyDescent="0.2">
      <c r="T1323" s="8"/>
    </row>
    <row r="1324" spans="20:20" x14ac:dyDescent="0.2">
      <c r="T1324" s="8"/>
    </row>
    <row r="1325" spans="20:20" x14ac:dyDescent="0.2">
      <c r="T1325" s="8"/>
    </row>
    <row r="1326" spans="20:20" x14ac:dyDescent="0.2">
      <c r="T1326" s="8"/>
    </row>
    <row r="1327" spans="20:20" x14ac:dyDescent="0.2">
      <c r="T1327" s="8"/>
    </row>
    <row r="1328" spans="20:20" x14ac:dyDescent="0.2">
      <c r="T1328" s="8"/>
    </row>
    <row r="1329" spans="20:20" x14ac:dyDescent="0.2">
      <c r="T1329" s="8"/>
    </row>
    <row r="1330" spans="20:20" x14ac:dyDescent="0.2">
      <c r="T1330" s="8"/>
    </row>
    <row r="1331" spans="20:20" x14ac:dyDescent="0.2">
      <c r="T1331" s="8"/>
    </row>
    <row r="1332" spans="20:20" x14ac:dyDescent="0.2">
      <c r="T1332" s="8"/>
    </row>
    <row r="1333" spans="20:20" x14ac:dyDescent="0.2">
      <c r="T1333" s="8"/>
    </row>
    <row r="1334" spans="20:20" x14ac:dyDescent="0.2">
      <c r="T1334" s="8"/>
    </row>
    <row r="1335" spans="20:20" x14ac:dyDescent="0.2">
      <c r="T1335" s="8"/>
    </row>
    <row r="1336" spans="20:20" x14ac:dyDescent="0.2">
      <c r="T1336" s="8"/>
    </row>
    <row r="1337" spans="20:20" x14ac:dyDescent="0.2">
      <c r="T1337" s="8"/>
    </row>
    <row r="1338" spans="20:20" x14ac:dyDescent="0.2">
      <c r="T1338" s="8"/>
    </row>
    <row r="1339" spans="20:20" x14ac:dyDescent="0.2">
      <c r="T1339" s="8"/>
    </row>
    <row r="1340" spans="20:20" x14ac:dyDescent="0.2">
      <c r="T1340" s="8"/>
    </row>
    <row r="1341" spans="20:20" x14ac:dyDescent="0.2">
      <c r="T1341" s="8"/>
    </row>
    <row r="1342" spans="20:20" x14ac:dyDescent="0.2">
      <c r="T1342" s="8"/>
    </row>
    <row r="1343" spans="20:20" x14ac:dyDescent="0.2">
      <c r="T1343" s="8"/>
    </row>
    <row r="1344" spans="20:20" x14ac:dyDescent="0.2">
      <c r="T1344" s="8"/>
    </row>
    <row r="1345" spans="20:20" x14ac:dyDescent="0.2">
      <c r="T1345" s="8"/>
    </row>
    <row r="1346" spans="20:20" x14ac:dyDescent="0.2">
      <c r="T1346" s="8"/>
    </row>
    <row r="1347" spans="20:20" x14ac:dyDescent="0.2">
      <c r="T1347" s="8"/>
    </row>
    <row r="1348" spans="20:20" x14ac:dyDescent="0.2">
      <c r="T1348" s="8"/>
    </row>
    <row r="1349" spans="20:20" x14ac:dyDescent="0.2">
      <c r="T1349" s="8"/>
    </row>
    <row r="1350" spans="20:20" x14ac:dyDescent="0.2">
      <c r="T1350" s="8"/>
    </row>
    <row r="1351" spans="20:20" x14ac:dyDescent="0.2">
      <c r="T1351" s="8"/>
    </row>
    <row r="1352" spans="20:20" x14ac:dyDescent="0.2">
      <c r="T1352" s="8"/>
    </row>
    <row r="1353" spans="20:20" x14ac:dyDescent="0.2">
      <c r="T1353" s="8"/>
    </row>
    <row r="1354" spans="20:20" x14ac:dyDescent="0.2">
      <c r="T1354" s="8"/>
    </row>
    <row r="1355" spans="20:20" x14ac:dyDescent="0.2">
      <c r="T1355" s="8"/>
    </row>
    <row r="1356" spans="20:20" x14ac:dyDescent="0.2">
      <c r="T1356" s="8"/>
    </row>
    <row r="1357" spans="20:20" x14ac:dyDescent="0.2">
      <c r="T1357" s="8"/>
    </row>
    <row r="1358" spans="20:20" x14ac:dyDescent="0.2">
      <c r="T1358" s="8"/>
    </row>
    <row r="1359" spans="20:20" x14ac:dyDescent="0.2">
      <c r="T1359" s="8"/>
    </row>
    <row r="1360" spans="20:20" x14ac:dyDescent="0.2">
      <c r="T1360" s="8"/>
    </row>
    <row r="1361" spans="20:20" x14ac:dyDescent="0.2">
      <c r="T1361" s="8"/>
    </row>
    <row r="1362" spans="20:20" x14ac:dyDescent="0.2">
      <c r="T1362" s="8"/>
    </row>
    <row r="1363" spans="20:20" x14ac:dyDescent="0.2">
      <c r="T1363" s="8"/>
    </row>
    <row r="1364" spans="20:20" x14ac:dyDescent="0.2">
      <c r="T1364" s="8"/>
    </row>
    <row r="1365" spans="20:20" x14ac:dyDescent="0.2">
      <c r="T1365" s="8"/>
    </row>
    <row r="1366" spans="20:20" x14ac:dyDescent="0.2">
      <c r="T1366" s="8"/>
    </row>
    <row r="1367" spans="20:20" x14ac:dyDescent="0.2">
      <c r="T1367" s="8"/>
    </row>
    <row r="1368" spans="20:20" x14ac:dyDescent="0.2">
      <c r="T1368" s="8"/>
    </row>
    <row r="1369" spans="20:20" x14ac:dyDescent="0.2">
      <c r="T1369" s="8"/>
    </row>
    <row r="1370" spans="20:20" x14ac:dyDescent="0.2">
      <c r="T1370" s="8"/>
    </row>
    <row r="1371" spans="20:20" x14ac:dyDescent="0.2">
      <c r="T1371" s="8"/>
    </row>
    <row r="1372" spans="20:20" x14ac:dyDescent="0.2">
      <c r="T1372" s="8"/>
    </row>
    <row r="1373" spans="20:20" x14ac:dyDescent="0.2">
      <c r="T1373" s="8"/>
    </row>
    <row r="1374" spans="20:20" x14ac:dyDescent="0.2">
      <c r="T1374" s="8"/>
    </row>
    <row r="1375" spans="20:20" x14ac:dyDescent="0.2">
      <c r="T1375" s="8"/>
    </row>
    <row r="1376" spans="20:20" x14ac:dyDescent="0.2">
      <c r="T1376" s="8"/>
    </row>
    <row r="1377" spans="20:20" x14ac:dyDescent="0.2">
      <c r="T1377" s="8"/>
    </row>
    <row r="1378" spans="20:20" x14ac:dyDescent="0.2">
      <c r="T1378" s="8"/>
    </row>
    <row r="1379" spans="20:20" x14ac:dyDescent="0.2">
      <c r="T1379" s="8"/>
    </row>
    <row r="1380" spans="20:20" x14ac:dyDescent="0.2">
      <c r="T1380" s="8"/>
    </row>
    <row r="1381" spans="20:20" x14ac:dyDescent="0.2">
      <c r="T1381" s="8"/>
    </row>
    <row r="1382" spans="20:20" x14ac:dyDescent="0.2">
      <c r="T1382" s="8"/>
    </row>
    <row r="1383" spans="20:20" x14ac:dyDescent="0.2">
      <c r="T1383" s="8"/>
    </row>
    <row r="1384" spans="20:20" x14ac:dyDescent="0.2">
      <c r="T1384" s="8"/>
    </row>
    <row r="1385" spans="20:20" x14ac:dyDescent="0.2">
      <c r="T1385" s="8"/>
    </row>
    <row r="1386" spans="20:20" x14ac:dyDescent="0.2">
      <c r="T1386" s="8"/>
    </row>
    <row r="1387" spans="20:20" x14ac:dyDescent="0.2">
      <c r="T1387" s="8"/>
    </row>
    <row r="1388" spans="20:20" x14ac:dyDescent="0.2">
      <c r="T1388" s="8"/>
    </row>
    <row r="1389" spans="20:20" x14ac:dyDescent="0.2">
      <c r="T1389" s="8"/>
    </row>
    <row r="1390" spans="20:20" x14ac:dyDescent="0.2">
      <c r="T1390" s="8"/>
    </row>
    <row r="1391" spans="20:20" x14ac:dyDescent="0.2">
      <c r="T1391" s="8"/>
    </row>
    <row r="1392" spans="20:20" x14ac:dyDescent="0.2">
      <c r="T1392" s="8"/>
    </row>
    <row r="1393" spans="20:20" x14ac:dyDescent="0.2">
      <c r="T1393" s="8"/>
    </row>
    <row r="1394" spans="20:20" x14ac:dyDescent="0.2">
      <c r="T1394" s="8"/>
    </row>
    <row r="1395" spans="20:20" x14ac:dyDescent="0.2">
      <c r="T1395" s="8"/>
    </row>
    <row r="1396" spans="20:20" x14ac:dyDescent="0.2">
      <c r="T1396" s="8"/>
    </row>
    <row r="1397" spans="20:20" x14ac:dyDescent="0.2">
      <c r="T1397" s="8"/>
    </row>
    <row r="1398" spans="20:20" x14ac:dyDescent="0.2">
      <c r="T1398" s="8"/>
    </row>
    <row r="1399" spans="20:20" x14ac:dyDescent="0.2">
      <c r="T1399" s="8"/>
    </row>
    <row r="1400" spans="20:20" x14ac:dyDescent="0.2">
      <c r="T1400" s="8"/>
    </row>
    <row r="1401" spans="20:20" x14ac:dyDescent="0.2">
      <c r="T1401" s="8"/>
    </row>
    <row r="1402" spans="20:20" x14ac:dyDescent="0.2">
      <c r="T1402" s="8"/>
    </row>
    <row r="1403" spans="20:20" x14ac:dyDescent="0.2">
      <c r="T1403" s="8"/>
    </row>
    <row r="1404" spans="20:20" x14ac:dyDescent="0.2">
      <c r="T1404" s="8"/>
    </row>
    <row r="1405" spans="20:20" x14ac:dyDescent="0.2">
      <c r="T1405" s="8"/>
    </row>
    <row r="1406" spans="20:20" x14ac:dyDescent="0.2">
      <c r="T1406" s="8"/>
    </row>
    <row r="1407" spans="20:20" x14ac:dyDescent="0.2">
      <c r="T1407" s="8"/>
    </row>
    <row r="1408" spans="20:20" x14ac:dyDescent="0.2">
      <c r="T1408" s="8"/>
    </row>
    <row r="1409" spans="20:20" x14ac:dyDescent="0.2">
      <c r="T1409" s="8"/>
    </row>
    <row r="1410" spans="20:20" x14ac:dyDescent="0.2">
      <c r="T1410" s="8"/>
    </row>
    <row r="1411" spans="20:20" x14ac:dyDescent="0.2">
      <c r="T1411" s="8"/>
    </row>
    <row r="1412" spans="20:20" x14ac:dyDescent="0.2">
      <c r="T1412" s="8"/>
    </row>
    <row r="1413" spans="20:20" x14ac:dyDescent="0.2">
      <c r="T1413" s="8"/>
    </row>
    <row r="1414" spans="20:20" x14ac:dyDescent="0.2">
      <c r="T1414" s="8"/>
    </row>
    <row r="1415" spans="20:20" x14ac:dyDescent="0.2">
      <c r="T1415" s="8"/>
    </row>
    <row r="1416" spans="20:20" x14ac:dyDescent="0.2">
      <c r="T1416" s="8"/>
    </row>
    <row r="1417" spans="20:20" x14ac:dyDescent="0.2">
      <c r="T1417" s="8"/>
    </row>
    <row r="1418" spans="20:20" x14ac:dyDescent="0.2">
      <c r="T1418" s="8"/>
    </row>
    <row r="1419" spans="20:20" x14ac:dyDescent="0.2">
      <c r="T1419" s="8"/>
    </row>
    <row r="1420" spans="20:20" x14ac:dyDescent="0.2">
      <c r="T1420" s="8"/>
    </row>
    <row r="1421" spans="20:20" x14ac:dyDescent="0.2">
      <c r="T1421" s="8"/>
    </row>
    <row r="1422" spans="20:20" x14ac:dyDescent="0.2">
      <c r="T1422" s="8"/>
    </row>
    <row r="1423" spans="20:20" x14ac:dyDescent="0.2">
      <c r="T1423" s="8"/>
    </row>
    <row r="1424" spans="20:20" x14ac:dyDescent="0.2">
      <c r="T1424" s="8"/>
    </row>
    <row r="1425" spans="20:20" x14ac:dyDescent="0.2">
      <c r="T1425" s="8"/>
    </row>
    <row r="1426" spans="20:20" x14ac:dyDescent="0.2">
      <c r="T1426" s="8"/>
    </row>
    <row r="1427" spans="20:20" x14ac:dyDescent="0.2">
      <c r="T1427" s="8"/>
    </row>
    <row r="1428" spans="20:20" x14ac:dyDescent="0.2">
      <c r="T1428" s="8"/>
    </row>
    <row r="1429" spans="20:20" x14ac:dyDescent="0.2">
      <c r="T1429" s="8"/>
    </row>
    <row r="1430" spans="20:20" x14ac:dyDescent="0.2">
      <c r="T1430" s="8"/>
    </row>
    <row r="1431" spans="20:20" x14ac:dyDescent="0.2">
      <c r="T1431" s="8"/>
    </row>
    <row r="1432" spans="20:20" x14ac:dyDescent="0.2">
      <c r="T1432" s="8"/>
    </row>
    <row r="1433" spans="20:20" x14ac:dyDescent="0.2">
      <c r="T1433" s="8"/>
    </row>
    <row r="1434" spans="20:20" x14ac:dyDescent="0.2">
      <c r="T1434" s="8"/>
    </row>
    <row r="1435" spans="20:20" x14ac:dyDescent="0.2">
      <c r="T1435" s="8"/>
    </row>
    <row r="1436" spans="20:20" x14ac:dyDescent="0.2">
      <c r="T1436" s="8"/>
    </row>
    <row r="1437" spans="20:20" x14ac:dyDescent="0.2">
      <c r="T1437" s="8"/>
    </row>
    <row r="1438" spans="20:20" x14ac:dyDescent="0.2">
      <c r="T1438" s="8"/>
    </row>
    <row r="1439" spans="20:20" x14ac:dyDescent="0.2">
      <c r="T1439" s="8"/>
    </row>
    <row r="1440" spans="20:20" x14ac:dyDescent="0.2">
      <c r="T1440" s="8"/>
    </row>
    <row r="1441" spans="20:20" x14ac:dyDescent="0.2">
      <c r="T1441" s="8"/>
    </row>
    <row r="1442" spans="20:20" x14ac:dyDescent="0.2">
      <c r="T1442" s="8"/>
    </row>
    <row r="1443" spans="20:20" x14ac:dyDescent="0.2">
      <c r="T1443" s="8"/>
    </row>
    <row r="1444" spans="20:20" x14ac:dyDescent="0.2">
      <c r="T1444" s="8"/>
    </row>
    <row r="1445" spans="20:20" x14ac:dyDescent="0.2">
      <c r="T1445" s="8"/>
    </row>
    <row r="1446" spans="20:20" x14ac:dyDescent="0.2">
      <c r="T1446" s="8"/>
    </row>
    <row r="1447" spans="20:20" x14ac:dyDescent="0.2">
      <c r="T1447" s="8"/>
    </row>
    <row r="1448" spans="20:20" x14ac:dyDescent="0.2">
      <c r="T1448" s="8"/>
    </row>
    <row r="1449" spans="20:20" x14ac:dyDescent="0.2">
      <c r="T1449" s="8"/>
    </row>
    <row r="1450" spans="20:20" x14ac:dyDescent="0.2">
      <c r="T1450" s="8"/>
    </row>
    <row r="1451" spans="20:20" x14ac:dyDescent="0.2">
      <c r="T1451" s="8"/>
    </row>
    <row r="1452" spans="20:20" x14ac:dyDescent="0.2">
      <c r="T1452" s="8"/>
    </row>
    <row r="1453" spans="20:20" x14ac:dyDescent="0.2">
      <c r="T1453" s="8"/>
    </row>
    <row r="1454" spans="20:20" x14ac:dyDescent="0.2">
      <c r="T1454" s="8"/>
    </row>
    <row r="1455" spans="20:20" x14ac:dyDescent="0.2">
      <c r="T1455" s="8"/>
    </row>
    <row r="1456" spans="20:20" x14ac:dyDescent="0.2">
      <c r="T1456" s="8"/>
    </row>
    <row r="1457" spans="20:20" x14ac:dyDescent="0.2">
      <c r="T1457" s="8"/>
    </row>
    <row r="1458" spans="20:20" x14ac:dyDescent="0.2">
      <c r="T1458" s="8"/>
    </row>
    <row r="1459" spans="20:20" x14ac:dyDescent="0.2">
      <c r="T1459" s="8"/>
    </row>
    <row r="1460" spans="20:20" x14ac:dyDescent="0.2">
      <c r="T1460" s="8"/>
    </row>
    <row r="1461" spans="20:20" x14ac:dyDescent="0.2">
      <c r="T1461" s="8"/>
    </row>
    <row r="1462" spans="20:20" x14ac:dyDescent="0.2">
      <c r="T1462" s="8"/>
    </row>
    <row r="1463" spans="20:20" x14ac:dyDescent="0.2">
      <c r="T1463" s="8"/>
    </row>
    <row r="1464" spans="20:20" x14ac:dyDescent="0.2">
      <c r="T1464" s="8"/>
    </row>
    <row r="1465" spans="20:20" x14ac:dyDescent="0.2">
      <c r="T1465" s="8"/>
    </row>
    <row r="1466" spans="20:20" x14ac:dyDescent="0.2">
      <c r="T1466" s="8"/>
    </row>
    <row r="1467" spans="20:20" x14ac:dyDescent="0.2">
      <c r="T1467" s="8"/>
    </row>
    <row r="1468" spans="20:20" x14ac:dyDescent="0.2">
      <c r="T1468" s="8"/>
    </row>
    <row r="1469" spans="20:20" x14ac:dyDescent="0.2">
      <c r="T1469" s="8"/>
    </row>
    <row r="1470" spans="20:20" x14ac:dyDescent="0.2">
      <c r="T1470" s="8"/>
    </row>
    <row r="1471" spans="20:20" x14ac:dyDescent="0.2">
      <c r="T1471" s="8"/>
    </row>
    <row r="1472" spans="20:20" x14ac:dyDescent="0.2">
      <c r="T1472" s="8"/>
    </row>
    <row r="1473" spans="20:20" x14ac:dyDescent="0.2">
      <c r="T1473" s="8"/>
    </row>
    <row r="1474" spans="20:20" x14ac:dyDescent="0.2">
      <c r="T1474" s="8"/>
    </row>
    <row r="1475" spans="20:20" x14ac:dyDescent="0.2">
      <c r="T1475" s="8"/>
    </row>
    <row r="1476" spans="20:20" x14ac:dyDescent="0.2">
      <c r="T1476" s="8"/>
    </row>
    <row r="1477" spans="20:20" x14ac:dyDescent="0.2">
      <c r="T1477" s="8"/>
    </row>
    <row r="1478" spans="20:20" x14ac:dyDescent="0.2">
      <c r="T1478" s="8"/>
    </row>
    <row r="1479" spans="20:20" x14ac:dyDescent="0.2">
      <c r="T1479" s="8"/>
    </row>
    <row r="1480" spans="20:20" x14ac:dyDescent="0.2">
      <c r="T1480" s="8"/>
    </row>
    <row r="1481" spans="20:20" x14ac:dyDescent="0.2">
      <c r="T1481" s="8"/>
    </row>
    <row r="1482" spans="20:20" x14ac:dyDescent="0.2">
      <c r="T1482" s="8"/>
    </row>
    <row r="1483" spans="20:20" x14ac:dyDescent="0.2">
      <c r="T1483" s="8"/>
    </row>
    <row r="1484" spans="20:20" x14ac:dyDescent="0.2">
      <c r="T1484" s="8"/>
    </row>
    <row r="1485" spans="20:20" x14ac:dyDescent="0.2">
      <c r="T1485" s="8"/>
    </row>
    <row r="1486" spans="20:20" x14ac:dyDescent="0.2">
      <c r="T1486" s="8"/>
    </row>
    <row r="1487" spans="20:20" x14ac:dyDescent="0.2">
      <c r="T1487" s="8"/>
    </row>
    <row r="1488" spans="20:20" x14ac:dyDescent="0.2">
      <c r="T1488" s="8"/>
    </row>
    <row r="1489" spans="20:20" x14ac:dyDescent="0.2">
      <c r="T1489" s="8"/>
    </row>
    <row r="1490" spans="20:20" x14ac:dyDescent="0.2">
      <c r="T1490" s="8"/>
    </row>
    <row r="1491" spans="20:20" x14ac:dyDescent="0.2">
      <c r="T1491" s="8"/>
    </row>
    <row r="1492" spans="20:20" x14ac:dyDescent="0.2">
      <c r="T1492" s="8"/>
    </row>
    <row r="1493" spans="20:20" x14ac:dyDescent="0.2">
      <c r="T1493" s="8"/>
    </row>
    <row r="1494" spans="20:20" x14ac:dyDescent="0.2">
      <c r="T1494" s="8"/>
    </row>
    <row r="1495" spans="20:20" x14ac:dyDescent="0.2">
      <c r="T1495" s="8"/>
    </row>
    <row r="1496" spans="20:20" x14ac:dyDescent="0.2">
      <c r="T1496" s="8"/>
    </row>
    <row r="1497" spans="20:20" x14ac:dyDescent="0.2">
      <c r="T1497" s="8"/>
    </row>
    <row r="1498" spans="20:20" x14ac:dyDescent="0.2">
      <c r="T1498" s="8"/>
    </row>
    <row r="1499" spans="20:20" x14ac:dyDescent="0.2">
      <c r="T1499" s="8"/>
    </row>
    <row r="1500" spans="20:20" x14ac:dyDescent="0.2">
      <c r="T1500" s="8"/>
    </row>
    <row r="1501" spans="20:20" x14ac:dyDescent="0.2">
      <c r="T1501" s="8"/>
    </row>
    <row r="1502" spans="20:20" x14ac:dyDescent="0.2">
      <c r="T1502" s="8"/>
    </row>
    <row r="1503" spans="20:20" x14ac:dyDescent="0.2">
      <c r="T1503" s="8"/>
    </row>
    <row r="1504" spans="20:20" x14ac:dyDescent="0.2">
      <c r="T1504" s="8"/>
    </row>
    <row r="1505" spans="20:20" x14ac:dyDescent="0.2">
      <c r="T1505" s="8"/>
    </row>
    <row r="1506" spans="20:20" x14ac:dyDescent="0.2">
      <c r="T1506" s="8"/>
    </row>
    <row r="1507" spans="20:20" x14ac:dyDescent="0.2">
      <c r="T1507" s="8"/>
    </row>
    <row r="1508" spans="20:20" x14ac:dyDescent="0.2">
      <c r="T1508" s="8"/>
    </row>
    <row r="1509" spans="20:20" x14ac:dyDescent="0.2">
      <c r="T1509" s="8"/>
    </row>
    <row r="1510" spans="20:20" x14ac:dyDescent="0.2">
      <c r="T1510" s="8"/>
    </row>
    <row r="1511" spans="20:20" x14ac:dyDescent="0.2">
      <c r="T1511" s="8"/>
    </row>
    <row r="1512" spans="20:20" x14ac:dyDescent="0.2">
      <c r="T1512" s="8"/>
    </row>
    <row r="1513" spans="20:20" x14ac:dyDescent="0.2">
      <c r="T1513" s="8"/>
    </row>
    <row r="1514" spans="20:20" x14ac:dyDescent="0.2">
      <c r="T1514" s="8"/>
    </row>
    <row r="1515" spans="20:20" x14ac:dyDescent="0.2">
      <c r="T1515" s="8"/>
    </row>
    <row r="1516" spans="20:20" x14ac:dyDescent="0.2">
      <c r="T1516" s="8"/>
    </row>
    <row r="1517" spans="20:20" x14ac:dyDescent="0.2">
      <c r="T1517" s="8"/>
    </row>
    <row r="1518" spans="20:20" x14ac:dyDescent="0.2">
      <c r="T1518" s="8"/>
    </row>
    <row r="1519" spans="20:20" x14ac:dyDescent="0.2">
      <c r="T1519" s="8"/>
    </row>
    <row r="1520" spans="20:20" x14ac:dyDescent="0.2">
      <c r="T1520" s="8"/>
    </row>
    <row r="1521" spans="20:20" x14ac:dyDescent="0.2">
      <c r="T1521" s="8"/>
    </row>
    <row r="1522" spans="20:20" x14ac:dyDescent="0.2">
      <c r="T1522" s="8"/>
    </row>
    <row r="1523" spans="20:20" x14ac:dyDescent="0.2">
      <c r="T1523" s="8"/>
    </row>
    <row r="1524" spans="20:20" x14ac:dyDescent="0.2">
      <c r="T1524" s="8"/>
    </row>
    <row r="1525" spans="20:20" x14ac:dyDescent="0.2">
      <c r="T1525" s="8"/>
    </row>
    <row r="1526" spans="20:20" x14ac:dyDescent="0.2">
      <c r="T1526" s="8"/>
    </row>
    <row r="1527" spans="20:20" x14ac:dyDescent="0.2">
      <c r="T1527" s="8"/>
    </row>
    <row r="1528" spans="20:20" x14ac:dyDescent="0.2">
      <c r="T1528" s="8"/>
    </row>
    <row r="1529" spans="20:20" x14ac:dyDescent="0.2">
      <c r="T1529" s="8"/>
    </row>
    <row r="1530" spans="20:20" x14ac:dyDescent="0.2">
      <c r="T1530" s="8"/>
    </row>
    <row r="1531" spans="20:20" x14ac:dyDescent="0.2">
      <c r="T1531" s="8"/>
    </row>
    <row r="1532" spans="20:20" x14ac:dyDescent="0.2">
      <c r="T1532" s="8"/>
    </row>
    <row r="1533" spans="20:20" x14ac:dyDescent="0.2">
      <c r="T1533" s="8"/>
    </row>
    <row r="1534" spans="20:20" x14ac:dyDescent="0.2">
      <c r="T1534" s="8"/>
    </row>
    <row r="1535" spans="20:20" x14ac:dyDescent="0.2">
      <c r="T1535" s="8"/>
    </row>
    <row r="1536" spans="20:20" x14ac:dyDescent="0.2">
      <c r="T1536" s="8"/>
    </row>
    <row r="1537" spans="20:20" x14ac:dyDescent="0.2">
      <c r="T1537" s="8"/>
    </row>
    <row r="1538" spans="20:20" x14ac:dyDescent="0.2">
      <c r="T1538" s="8"/>
    </row>
    <row r="1539" spans="20:20" x14ac:dyDescent="0.2">
      <c r="T1539" s="8"/>
    </row>
    <row r="1540" spans="20:20" x14ac:dyDescent="0.2">
      <c r="T1540" s="8"/>
    </row>
    <row r="1541" spans="20:20" x14ac:dyDescent="0.2">
      <c r="T1541" s="8"/>
    </row>
    <row r="1542" spans="20:20" x14ac:dyDescent="0.2">
      <c r="T1542" s="8"/>
    </row>
    <row r="1543" spans="20:20" x14ac:dyDescent="0.2">
      <c r="T1543" s="8"/>
    </row>
    <row r="1544" spans="20:20" x14ac:dyDescent="0.2">
      <c r="T1544" s="8"/>
    </row>
    <row r="1545" spans="20:20" x14ac:dyDescent="0.2">
      <c r="T1545" s="8"/>
    </row>
    <row r="1546" spans="20:20" x14ac:dyDescent="0.2">
      <c r="T1546" s="8"/>
    </row>
    <row r="1547" spans="20:20" x14ac:dyDescent="0.2">
      <c r="T1547" s="8"/>
    </row>
    <row r="1548" spans="20:20" x14ac:dyDescent="0.2">
      <c r="T1548" s="8"/>
    </row>
    <row r="1549" spans="20:20" x14ac:dyDescent="0.2">
      <c r="T1549" s="8"/>
    </row>
    <row r="1550" spans="20:20" x14ac:dyDescent="0.2">
      <c r="T1550" s="8"/>
    </row>
    <row r="1551" spans="20:20" x14ac:dyDescent="0.2">
      <c r="T1551" s="8"/>
    </row>
    <row r="1552" spans="20:20" x14ac:dyDescent="0.2">
      <c r="T1552" s="8"/>
    </row>
    <row r="1553" spans="20:20" x14ac:dyDescent="0.2">
      <c r="T1553" s="8"/>
    </row>
    <row r="1554" spans="20:20" x14ac:dyDescent="0.2">
      <c r="T1554" s="8"/>
    </row>
    <row r="1555" spans="20:20" x14ac:dyDescent="0.2">
      <c r="T1555" s="8"/>
    </row>
    <row r="1556" spans="20:20" x14ac:dyDescent="0.2">
      <c r="T1556" s="8"/>
    </row>
    <row r="1557" spans="20:20" x14ac:dyDescent="0.2">
      <c r="T1557" s="8"/>
    </row>
    <row r="1558" spans="20:20" x14ac:dyDescent="0.2">
      <c r="T1558" s="8"/>
    </row>
    <row r="1559" spans="20:20" x14ac:dyDescent="0.2">
      <c r="T1559" s="8"/>
    </row>
    <row r="1560" spans="20:20" x14ac:dyDescent="0.2">
      <c r="T1560" s="8"/>
    </row>
    <row r="1561" spans="20:20" x14ac:dyDescent="0.2">
      <c r="T1561" s="8"/>
    </row>
    <row r="1562" spans="20:20" x14ac:dyDescent="0.2">
      <c r="T1562" s="8"/>
    </row>
    <row r="1563" spans="20:20" x14ac:dyDescent="0.2">
      <c r="T1563" s="8"/>
    </row>
    <row r="1564" spans="20:20" x14ac:dyDescent="0.2">
      <c r="T1564" s="8"/>
    </row>
    <row r="1565" spans="20:20" x14ac:dyDescent="0.2">
      <c r="T1565" s="8"/>
    </row>
    <row r="1566" spans="20:20" x14ac:dyDescent="0.2">
      <c r="T1566" s="8"/>
    </row>
    <row r="1567" spans="20:20" x14ac:dyDescent="0.2">
      <c r="T1567" s="8"/>
    </row>
    <row r="1568" spans="20:20" x14ac:dyDescent="0.2">
      <c r="T1568" s="8"/>
    </row>
    <row r="1569" spans="20:20" x14ac:dyDescent="0.2">
      <c r="T1569" s="8"/>
    </row>
    <row r="1570" spans="20:20" x14ac:dyDescent="0.2">
      <c r="T1570" s="8"/>
    </row>
    <row r="1571" spans="20:20" x14ac:dyDescent="0.2">
      <c r="T1571" s="8"/>
    </row>
    <row r="1572" spans="20:20" x14ac:dyDescent="0.2">
      <c r="T1572" s="8"/>
    </row>
    <row r="1573" spans="20:20" x14ac:dyDescent="0.2">
      <c r="T1573" s="8"/>
    </row>
    <row r="1574" spans="20:20" x14ac:dyDescent="0.2">
      <c r="T1574" s="8"/>
    </row>
    <row r="1575" spans="20:20" x14ac:dyDescent="0.2">
      <c r="T1575" s="8"/>
    </row>
    <row r="1576" spans="20:20" x14ac:dyDescent="0.2">
      <c r="T1576" s="8"/>
    </row>
    <row r="1577" spans="20:20" x14ac:dyDescent="0.2">
      <c r="T1577" s="8"/>
    </row>
    <row r="1578" spans="20:20" x14ac:dyDescent="0.2">
      <c r="T1578" s="8"/>
    </row>
    <row r="1579" spans="20:20" x14ac:dyDescent="0.2">
      <c r="T1579" s="8"/>
    </row>
    <row r="1580" spans="20:20" x14ac:dyDescent="0.2">
      <c r="T1580" s="8"/>
    </row>
    <row r="1581" spans="20:20" x14ac:dyDescent="0.2">
      <c r="T1581" s="8"/>
    </row>
    <row r="1582" spans="20:20" x14ac:dyDescent="0.2">
      <c r="T1582" s="8"/>
    </row>
    <row r="1583" spans="20:20" x14ac:dyDescent="0.2">
      <c r="T1583" s="8"/>
    </row>
    <row r="1584" spans="20:20" x14ac:dyDescent="0.2">
      <c r="T1584" s="8"/>
    </row>
    <row r="1585" spans="20:20" x14ac:dyDescent="0.2">
      <c r="T1585" s="8"/>
    </row>
    <row r="1586" spans="20:20" x14ac:dyDescent="0.2">
      <c r="T1586" s="8"/>
    </row>
    <row r="1587" spans="20:20" x14ac:dyDescent="0.2">
      <c r="T1587" s="8"/>
    </row>
    <row r="1588" spans="20:20" x14ac:dyDescent="0.2">
      <c r="T1588" s="8"/>
    </row>
    <row r="1589" spans="20:20" x14ac:dyDescent="0.2">
      <c r="T1589" s="8"/>
    </row>
    <row r="1590" spans="20:20" x14ac:dyDescent="0.2">
      <c r="T1590" s="8"/>
    </row>
    <row r="1591" spans="20:20" x14ac:dyDescent="0.2">
      <c r="T1591" s="8"/>
    </row>
    <row r="1592" spans="20:20" x14ac:dyDescent="0.2">
      <c r="T1592" s="8"/>
    </row>
    <row r="1593" spans="20:20" x14ac:dyDescent="0.2">
      <c r="T1593" s="8"/>
    </row>
    <row r="1594" spans="20:20" x14ac:dyDescent="0.2">
      <c r="T1594" s="8"/>
    </row>
    <row r="1595" spans="20:20" x14ac:dyDescent="0.2">
      <c r="T1595" s="8"/>
    </row>
    <row r="1596" spans="20:20" x14ac:dyDescent="0.2">
      <c r="T1596" s="8"/>
    </row>
    <row r="1597" spans="20:20" x14ac:dyDescent="0.2">
      <c r="T1597" s="8"/>
    </row>
    <row r="1598" spans="20:20" x14ac:dyDescent="0.2">
      <c r="T1598" s="8"/>
    </row>
    <row r="1599" spans="20:20" x14ac:dyDescent="0.2">
      <c r="T1599" s="8"/>
    </row>
    <row r="1600" spans="20:20" x14ac:dyDescent="0.2">
      <c r="T1600" s="8"/>
    </row>
    <row r="1601" spans="20:20" x14ac:dyDescent="0.2">
      <c r="T1601" s="8"/>
    </row>
    <row r="1602" spans="20:20" x14ac:dyDescent="0.2">
      <c r="T1602" s="8"/>
    </row>
    <row r="1603" spans="20:20" x14ac:dyDescent="0.2">
      <c r="T1603" s="8"/>
    </row>
    <row r="1604" spans="20:20" x14ac:dyDescent="0.2">
      <c r="T1604" s="8"/>
    </row>
    <row r="1605" spans="20:20" x14ac:dyDescent="0.2">
      <c r="T1605" s="8"/>
    </row>
    <row r="1606" spans="20:20" x14ac:dyDescent="0.2">
      <c r="T1606" s="8"/>
    </row>
    <row r="1607" spans="20:20" x14ac:dyDescent="0.2">
      <c r="T1607" s="8"/>
    </row>
    <row r="1608" spans="20:20" x14ac:dyDescent="0.2">
      <c r="T1608" s="8"/>
    </row>
    <row r="1609" spans="20:20" x14ac:dyDescent="0.2">
      <c r="T1609" s="8"/>
    </row>
    <row r="1610" spans="20:20" x14ac:dyDescent="0.2">
      <c r="T1610" s="8"/>
    </row>
    <row r="1611" spans="20:20" x14ac:dyDescent="0.2">
      <c r="T1611" s="8"/>
    </row>
    <row r="1612" spans="20:20" x14ac:dyDescent="0.2">
      <c r="T1612" s="8"/>
    </row>
    <row r="1613" spans="20:20" x14ac:dyDescent="0.2">
      <c r="T1613" s="8"/>
    </row>
    <row r="1614" spans="20:20" x14ac:dyDescent="0.2">
      <c r="T1614" s="8"/>
    </row>
    <row r="1615" spans="20:20" x14ac:dyDescent="0.2">
      <c r="T1615" s="8"/>
    </row>
    <row r="1616" spans="20:20" x14ac:dyDescent="0.2">
      <c r="T1616" s="8"/>
    </row>
    <row r="1617" spans="20:20" x14ac:dyDescent="0.2">
      <c r="T1617" s="8"/>
    </row>
    <row r="1618" spans="20:20" x14ac:dyDescent="0.2">
      <c r="T1618" s="8"/>
    </row>
    <row r="1619" spans="20:20" x14ac:dyDescent="0.2">
      <c r="T1619" s="8"/>
    </row>
    <row r="1620" spans="20:20" x14ac:dyDescent="0.2">
      <c r="T1620" s="8"/>
    </row>
    <row r="1621" spans="20:20" x14ac:dyDescent="0.2">
      <c r="T1621" s="8"/>
    </row>
    <row r="1622" spans="20:20" x14ac:dyDescent="0.2">
      <c r="T1622" s="8"/>
    </row>
    <row r="1623" spans="20:20" x14ac:dyDescent="0.2">
      <c r="T1623" s="8"/>
    </row>
    <row r="1624" spans="20:20" x14ac:dyDescent="0.2">
      <c r="T1624" s="8"/>
    </row>
    <row r="1625" spans="20:20" x14ac:dyDescent="0.2">
      <c r="T1625" s="8"/>
    </row>
    <row r="1626" spans="20:20" x14ac:dyDescent="0.2">
      <c r="T1626" s="8"/>
    </row>
    <row r="1627" spans="20:20" x14ac:dyDescent="0.2">
      <c r="T1627" s="8"/>
    </row>
    <row r="1628" spans="20:20" x14ac:dyDescent="0.2">
      <c r="T1628" s="8"/>
    </row>
    <row r="1629" spans="20:20" x14ac:dyDescent="0.2">
      <c r="T1629" s="8"/>
    </row>
    <row r="1630" spans="20:20" x14ac:dyDescent="0.2">
      <c r="T1630" s="8"/>
    </row>
    <row r="1631" spans="20:20" x14ac:dyDescent="0.2">
      <c r="T1631" s="8"/>
    </row>
    <row r="1632" spans="20:20" x14ac:dyDescent="0.2">
      <c r="T1632" s="8"/>
    </row>
    <row r="1633" spans="20:20" x14ac:dyDescent="0.2">
      <c r="T1633" s="8"/>
    </row>
    <row r="1634" spans="20:20" x14ac:dyDescent="0.2">
      <c r="T1634" s="8"/>
    </row>
    <row r="1635" spans="20:20" x14ac:dyDescent="0.2">
      <c r="T1635" s="8"/>
    </row>
    <row r="1636" spans="20:20" x14ac:dyDescent="0.2">
      <c r="T1636" s="8"/>
    </row>
    <row r="1637" spans="20:20" x14ac:dyDescent="0.2">
      <c r="T1637" s="8"/>
    </row>
    <row r="1638" spans="20:20" x14ac:dyDescent="0.2">
      <c r="T1638" s="8"/>
    </row>
    <row r="1639" spans="20:20" x14ac:dyDescent="0.2">
      <c r="T1639" s="8"/>
    </row>
    <row r="1640" spans="20:20" x14ac:dyDescent="0.2">
      <c r="T1640" s="8"/>
    </row>
    <row r="1641" spans="20:20" x14ac:dyDescent="0.2">
      <c r="T1641" s="8"/>
    </row>
    <row r="1642" spans="20:20" x14ac:dyDescent="0.2">
      <c r="T1642" s="8"/>
    </row>
    <row r="1643" spans="20:20" x14ac:dyDescent="0.2">
      <c r="T1643" s="8"/>
    </row>
    <row r="1644" spans="20:20" x14ac:dyDescent="0.2">
      <c r="T1644" s="8"/>
    </row>
    <row r="1645" spans="20:20" x14ac:dyDescent="0.2">
      <c r="T1645" s="8"/>
    </row>
    <row r="1646" spans="20:20" x14ac:dyDescent="0.2">
      <c r="T1646" s="8"/>
    </row>
    <row r="1647" spans="20:20" x14ac:dyDescent="0.2">
      <c r="T1647" s="8"/>
    </row>
    <row r="1648" spans="20:20" x14ac:dyDescent="0.2">
      <c r="T1648" s="8"/>
    </row>
    <row r="1649" spans="20:20" x14ac:dyDescent="0.2">
      <c r="T1649" s="8"/>
    </row>
    <row r="1650" spans="20:20" x14ac:dyDescent="0.2">
      <c r="T1650" s="8"/>
    </row>
    <row r="1651" spans="20:20" x14ac:dyDescent="0.2">
      <c r="T1651" s="8"/>
    </row>
    <row r="1652" spans="20:20" x14ac:dyDescent="0.2">
      <c r="T1652" s="8"/>
    </row>
    <row r="1653" spans="20:20" x14ac:dyDescent="0.2">
      <c r="T1653" s="8"/>
    </row>
    <row r="1654" spans="20:20" x14ac:dyDescent="0.2">
      <c r="T1654" s="8"/>
    </row>
    <row r="1655" spans="20:20" x14ac:dyDescent="0.2">
      <c r="T1655" s="8"/>
    </row>
    <row r="1656" spans="20:20" x14ac:dyDescent="0.2">
      <c r="T1656" s="8"/>
    </row>
    <row r="1657" spans="20:20" x14ac:dyDescent="0.2">
      <c r="T1657" s="8"/>
    </row>
    <row r="1658" spans="20:20" x14ac:dyDescent="0.2">
      <c r="T1658" s="8"/>
    </row>
    <row r="1659" spans="20:20" x14ac:dyDescent="0.2">
      <c r="T1659" s="8"/>
    </row>
    <row r="1660" spans="20:20" x14ac:dyDescent="0.2">
      <c r="T1660" s="8"/>
    </row>
    <row r="1661" spans="20:20" x14ac:dyDescent="0.2">
      <c r="T1661" s="8"/>
    </row>
    <row r="1662" spans="20:20" x14ac:dyDescent="0.2">
      <c r="T1662" s="8"/>
    </row>
    <row r="1663" spans="20:20" x14ac:dyDescent="0.2">
      <c r="T1663" s="8"/>
    </row>
    <row r="1664" spans="20:20" x14ac:dyDescent="0.2">
      <c r="T1664" s="8"/>
    </row>
    <row r="1665" spans="20:20" x14ac:dyDescent="0.2">
      <c r="T1665" s="8"/>
    </row>
    <row r="1666" spans="20:20" x14ac:dyDescent="0.2">
      <c r="T1666" s="8"/>
    </row>
    <row r="1667" spans="20:20" x14ac:dyDescent="0.2">
      <c r="T1667" s="8"/>
    </row>
    <row r="1668" spans="20:20" x14ac:dyDescent="0.2">
      <c r="T1668" s="8"/>
    </row>
    <row r="1669" spans="20:20" x14ac:dyDescent="0.2">
      <c r="T1669" s="8"/>
    </row>
    <row r="1670" spans="20:20" x14ac:dyDescent="0.2">
      <c r="T1670" s="8"/>
    </row>
    <row r="1671" spans="20:20" x14ac:dyDescent="0.2">
      <c r="T1671" s="8"/>
    </row>
    <row r="1672" spans="20:20" x14ac:dyDescent="0.2">
      <c r="T1672" s="8"/>
    </row>
    <row r="1673" spans="20:20" x14ac:dyDescent="0.2">
      <c r="T1673" s="8"/>
    </row>
    <row r="1674" spans="20:20" x14ac:dyDescent="0.2">
      <c r="T1674" s="8"/>
    </row>
    <row r="1675" spans="20:20" x14ac:dyDescent="0.2">
      <c r="T1675" s="8"/>
    </row>
    <row r="1676" spans="20:20" x14ac:dyDescent="0.2">
      <c r="T1676" s="8"/>
    </row>
    <row r="1677" spans="20:20" x14ac:dyDescent="0.2">
      <c r="T1677" s="8"/>
    </row>
    <row r="1678" spans="20:20" x14ac:dyDescent="0.2">
      <c r="T1678" s="8"/>
    </row>
    <row r="1679" spans="20:20" x14ac:dyDescent="0.2">
      <c r="T1679" s="8"/>
    </row>
    <row r="1680" spans="20:20" x14ac:dyDescent="0.2">
      <c r="T1680" s="8"/>
    </row>
    <row r="1681" spans="20:20" x14ac:dyDescent="0.2">
      <c r="T1681" s="8"/>
    </row>
    <row r="1682" spans="20:20" x14ac:dyDescent="0.2">
      <c r="T1682" s="8"/>
    </row>
    <row r="1683" spans="20:20" x14ac:dyDescent="0.2">
      <c r="T1683" s="8"/>
    </row>
    <row r="1684" spans="20:20" x14ac:dyDescent="0.2">
      <c r="T1684" s="8"/>
    </row>
    <row r="1685" spans="20:20" x14ac:dyDescent="0.2">
      <c r="T1685" s="8"/>
    </row>
    <row r="1686" spans="20:20" x14ac:dyDescent="0.2">
      <c r="T1686" s="8"/>
    </row>
    <row r="1687" spans="20:20" x14ac:dyDescent="0.2">
      <c r="T1687" s="8"/>
    </row>
    <row r="1688" spans="20:20" x14ac:dyDescent="0.2">
      <c r="T1688" s="8"/>
    </row>
    <row r="1689" spans="20:20" x14ac:dyDescent="0.2">
      <c r="T1689" s="8"/>
    </row>
    <row r="1690" spans="20:20" x14ac:dyDescent="0.2">
      <c r="T1690" s="8"/>
    </row>
    <row r="1691" spans="20:20" x14ac:dyDescent="0.2">
      <c r="T1691" s="8"/>
    </row>
    <row r="1692" spans="20:20" x14ac:dyDescent="0.2">
      <c r="T1692" s="8"/>
    </row>
    <row r="1693" spans="20:20" x14ac:dyDescent="0.2">
      <c r="T1693" s="8"/>
    </row>
    <row r="1694" spans="20:20" x14ac:dyDescent="0.2">
      <c r="T1694" s="8"/>
    </row>
    <row r="1695" spans="20:20" x14ac:dyDescent="0.2">
      <c r="T1695" s="8"/>
    </row>
    <row r="1696" spans="20:20" x14ac:dyDescent="0.2">
      <c r="T1696" s="8"/>
    </row>
    <row r="1697" spans="20:20" x14ac:dyDescent="0.2">
      <c r="T1697" s="8"/>
    </row>
    <row r="1698" spans="20:20" x14ac:dyDescent="0.2">
      <c r="T1698" s="8"/>
    </row>
    <row r="1699" spans="20:20" x14ac:dyDescent="0.2">
      <c r="T1699" s="8"/>
    </row>
    <row r="1700" spans="20:20" x14ac:dyDescent="0.2">
      <c r="T1700" s="8"/>
    </row>
    <row r="1701" spans="20:20" x14ac:dyDescent="0.2">
      <c r="T1701" s="8"/>
    </row>
    <row r="1702" spans="20:20" x14ac:dyDescent="0.2">
      <c r="T1702" s="8"/>
    </row>
    <row r="1703" spans="20:20" x14ac:dyDescent="0.2">
      <c r="T1703" s="8"/>
    </row>
    <row r="1704" spans="20:20" x14ac:dyDescent="0.2">
      <c r="T1704" s="8"/>
    </row>
    <row r="1705" spans="20:20" x14ac:dyDescent="0.2">
      <c r="T1705" s="8"/>
    </row>
    <row r="1706" spans="20:20" x14ac:dyDescent="0.2">
      <c r="T1706" s="8"/>
    </row>
    <row r="1707" spans="20:20" x14ac:dyDescent="0.2">
      <c r="T1707" s="8"/>
    </row>
    <row r="1708" spans="20:20" x14ac:dyDescent="0.2">
      <c r="T1708" s="8"/>
    </row>
    <row r="1709" spans="20:20" x14ac:dyDescent="0.2">
      <c r="T1709" s="8"/>
    </row>
    <row r="1710" spans="20:20" x14ac:dyDescent="0.2">
      <c r="T1710" s="8"/>
    </row>
    <row r="1711" spans="20:20" x14ac:dyDescent="0.2">
      <c r="T1711" s="8"/>
    </row>
    <row r="1712" spans="20:20" x14ac:dyDescent="0.2">
      <c r="T1712" s="8"/>
    </row>
    <row r="1713" spans="20:20" x14ac:dyDescent="0.2">
      <c r="T1713" s="8"/>
    </row>
    <row r="1714" spans="20:20" x14ac:dyDescent="0.2">
      <c r="T1714" s="8"/>
    </row>
    <row r="1715" spans="20:20" x14ac:dyDescent="0.2">
      <c r="T1715" s="8"/>
    </row>
    <row r="1716" spans="20:20" x14ac:dyDescent="0.2">
      <c r="T1716" s="8"/>
    </row>
    <row r="1717" spans="20:20" x14ac:dyDescent="0.2">
      <c r="T1717" s="8"/>
    </row>
    <row r="1718" spans="20:20" x14ac:dyDescent="0.2">
      <c r="T1718" s="8"/>
    </row>
    <row r="1719" spans="20:20" x14ac:dyDescent="0.2">
      <c r="T1719" s="8"/>
    </row>
    <row r="1720" spans="20:20" x14ac:dyDescent="0.2">
      <c r="T1720" s="8"/>
    </row>
    <row r="1721" spans="20:20" x14ac:dyDescent="0.2">
      <c r="T1721" s="8"/>
    </row>
    <row r="1722" spans="20:20" x14ac:dyDescent="0.2">
      <c r="T1722" s="8"/>
    </row>
    <row r="1723" spans="20:20" x14ac:dyDescent="0.2">
      <c r="T1723" s="8"/>
    </row>
    <row r="1724" spans="20:20" x14ac:dyDescent="0.2">
      <c r="T1724" s="8"/>
    </row>
    <row r="1725" spans="20:20" x14ac:dyDescent="0.2">
      <c r="T1725" s="8"/>
    </row>
    <row r="1726" spans="20:20" x14ac:dyDescent="0.2">
      <c r="T1726" s="8"/>
    </row>
    <row r="1727" spans="20:20" x14ac:dyDescent="0.2">
      <c r="T1727" s="8"/>
    </row>
    <row r="1728" spans="20:20" x14ac:dyDescent="0.2">
      <c r="T1728" s="8"/>
    </row>
    <row r="1729" spans="20:20" x14ac:dyDescent="0.2">
      <c r="T1729" s="8"/>
    </row>
    <row r="1730" spans="20:20" x14ac:dyDescent="0.2">
      <c r="T1730" s="8"/>
    </row>
    <row r="1731" spans="20:20" x14ac:dyDescent="0.2">
      <c r="T1731" s="8"/>
    </row>
    <row r="1732" spans="20:20" x14ac:dyDescent="0.2">
      <c r="T1732" s="8"/>
    </row>
    <row r="1733" spans="20:20" x14ac:dyDescent="0.2">
      <c r="T1733" s="8"/>
    </row>
    <row r="1734" spans="20:20" x14ac:dyDescent="0.2">
      <c r="T1734" s="8"/>
    </row>
    <row r="1735" spans="20:20" x14ac:dyDescent="0.2">
      <c r="T1735" s="8"/>
    </row>
    <row r="1736" spans="20:20" x14ac:dyDescent="0.2">
      <c r="T1736" s="8"/>
    </row>
    <row r="1737" spans="20:20" x14ac:dyDescent="0.2">
      <c r="T1737" s="8"/>
    </row>
    <row r="1738" spans="20:20" x14ac:dyDescent="0.2">
      <c r="T1738" s="8"/>
    </row>
    <row r="1739" spans="20:20" x14ac:dyDescent="0.2">
      <c r="T1739" s="8"/>
    </row>
    <row r="1740" spans="20:20" x14ac:dyDescent="0.2">
      <c r="T1740" s="8"/>
    </row>
    <row r="1741" spans="20:20" x14ac:dyDescent="0.2">
      <c r="T1741" s="8"/>
    </row>
    <row r="1742" spans="20:20" x14ac:dyDescent="0.2">
      <c r="T1742" s="8"/>
    </row>
    <row r="1743" spans="20:20" x14ac:dyDescent="0.2">
      <c r="T1743" s="8"/>
    </row>
    <row r="1744" spans="20:20" x14ac:dyDescent="0.2">
      <c r="T1744" s="8"/>
    </row>
    <row r="1745" spans="20:20" x14ac:dyDescent="0.2">
      <c r="T1745" s="8"/>
    </row>
    <row r="1746" spans="20:20" x14ac:dyDescent="0.2">
      <c r="T1746" s="8"/>
    </row>
    <row r="1747" spans="20:20" x14ac:dyDescent="0.2">
      <c r="T1747" s="8"/>
    </row>
    <row r="1748" spans="20:20" x14ac:dyDescent="0.2">
      <c r="T1748" s="8"/>
    </row>
    <row r="1749" spans="20:20" x14ac:dyDescent="0.2">
      <c r="T1749" s="8"/>
    </row>
    <row r="1750" spans="20:20" x14ac:dyDescent="0.2">
      <c r="T1750" s="8"/>
    </row>
    <row r="1751" spans="20:20" x14ac:dyDescent="0.2">
      <c r="T1751" s="8"/>
    </row>
    <row r="1752" spans="20:20" x14ac:dyDescent="0.2">
      <c r="T1752" s="8"/>
    </row>
    <row r="1753" spans="20:20" x14ac:dyDescent="0.2">
      <c r="T1753" s="8"/>
    </row>
    <row r="1754" spans="20:20" x14ac:dyDescent="0.2">
      <c r="T1754" s="8"/>
    </row>
    <row r="1755" spans="20:20" x14ac:dyDescent="0.2">
      <c r="T1755" s="8"/>
    </row>
    <row r="1756" spans="20:20" x14ac:dyDescent="0.2">
      <c r="T1756" s="8"/>
    </row>
    <row r="1757" spans="20:20" x14ac:dyDescent="0.2">
      <c r="T1757" s="8"/>
    </row>
    <row r="1758" spans="20:20" x14ac:dyDescent="0.2">
      <c r="T1758" s="8"/>
    </row>
    <row r="1759" spans="20:20" x14ac:dyDescent="0.2">
      <c r="T1759" s="8"/>
    </row>
    <row r="1760" spans="20:20" x14ac:dyDescent="0.2">
      <c r="T1760" s="8"/>
    </row>
    <row r="1761" spans="20:20" x14ac:dyDescent="0.2">
      <c r="T1761" s="8"/>
    </row>
    <row r="1762" spans="20:20" x14ac:dyDescent="0.2">
      <c r="T1762" s="8"/>
    </row>
    <row r="1763" spans="20:20" x14ac:dyDescent="0.2">
      <c r="T1763" s="8"/>
    </row>
    <row r="1764" spans="20:20" x14ac:dyDescent="0.2">
      <c r="T1764" s="8"/>
    </row>
    <row r="1765" spans="20:20" x14ac:dyDescent="0.2">
      <c r="T1765" s="8"/>
    </row>
    <row r="1766" spans="20:20" x14ac:dyDescent="0.2">
      <c r="T1766" s="8"/>
    </row>
    <row r="1767" spans="20:20" x14ac:dyDescent="0.2">
      <c r="T1767" s="8"/>
    </row>
    <row r="1768" spans="20:20" x14ac:dyDescent="0.2">
      <c r="T1768" s="8"/>
    </row>
    <row r="1769" spans="20:20" x14ac:dyDescent="0.2">
      <c r="T1769" s="8"/>
    </row>
    <row r="1770" spans="20:20" x14ac:dyDescent="0.2">
      <c r="T1770" s="8"/>
    </row>
    <row r="1771" spans="20:20" x14ac:dyDescent="0.2">
      <c r="T1771" s="8"/>
    </row>
    <row r="1772" spans="20:20" x14ac:dyDescent="0.2">
      <c r="T1772" s="8"/>
    </row>
    <row r="1773" spans="20:20" x14ac:dyDescent="0.2">
      <c r="T1773" s="8"/>
    </row>
    <row r="1774" spans="20:20" x14ac:dyDescent="0.2">
      <c r="T1774" s="8"/>
    </row>
    <row r="1775" spans="20:20" x14ac:dyDescent="0.2">
      <c r="T1775" s="8"/>
    </row>
    <row r="1776" spans="20:20" x14ac:dyDescent="0.2">
      <c r="T1776" s="8"/>
    </row>
    <row r="1777" spans="20:20" x14ac:dyDescent="0.2">
      <c r="T1777" s="8"/>
    </row>
    <row r="1778" spans="20:20" x14ac:dyDescent="0.2">
      <c r="T1778" s="8"/>
    </row>
    <row r="1779" spans="20:20" x14ac:dyDescent="0.2">
      <c r="T1779" s="8"/>
    </row>
    <row r="1780" spans="20:20" x14ac:dyDescent="0.2">
      <c r="T1780" s="8"/>
    </row>
    <row r="1781" spans="20:20" x14ac:dyDescent="0.2">
      <c r="T1781" s="8"/>
    </row>
    <row r="1782" spans="20:20" x14ac:dyDescent="0.2">
      <c r="T1782" s="8"/>
    </row>
    <row r="1783" spans="20:20" x14ac:dyDescent="0.2">
      <c r="T1783" s="8"/>
    </row>
    <row r="1784" spans="20:20" x14ac:dyDescent="0.2">
      <c r="T1784" s="8"/>
    </row>
    <row r="1785" spans="20:20" x14ac:dyDescent="0.2">
      <c r="T1785" s="8"/>
    </row>
    <row r="1786" spans="20:20" x14ac:dyDescent="0.2">
      <c r="T1786" s="8"/>
    </row>
    <row r="1787" spans="20:20" x14ac:dyDescent="0.2">
      <c r="T1787" s="8"/>
    </row>
    <row r="1788" spans="20:20" x14ac:dyDescent="0.2">
      <c r="T1788" s="8"/>
    </row>
    <row r="1789" spans="20:20" x14ac:dyDescent="0.2">
      <c r="T1789" s="8"/>
    </row>
    <row r="1790" spans="20:20" x14ac:dyDescent="0.2">
      <c r="T1790" s="8"/>
    </row>
    <row r="1791" spans="20:20" x14ac:dyDescent="0.2">
      <c r="T1791" s="8"/>
    </row>
    <row r="1792" spans="20:20" x14ac:dyDescent="0.2">
      <c r="T1792" s="8"/>
    </row>
    <row r="1793" spans="20:20" x14ac:dyDescent="0.2">
      <c r="T1793" s="8"/>
    </row>
    <row r="1794" spans="20:20" x14ac:dyDescent="0.2">
      <c r="T1794" s="8"/>
    </row>
    <row r="1795" spans="20:20" x14ac:dyDescent="0.2">
      <c r="T1795" s="8"/>
    </row>
    <row r="1796" spans="20:20" x14ac:dyDescent="0.2">
      <c r="T1796" s="8"/>
    </row>
    <row r="1797" spans="20:20" x14ac:dyDescent="0.2">
      <c r="T1797" s="8"/>
    </row>
    <row r="1798" spans="20:20" x14ac:dyDescent="0.2">
      <c r="T1798" s="8"/>
    </row>
    <row r="1799" spans="20:20" x14ac:dyDescent="0.2">
      <c r="T1799" s="8"/>
    </row>
    <row r="1800" spans="20:20" x14ac:dyDescent="0.2">
      <c r="T1800" s="8"/>
    </row>
    <row r="1801" spans="20:20" x14ac:dyDescent="0.2">
      <c r="T1801" s="8"/>
    </row>
    <row r="1802" spans="20:20" x14ac:dyDescent="0.2">
      <c r="T1802" s="8"/>
    </row>
    <row r="1803" spans="20:20" x14ac:dyDescent="0.2">
      <c r="T1803" s="8"/>
    </row>
    <row r="1804" spans="20:20" x14ac:dyDescent="0.2">
      <c r="T1804" s="8"/>
    </row>
    <row r="1805" spans="20:20" x14ac:dyDescent="0.2">
      <c r="T1805" s="8"/>
    </row>
    <row r="1806" spans="20:20" x14ac:dyDescent="0.2">
      <c r="T1806" s="8"/>
    </row>
    <row r="1807" spans="20:20" x14ac:dyDescent="0.2">
      <c r="T1807" s="8"/>
    </row>
    <row r="1808" spans="20:20" x14ac:dyDescent="0.2">
      <c r="T1808" s="8"/>
    </row>
    <row r="1809" spans="20:20" x14ac:dyDescent="0.2">
      <c r="T1809" s="8"/>
    </row>
    <row r="1810" spans="20:20" x14ac:dyDescent="0.2">
      <c r="T1810" s="8"/>
    </row>
    <row r="1811" spans="20:20" x14ac:dyDescent="0.2">
      <c r="T1811" s="8"/>
    </row>
    <row r="1812" spans="20:20" x14ac:dyDescent="0.2">
      <c r="T1812" s="8"/>
    </row>
    <row r="1813" spans="20:20" x14ac:dyDescent="0.2">
      <c r="T1813" s="8"/>
    </row>
    <row r="1814" spans="20:20" x14ac:dyDescent="0.2">
      <c r="T1814" s="8"/>
    </row>
    <row r="1815" spans="20:20" x14ac:dyDescent="0.2">
      <c r="T1815" s="8"/>
    </row>
    <row r="1816" spans="20:20" x14ac:dyDescent="0.2">
      <c r="T1816" s="8"/>
    </row>
    <row r="1817" spans="20:20" x14ac:dyDescent="0.2">
      <c r="T1817" s="8"/>
    </row>
    <row r="1818" spans="20:20" x14ac:dyDescent="0.2">
      <c r="T1818" s="8"/>
    </row>
    <row r="1819" spans="20:20" x14ac:dyDescent="0.2">
      <c r="T1819" s="8"/>
    </row>
    <row r="1820" spans="20:20" x14ac:dyDescent="0.2">
      <c r="T1820" s="8"/>
    </row>
    <row r="1821" spans="20:20" x14ac:dyDescent="0.2">
      <c r="T1821" s="8"/>
    </row>
    <row r="1822" spans="20:20" x14ac:dyDescent="0.2">
      <c r="T1822" s="8"/>
    </row>
    <row r="1823" spans="20:20" x14ac:dyDescent="0.2">
      <c r="T1823" s="8"/>
    </row>
    <row r="1824" spans="20:20" x14ac:dyDescent="0.2">
      <c r="T1824" s="8"/>
    </row>
    <row r="1825" spans="20:20" x14ac:dyDescent="0.2">
      <c r="T1825" s="8"/>
    </row>
    <row r="1826" spans="20:20" x14ac:dyDescent="0.2">
      <c r="T1826" s="8"/>
    </row>
    <row r="1827" spans="20:20" x14ac:dyDescent="0.2">
      <c r="T1827" s="8"/>
    </row>
    <row r="1828" spans="20:20" x14ac:dyDescent="0.2">
      <c r="T1828" s="8"/>
    </row>
    <row r="1829" spans="20:20" x14ac:dyDescent="0.2">
      <c r="T1829" s="8"/>
    </row>
    <row r="1830" spans="20:20" x14ac:dyDescent="0.2">
      <c r="T1830" s="8"/>
    </row>
    <row r="1831" spans="20:20" x14ac:dyDescent="0.2">
      <c r="T1831" s="8"/>
    </row>
    <row r="1832" spans="20:20" x14ac:dyDescent="0.2">
      <c r="T1832" s="8"/>
    </row>
    <row r="1833" spans="20:20" x14ac:dyDescent="0.2">
      <c r="T1833" s="8"/>
    </row>
    <row r="1834" spans="20:20" x14ac:dyDescent="0.2">
      <c r="T1834" s="8"/>
    </row>
    <row r="1835" spans="20:20" x14ac:dyDescent="0.2">
      <c r="T1835" s="8"/>
    </row>
    <row r="1836" spans="20:20" x14ac:dyDescent="0.2">
      <c r="T1836" s="8"/>
    </row>
    <row r="1837" spans="20:20" x14ac:dyDescent="0.2">
      <c r="T1837" s="8"/>
    </row>
    <row r="1838" spans="20:20" x14ac:dyDescent="0.2">
      <c r="T1838" s="8"/>
    </row>
    <row r="1839" spans="20:20" x14ac:dyDescent="0.2">
      <c r="T1839" s="8"/>
    </row>
    <row r="1840" spans="20:20" x14ac:dyDescent="0.2">
      <c r="T1840" s="8"/>
    </row>
    <row r="1841" spans="20:20" x14ac:dyDescent="0.2">
      <c r="T1841" s="8"/>
    </row>
    <row r="1842" spans="20:20" x14ac:dyDescent="0.2">
      <c r="T1842" s="8"/>
    </row>
    <row r="1843" spans="20:20" x14ac:dyDescent="0.2">
      <c r="T1843" s="8"/>
    </row>
    <row r="1844" spans="20:20" x14ac:dyDescent="0.2">
      <c r="T1844" s="8"/>
    </row>
    <row r="1845" spans="20:20" x14ac:dyDescent="0.2">
      <c r="T1845" s="8"/>
    </row>
    <row r="1846" spans="20:20" x14ac:dyDescent="0.2">
      <c r="T1846" s="8"/>
    </row>
    <row r="1847" spans="20:20" x14ac:dyDescent="0.2">
      <c r="T1847" s="8"/>
    </row>
    <row r="1848" spans="20:20" x14ac:dyDescent="0.2">
      <c r="T1848" s="8"/>
    </row>
    <row r="1849" spans="20:20" x14ac:dyDescent="0.2">
      <c r="T1849" s="8"/>
    </row>
    <row r="1850" spans="20:20" x14ac:dyDescent="0.2">
      <c r="T1850" s="8"/>
    </row>
    <row r="1851" spans="20:20" x14ac:dyDescent="0.2">
      <c r="T1851" s="8"/>
    </row>
    <row r="1852" spans="20:20" x14ac:dyDescent="0.2">
      <c r="T1852" s="8"/>
    </row>
    <row r="1853" spans="20:20" x14ac:dyDescent="0.2">
      <c r="T1853" s="8"/>
    </row>
    <row r="1854" spans="20:20" x14ac:dyDescent="0.2">
      <c r="T1854" s="8"/>
    </row>
    <row r="1855" spans="20:20" x14ac:dyDescent="0.2">
      <c r="T1855" s="8"/>
    </row>
    <row r="1856" spans="20:20" x14ac:dyDescent="0.2">
      <c r="T1856" s="8"/>
    </row>
    <row r="1857" spans="20:20" x14ac:dyDescent="0.2">
      <c r="T1857" s="8"/>
    </row>
    <row r="1858" spans="20:20" x14ac:dyDescent="0.2">
      <c r="T1858" s="8"/>
    </row>
    <row r="1859" spans="20:20" x14ac:dyDescent="0.2">
      <c r="T1859" s="8"/>
    </row>
    <row r="1860" spans="20:20" x14ac:dyDescent="0.2">
      <c r="T1860" s="8"/>
    </row>
    <row r="1861" spans="20:20" x14ac:dyDescent="0.2">
      <c r="T1861" s="8"/>
    </row>
    <row r="1862" spans="20:20" x14ac:dyDescent="0.2">
      <c r="T1862" s="8"/>
    </row>
    <row r="1863" spans="20:20" x14ac:dyDescent="0.2">
      <c r="T1863" s="8"/>
    </row>
    <row r="1864" spans="20:20" x14ac:dyDescent="0.2">
      <c r="T1864" s="8"/>
    </row>
    <row r="1865" spans="20:20" x14ac:dyDescent="0.2">
      <c r="T1865" s="8"/>
    </row>
    <row r="1866" spans="20:20" x14ac:dyDescent="0.2">
      <c r="T1866" s="8"/>
    </row>
    <row r="1867" spans="20:20" x14ac:dyDescent="0.2">
      <c r="T1867" s="8"/>
    </row>
    <row r="1868" spans="20:20" x14ac:dyDescent="0.2">
      <c r="T1868" s="8"/>
    </row>
    <row r="1869" spans="20:20" x14ac:dyDescent="0.2">
      <c r="T1869" s="8"/>
    </row>
    <row r="1870" spans="20:20" x14ac:dyDescent="0.2">
      <c r="T1870" s="8"/>
    </row>
    <row r="1871" spans="20:20" x14ac:dyDescent="0.2">
      <c r="T1871" s="8"/>
    </row>
    <row r="1872" spans="20:20" x14ac:dyDescent="0.2">
      <c r="T1872" s="8"/>
    </row>
    <row r="1873" spans="20:20" x14ac:dyDescent="0.2">
      <c r="T1873" s="8"/>
    </row>
    <row r="1874" spans="20:20" x14ac:dyDescent="0.2">
      <c r="T1874" s="8"/>
    </row>
    <row r="1875" spans="20:20" x14ac:dyDescent="0.2">
      <c r="T1875" s="8"/>
    </row>
    <row r="1876" spans="20:20" x14ac:dyDescent="0.2">
      <c r="T1876" s="8"/>
    </row>
    <row r="1877" spans="20:20" x14ac:dyDescent="0.2">
      <c r="T1877" s="8"/>
    </row>
    <row r="1878" spans="20:20" x14ac:dyDescent="0.2">
      <c r="T1878" s="8"/>
    </row>
    <row r="1879" spans="20:20" x14ac:dyDescent="0.2">
      <c r="T1879" s="8"/>
    </row>
    <row r="1880" spans="20:20" x14ac:dyDescent="0.2">
      <c r="T1880" s="8"/>
    </row>
    <row r="1881" spans="20:20" x14ac:dyDescent="0.2">
      <c r="T1881" s="8"/>
    </row>
    <row r="1882" spans="20:20" x14ac:dyDescent="0.2">
      <c r="T1882" s="8"/>
    </row>
    <row r="1883" spans="20:20" x14ac:dyDescent="0.2">
      <c r="T1883" s="8"/>
    </row>
    <row r="1884" spans="20:20" x14ac:dyDescent="0.2">
      <c r="T1884" s="8"/>
    </row>
    <row r="1885" spans="20:20" x14ac:dyDescent="0.2">
      <c r="T1885" s="8"/>
    </row>
    <row r="1886" spans="20:20" x14ac:dyDescent="0.2">
      <c r="T1886" s="8"/>
    </row>
    <row r="1887" spans="20:20" x14ac:dyDescent="0.2">
      <c r="T1887" s="8"/>
    </row>
    <row r="1888" spans="20:20" x14ac:dyDescent="0.2">
      <c r="T1888" s="8"/>
    </row>
    <row r="1889" spans="20:20" x14ac:dyDescent="0.2">
      <c r="T1889" s="8"/>
    </row>
    <row r="1890" spans="20:20" x14ac:dyDescent="0.2">
      <c r="T1890" s="8"/>
    </row>
    <row r="1891" spans="20:20" x14ac:dyDescent="0.2">
      <c r="T1891" s="8"/>
    </row>
    <row r="1892" spans="20:20" x14ac:dyDescent="0.2">
      <c r="T1892" s="8"/>
    </row>
    <row r="1893" spans="20:20" x14ac:dyDescent="0.2">
      <c r="T1893" s="8"/>
    </row>
    <row r="1894" spans="20:20" x14ac:dyDescent="0.2">
      <c r="T1894" s="8"/>
    </row>
    <row r="1895" spans="20:20" x14ac:dyDescent="0.2">
      <c r="T1895" s="8"/>
    </row>
    <row r="1896" spans="20:20" x14ac:dyDescent="0.2">
      <c r="T1896" s="8"/>
    </row>
    <row r="1897" spans="20:20" x14ac:dyDescent="0.2">
      <c r="T1897" s="8"/>
    </row>
    <row r="1898" spans="20:20" x14ac:dyDescent="0.2">
      <c r="T1898" s="8"/>
    </row>
    <row r="1899" spans="20:20" x14ac:dyDescent="0.2">
      <c r="T1899" s="8"/>
    </row>
    <row r="1900" spans="20:20" x14ac:dyDescent="0.2">
      <c r="T1900" s="8"/>
    </row>
    <row r="1901" spans="20:20" x14ac:dyDescent="0.2">
      <c r="T1901" s="8"/>
    </row>
    <row r="1902" spans="20:20" x14ac:dyDescent="0.2">
      <c r="T1902" s="8"/>
    </row>
    <row r="1903" spans="20:20" x14ac:dyDescent="0.2">
      <c r="T1903" s="8"/>
    </row>
    <row r="1904" spans="20:20" x14ac:dyDescent="0.2">
      <c r="T1904" s="8"/>
    </row>
    <row r="1905" spans="20:20" x14ac:dyDescent="0.2">
      <c r="T1905" s="8"/>
    </row>
    <row r="1906" spans="20:20" x14ac:dyDescent="0.2">
      <c r="T1906" s="8"/>
    </row>
    <row r="1907" spans="20:20" x14ac:dyDescent="0.2">
      <c r="T1907" s="8"/>
    </row>
    <row r="1908" spans="20:20" x14ac:dyDescent="0.2">
      <c r="T1908" s="8"/>
    </row>
    <row r="1909" spans="20:20" x14ac:dyDescent="0.2">
      <c r="T1909" s="8"/>
    </row>
    <row r="1910" spans="20:20" x14ac:dyDescent="0.2">
      <c r="T1910" s="8"/>
    </row>
    <row r="1911" spans="20:20" x14ac:dyDescent="0.2">
      <c r="T1911" s="8"/>
    </row>
    <row r="1912" spans="20:20" x14ac:dyDescent="0.2">
      <c r="T1912" s="8"/>
    </row>
    <row r="1913" spans="20:20" x14ac:dyDescent="0.2">
      <c r="T1913" s="8"/>
    </row>
    <row r="1914" spans="20:20" x14ac:dyDescent="0.2">
      <c r="T1914" s="8"/>
    </row>
    <row r="1915" spans="20:20" x14ac:dyDescent="0.2">
      <c r="T1915" s="8"/>
    </row>
    <row r="1916" spans="20:20" x14ac:dyDescent="0.2">
      <c r="T1916" s="8"/>
    </row>
    <row r="1917" spans="20:20" x14ac:dyDescent="0.2">
      <c r="T1917" s="8"/>
    </row>
    <row r="1918" spans="20:20" x14ac:dyDescent="0.2">
      <c r="T1918" s="8"/>
    </row>
    <row r="1919" spans="20:20" x14ac:dyDescent="0.2">
      <c r="T1919" s="8"/>
    </row>
    <row r="1920" spans="20:20" x14ac:dyDescent="0.2">
      <c r="T1920" s="8"/>
    </row>
    <row r="1921" spans="20:20" x14ac:dyDescent="0.2">
      <c r="T1921" s="8"/>
    </row>
    <row r="1922" spans="20:20" x14ac:dyDescent="0.2">
      <c r="T1922" s="8"/>
    </row>
    <row r="1923" spans="20:20" x14ac:dyDescent="0.2">
      <c r="T1923" s="8"/>
    </row>
    <row r="1924" spans="20:20" x14ac:dyDescent="0.2">
      <c r="T1924" s="8"/>
    </row>
    <row r="1925" spans="20:20" x14ac:dyDescent="0.2">
      <c r="T1925" s="8"/>
    </row>
    <row r="1926" spans="20:20" x14ac:dyDescent="0.2">
      <c r="T1926" s="8"/>
    </row>
    <row r="1927" spans="20:20" x14ac:dyDescent="0.2">
      <c r="T1927" s="8"/>
    </row>
    <row r="1928" spans="20:20" x14ac:dyDescent="0.2">
      <c r="T1928" s="8"/>
    </row>
    <row r="1929" spans="20:20" x14ac:dyDescent="0.2">
      <c r="T1929" s="8"/>
    </row>
    <row r="1930" spans="20:20" x14ac:dyDescent="0.2">
      <c r="T1930" s="8"/>
    </row>
    <row r="1931" spans="20:20" x14ac:dyDescent="0.2">
      <c r="T1931" s="8"/>
    </row>
    <row r="1932" spans="20:20" x14ac:dyDescent="0.2">
      <c r="T1932" s="8"/>
    </row>
    <row r="1933" spans="20:20" x14ac:dyDescent="0.2">
      <c r="T1933" s="8"/>
    </row>
    <row r="1934" spans="20:20" x14ac:dyDescent="0.2">
      <c r="T1934" s="8"/>
    </row>
    <row r="1935" spans="20:20" x14ac:dyDescent="0.2">
      <c r="T1935" s="8"/>
    </row>
    <row r="1936" spans="20:20" x14ac:dyDescent="0.2">
      <c r="T1936" s="8"/>
    </row>
    <row r="1937" spans="20:20" x14ac:dyDescent="0.2">
      <c r="T1937" s="8"/>
    </row>
    <row r="1938" spans="20:20" x14ac:dyDescent="0.2">
      <c r="T1938" s="8"/>
    </row>
    <row r="1939" spans="20:20" x14ac:dyDescent="0.2">
      <c r="T1939" s="8"/>
    </row>
    <row r="1940" spans="20:20" x14ac:dyDescent="0.2">
      <c r="T1940" s="8"/>
    </row>
    <row r="1941" spans="20:20" x14ac:dyDescent="0.2">
      <c r="T1941" s="8"/>
    </row>
    <row r="1942" spans="20:20" x14ac:dyDescent="0.2">
      <c r="T1942" s="8"/>
    </row>
    <row r="1943" spans="20:20" x14ac:dyDescent="0.2">
      <c r="T1943" s="8"/>
    </row>
    <row r="1944" spans="20:20" x14ac:dyDescent="0.2">
      <c r="T1944" s="8"/>
    </row>
    <row r="1945" spans="20:20" x14ac:dyDescent="0.2">
      <c r="T1945" s="8"/>
    </row>
    <row r="1946" spans="20:20" x14ac:dyDescent="0.2">
      <c r="T1946" s="8"/>
    </row>
    <row r="1947" spans="20:20" x14ac:dyDescent="0.2">
      <c r="T1947" s="8"/>
    </row>
    <row r="1948" spans="20:20" x14ac:dyDescent="0.2">
      <c r="T1948" s="8"/>
    </row>
    <row r="1949" spans="20:20" x14ac:dyDescent="0.2">
      <c r="T1949" s="8"/>
    </row>
    <row r="1950" spans="20:20" x14ac:dyDescent="0.2">
      <c r="T1950" s="8"/>
    </row>
    <row r="1951" spans="20:20" x14ac:dyDescent="0.2">
      <c r="T1951" s="8"/>
    </row>
    <row r="1952" spans="20:20" x14ac:dyDescent="0.2">
      <c r="T1952" s="8"/>
    </row>
    <row r="1953" spans="20:20" x14ac:dyDescent="0.2">
      <c r="T1953" s="8"/>
    </row>
    <row r="1954" spans="20:20" x14ac:dyDescent="0.2">
      <c r="T1954" s="8"/>
    </row>
    <row r="1955" spans="20:20" x14ac:dyDescent="0.2">
      <c r="T1955" s="8"/>
    </row>
    <row r="1956" spans="20:20" x14ac:dyDescent="0.2">
      <c r="T1956" s="8"/>
    </row>
    <row r="1957" spans="20:20" x14ac:dyDescent="0.2">
      <c r="T1957" s="8"/>
    </row>
    <row r="1958" spans="20:20" x14ac:dyDescent="0.2">
      <c r="T1958" s="8"/>
    </row>
    <row r="1959" spans="20:20" x14ac:dyDescent="0.2">
      <c r="T1959" s="8"/>
    </row>
    <row r="1960" spans="20:20" x14ac:dyDescent="0.2">
      <c r="T1960" s="8"/>
    </row>
    <row r="1961" spans="20:20" x14ac:dyDescent="0.2">
      <c r="T1961" s="8"/>
    </row>
    <row r="1962" spans="20:20" x14ac:dyDescent="0.2">
      <c r="T1962" s="8"/>
    </row>
    <row r="1963" spans="20:20" x14ac:dyDescent="0.2">
      <c r="T1963" s="8"/>
    </row>
    <row r="1964" spans="20:20" x14ac:dyDescent="0.2">
      <c r="T1964" s="8"/>
    </row>
    <row r="1965" spans="20:20" x14ac:dyDescent="0.2">
      <c r="T1965" s="8"/>
    </row>
    <row r="1966" spans="20:20" x14ac:dyDescent="0.2">
      <c r="T1966" s="8"/>
    </row>
    <row r="1967" spans="20:20" x14ac:dyDescent="0.2">
      <c r="T1967" s="8"/>
    </row>
    <row r="1968" spans="20:20" x14ac:dyDescent="0.2">
      <c r="T1968" s="8"/>
    </row>
    <row r="1969" spans="20:20" x14ac:dyDescent="0.2">
      <c r="T1969" s="8"/>
    </row>
    <row r="1970" spans="20:20" x14ac:dyDescent="0.2">
      <c r="T1970" s="8"/>
    </row>
    <row r="1971" spans="20:20" x14ac:dyDescent="0.2">
      <c r="T1971" s="8"/>
    </row>
    <row r="1972" spans="20:20" x14ac:dyDescent="0.2">
      <c r="T1972" s="8"/>
    </row>
    <row r="1973" spans="20:20" x14ac:dyDescent="0.2">
      <c r="T1973" s="8"/>
    </row>
    <row r="1974" spans="20:20" x14ac:dyDescent="0.2">
      <c r="T1974" s="8"/>
    </row>
    <row r="1975" spans="20:20" x14ac:dyDescent="0.2">
      <c r="T1975" s="8"/>
    </row>
    <row r="1976" spans="20:20" x14ac:dyDescent="0.2">
      <c r="T1976" s="8"/>
    </row>
    <row r="1977" spans="20:20" x14ac:dyDescent="0.2">
      <c r="T1977" s="8"/>
    </row>
    <row r="1978" spans="20:20" x14ac:dyDescent="0.2">
      <c r="T1978" s="8"/>
    </row>
    <row r="1979" spans="20:20" x14ac:dyDescent="0.2">
      <c r="T1979" s="8"/>
    </row>
    <row r="1980" spans="20:20" x14ac:dyDescent="0.2">
      <c r="T1980" s="8"/>
    </row>
    <row r="1981" spans="20:20" x14ac:dyDescent="0.2">
      <c r="T1981" s="8"/>
    </row>
    <row r="1982" spans="20:20" x14ac:dyDescent="0.2">
      <c r="T1982" s="8"/>
    </row>
    <row r="1983" spans="20:20" x14ac:dyDescent="0.2">
      <c r="T1983" s="8"/>
    </row>
    <row r="1984" spans="20:20" x14ac:dyDescent="0.2">
      <c r="T1984" s="8"/>
    </row>
    <row r="1985" spans="20:20" x14ac:dyDescent="0.2">
      <c r="T1985" s="8"/>
    </row>
    <row r="1986" spans="20:20" x14ac:dyDescent="0.2">
      <c r="T1986" s="8"/>
    </row>
    <row r="1987" spans="20:20" x14ac:dyDescent="0.2">
      <c r="T1987" s="8"/>
    </row>
    <row r="1988" spans="20:20" x14ac:dyDescent="0.2">
      <c r="T1988" s="8"/>
    </row>
    <row r="1989" spans="20:20" x14ac:dyDescent="0.2">
      <c r="T1989" s="8"/>
    </row>
    <row r="1990" spans="20:20" x14ac:dyDescent="0.2">
      <c r="T1990" s="8"/>
    </row>
    <row r="1991" spans="20:20" x14ac:dyDescent="0.2">
      <c r="T1991" s="8"/>
    </row>
    <row r="1992" spans="20:20" x14ac:dyDescent="0.2">
      <c r="T1992" s="8"/>
    </row>
    <row r="1993" spans="20:20" x14ac:dyDescent="0.2">
      <c r="T1993" s="8"/>
    </row>
    <row r="1994" spans="20:20" x14ac:dyDescent="0.2">
      <c r="T1994" s="8"/>
    </row>
    <row r="1995" spans="20:20" x14ac:dyDescent="0.2">
      <c r="T1995" s="8"/>
    </row>
    <row r="1996" spans="20:20" x14ac:dyDescent="0.2">
      <c r="T1996" s="8"/>
    </row>
    <row r="1997" spans="20:20" x14ac:dyDescent="0.2">
      <c r="T1997" s="8"/>
    </row>
    <row r="1998" spans="20:20" x14ac:dyDescent="0.2">
      <c r="T1998" s="8"/>
    </row>
    <row r="1999" spans="20:20" x14ac:dyDescent="0.2">
      <c r="T1999" s="8"/>
    </row>
    <row r="2000" spans="20:20" x14ac:dyDescent="0.2">
      <c r="T2000" s="8"/>
    </row>
    <row r="2001" spans="20:20" x14ac:dyDescent="0.2">
      <c r="T2001" s="8"/>
    </row>
    <row r="2002" spans="20:20" x14ac:dyDescent="0.2">
      <c r="T2002" s="8"/>
    </row>
    <row r="2003" spans="20:20" x14ac:dyDescent="0.2">
      <c r="T2003" s="8"/>
    </row>
    <row r="2004" spans="20:20" x14ac:dyDescent="0.2">
      <c r="T2004" s="8"/>
    </row>
    <row r="2005" spans="20:20" x14ac:dyDescent="0.2">
      <c r="T2005" s="8"/>
    </row>
    <row r="2006" spans="20:20" x14ac:dyDescent="0.2">
      <c r="T2006" s="8"/>
    </row>
    <row r="2007" spans="20:20" x14ac:dyDescent="0.2">
      <c r="T2007" s="8"/>
    </row>
    <row r="2008" spans="20:20" x14ac:dyDescent="0.2">
      <c r="T2008" s="8"/>
    </row>
    <row r="2009" spans="20:20" x14ac:dyDescent="0.2">
      <c r="T2009" s="8"/>
    </row>
    <row r="2010" spans="20:20" x14ac:dyDescent="0.2">
      <c r="T2010" s="8"/>
    </row>
    <row r="2011" spans="20:20" x14ac:dyDescent="0.2">
      <c r="T2011" s="8"/>
    </row>
    <row r="2012" spans="20:20" x14ac:dyDescent="0.2">
      <c r="T2012" s="8"/>
    </row>
    <row r="2013" spans="20:20" x14ac:dyDescent="0.2">
      <c r="T2013" s="8"/>
    </row>
    <row r="2014" spans="20:20" x14ac:dyDescent="0.2">
      <c r="T2014" s="8"/>
    </row>
    <row r="2015" spans="20:20" x14ac:dyDescent="0.2">
      <c r="T2015" s="8"/>
    </row>
    <row r="2016" spans="20:20" x14ac:dyDescent="0.2">
      <c r="T2016" s="8"/>
    </row>
    <row r="2017" spans="20:20" x14ac:dyDescent="0.2">
      <c r="T2017" s="8"/>
    </row>
    <row r="2018" spans="20:20" x14ac:dyDescent="0.2">
      <c r="T2018" s="8"/>
    </row>
    <row r="2019" spans="20:20" x14ac:dyDescent="0.2">
      <c r="T2019" s="8"/>
    </row>
    <row r="2020" spans="20:20" x14ac:dyDescent="0.2">
      <c r="T2020" s="8"/>
    </row>
    <row r="2021" spans="20:20" x14ac:dyDescent="0.2">
      <c r="T2021" s="8"/>
    </row>
    <row r="2022" spans="20:20" x14ac:dyDescent="0.2">
      <c r="T2022" s="8"/>
    </row>
    <row r="2023" spans="20:20" x14ac:dyDescent="0.2">
      <c r="T2023" s="8"/>
    </row>
    <row r="2024" spans="20:20" x14ac:dyDescent="0.2">
      <c r="T2024" s="8"/>
    </row>
    <row r="2025" spans="20:20" x14ac:dyDescent="0.2">
      <c r="T2025" s="8"/>
    </row>
    <row r="2026" spans="20:20" x14ac:dyDescent="0.2">
      <c r="T2026" s="8"/>
    </row>
    <row r="2027" spans="20:20" x14ac:dyDescent="0.2">
      <c r="T2027" s="8"/>
    </row>
    <row r="2028" spans="20:20" x14ac:dyDescent="0.2">
      <c r="T2028" s="8"/>
    </row>
    <row r="2029" spans="20:20" x14ac:dyDescent="0.2">
      <c r="T2029" s="8"/>
    </row>
    <row r="2030" spans="20:20" x14ac:dyDescent="0.2">
      <c r="T2030" s="8"/>
    </row>
    <row r="2031" spans="20:20" x14ac:dyDescent="0.2">
      <c r="T2031" s="8"/>
    </row>
    <row r="2032" spans="20:20" x14ac:dyDescent="0.2">
      <c r="T2032" s="8"/>
    </row>
    <row r="2033" spans="20:20" x14ac:dyDescent="0.2">
      <c r="T2033" s="8"/>
    </row>
    <row r="2034" spans="20:20" x14ac:dyDescent="0.2">
      <c r="T2034" s="8"/>
    </row>
    <row r="2035" spans="20:20" x14ac:dyDescent="0.2">
      <c r="T2035" s="8"/>
    </row>
    <row r="2036" spans="20:20" x14ac:dyDescent="0.2">
      <c r="T2036" s="8"/>
    </row>
    <row r="2037" spans="20:20" x14ac:dyDescent="0.2">
      <c r="T2037" s="8"/>
    </row>
    <row r="2038" spans="20:20" x14ac:dyDescent="0.2">
      <c r="T2038" s="8"/>
    </row>
    <row r="2039" spans="20:20" x14ac:dyDescent="0.2">
      <c r="T2039" s="8"/>
    </row>
    <row r="2040" spans="20:20" x14ac:dyDescent="0.2">
      <c r="T2040" s="8"/>
    </row>
    <row r="2041" spans="20:20" x14ac:dyDescent="0.2">
      <c r="T2041" s="8"/>
    </row>
    <row r="2042" spans="20:20" x14ac:dyDescent="0.2">
      <c r="T2042" s="8"/>
    </row>
    <row r="2043" spans="20:20" x14ac:dyDescent="0.2">
      <c r="T2043" s="8"/>
    </row>
    <row r="2044" spans="20:20" x14ac:dyDescent="0.2">
      <c r="T2044" s="8"/>
    </row>
    <row r="2045" spans="20:20" x14ac:dyDescent="0.2">
      <c r="T2045" s="8"/>
    </row>
    <row r="2046" spans="20:20" x14ac:dyDescent="0.2">
      <c r="T2046" s="8"/>
    </row>
    <row r="2047" spans="20:20" x14ac:dyDescent="0.2">
      <c r="T2047" s="8"/>
    </row>
    <row r="2048" spans="20:20" x14ac:dyDescent="0.2">
      <c r="T2048" s="8"/>
    </row>
    <row r="2049" spans="20:20" x14ac:dyDescent="0.2">
      <c r="T2049" s="8"/>
    </row>
    <row r="2050" spans="20:20" x14ac:dyDescent="0.2">
      <c r="T2050" s="8"/>
    </row>
    <row r="2051" spans="20:20" x14ac:dyDescent="0.2">
      <c r="T2051" s="8"/>
    </row>
    <row r="2052" spans="20:20" x14ac:dyDescent="0.2">
      <c r="T2052" s="8"/>
    </row>
    <row r="2053" spans="20:20" x14ac:dyDescent="0.2">
      <c r="T2053" s="8"/>
    </row>
    <row r="2054" spans="20:20" x14ac:dyDescent="0.2">
      <c r="T2054" s="8"/>
    </row>
    <row r="2055" spans="20:20" x14ac:dyDescent="0.2">
      <c r="T2055" s="8"/>
    </row>
    <row r="2056" spans="20:20" x14ac:dyDescent="0.2">
      <c r="T2056" s="8"/>
    </row>
    <row r="2057" spans="20:20" x14ac:dyDescent="0.2">
      <c r="T2057" s="8"/>
    </row>
    <row r="2058" spans="20:20" x14ac:dyDescent="0.2">
      <c r="T2058" s="8"/>
    </row>
    <row r="2059" spans="20:20" x14ac:dyDescent="0.2">
      <c r="T2059" s="8"/>
    </row>
    <row r="2060" spans="20:20" x14ac:dyDescent="0.2">
      <c r="T2060" s="8"/>
    </row>
    <row r="2061" spans="20:20" x14ac:dyDescent="0.2">
      <c r="T2061" s="8"/>
    </row>
    <row r="2062" spans="20:20" x14ac:dyDescent="0.2">
      <c r="T2062" s="8"/>
    </row>
    <row r="2063" spans="20:20" x14ac:dyDescent="0.2">
      <c r="T2063" s="8"/>
    </row>
    <row r="2064" spans="20:20" x14ac:dyDescent="0.2">
      <c r="T2064" s="8"/>
    </row>
    <row r="2065" spans="20:20" x14ac:dyDescent="0.2">
      <c r="T2065" s="8"/>
    </row>
    <row r="2066" spans="20:20" x14ac:dyDescent="0.2">
      <c r="T2066" s="8"/>
    </row>
    <row r="2067" spans="20:20" x14ac:dyDescent="0.2">
      <c r="T2067" s="8"/>
    </row>
    <row r="2068" spans="20:20" x14ac:dyDescent="0.2">
      <c r="T2068" s="8"/>
    </row>
    <row r="2069" spans="20:20" x14ac:dyDescent="0.2">
      <c r="T2069" s="8"/>
    </row>
    <row r="2070" spans="20:20" x14ac:dyDescent="0.2">
      <c r="T2070" s="8"/>
    </row>
    <row r="2071" spans="20:20" x14ac:dyDescent="0.2">
      <c r="T2071" s="8"/>
    </row>
    <row r="2072" spans="20:20" x14ac:dyDescent="0.2">
      <c r="T2072" s="8"/>
    </row>
    <row r="2073" spans="20:20" x14ac:dyDescent="0.2">
      <c r="T2073" s="8"/>
    </row>
    <row r="2074" spans="20:20" x14ac:dyDescent="0.2">
      <c r="T2074" s="8"/>
    </row>
    <row r="2075" spans="20:20" x14ac:dyDescent="0.2">
      <c r="T2075" s="8"/>
    </row>
    <row r="2076" spans="20:20" x14ac:dyDescent="0.2">
      <c r="T2076" s="8"/>
    </row>
    <row r="2077" spans="20:20" x14ac:dyDescent="0.2">
      <c r="T2077" s="8"/>
    </row>
    <row r="2078" spans="20:20" x14ac:dyDescent="0.2">
      <c r="T2078" s="8"/>
    </row>
    <row r="2079" spans="20:20" x14ac:dyDescent="0.2">
      <c r="T2079" s="8"/>
    </row>
    <row r="2080" spans="20:20" x14ac:dyDescent="0.2">
      <c r="T2080" s="8"/>
    </row>
    <row r="2081" spans="20:20" x14ac:dyDescent="0.2">
      <c r="T2081" s="8"/>
    </row>
    <row r="2082" spans="20:20" x14ac:dyDescent="0.2">
      <c r="T2082" s="8"/>
    </row>
    <row r="2083" spans="20:20" x14ac:dyDescent="0.2">
      <c r="T2083" s="8"/>
    </row>
    <row r="2084" spans="20:20" x14ac:dyDescent="0.2">
      <c r="T2084" s="8"/>
    </row>
    <row r="2085" spans="20:20" x14ac:dyDescent="0.2">
      <c r="T2085" s="8"/>
    </row>
    <row r="2086" spans="20:20" x14ac:dyDescent="0.2">
      <c r="T2086" s="8"/>
    </row>
    <row r="2087" spans="20:20" x14ac:dyDescent="0.2">
      <c r="T2087" s="8"/>
    </row>
    <row r="2088" spans="20:20" x14ac:dyDescent="0.2">
      <c r="T2088" s="8"/>
    </row>
    <row r="2089" spans="20:20" x14ac:dyDescent="0.2">
      <c r="T2089" s="8"/>
    </row>
    <row r="2090" spans="20:20" x14ac:dyDescent="0.2">
      <c r="T2090" s="8"/>
    </row>
    <row r="2091" spans="20:20" x14ac:dyDescent="0.2">
      <c r="T2091" s="8"/>
    </row>
    <row r="2092" spans="20:20" x14ac:dyDescent="0.2">
      <c r="T2092" s="8"/>
    </row>
    <row r="2093" spans="20:20" x14ac:dyDescent="0.2">
      <c r="T2093" s="8"/>
    </row>
    <row r="2094" spans="20:20" x14ac:dyDescent="0.2">
      <c r="T2094" s="8"/>
    </row>
    <row r="2095" spans="20:20" x14ac:dyDescent="0.2">
      <c r="T2095" s="8"/>
    </row>
    <row r="2096" spans="20:20" x14ac:dyDescent="0.2">
      <c r="T2096" s="8"/>
    </row>
    <row r="2097" spans="20:20" x14ac:dyDescent="0.2">
      <c r="T2097" s="8"/>
    </row>
    <row r="2098" spans="20:20" x14ac:dyDescent="0.2">
      <c r="T2098" s="8"/>
    </row>
    <row r="2099" spans="20:20" x14ac:dyDescent="0.2">
      <c r="T2099" s="8"/>
    </row>
    <row r="2100" spans="20:20" x14ac:dyDescent="0.2">
      <c r="T2100" s="8"/>
    </row>
    <row r="2101" spans="20:20" x14ac:dyDescent="0.2">
      <c r="T2101" s="8"/>
    </row>
    <row r="2102" spans="20:20" x14ac:dyDescent="0.2">
      <c r="T2102" s="8"/>
    </row>
    <row r="2103" spans="20:20" x14ac:dyDescent="0.2">
      <c r="T2103" s="8"/>
    </row>
    <row r="2104" spans="20:20" x14ac:dyDescent="0.2">
      <c r="T2104" s="8"/>
    </row>
    <row r="2105" spans="20:20" x14ac:dyDescent="0.2">
      <c r="T2105" s="8"/>
    </row>
    <row r="2106" spans="20:20" x14ac:dyDescent="0.2">
      <c r="T2106" s="8"/>
    </row>
    <row r="2107" spans="20:20" x14ac:dyDescent="0.2">
      <c r="T2107" s="8"/>
    </row>
    <row r="2108" spans="20:20" x14ac:dyDescent="0.2">
      <c r="T2108" s="8"/>
    </row>
    <row r="2109" spans="20:20" x14ac:dyDescent="0.2">
      <c r="T2109" s="8"/>
    </row>
    <row r="2110" spans="20:20" x14ac:dyDescent="0.2">
      <c r="T2110" s="8"/>
    </row>
    <row r="2111" spans="20:20" x14ac:dyDescent="0.2">
      <c r="T2111" s="8"/>
    </row>
    <row r="2112" spans="20:20" x14ac:dyDescent="0.2">
      <c r="T2112" s="8"/>
    </row>
    <row r="2113" spans="20:20" x14ac:dyDescent="0.2">
      <c r="T2113" s="8"/>
    </row>
    <row r="2114" spans="20:20" x14ac:dyDescent="0.2">
      <c r="T2114" s="8"/>
    </row>
    <row r="2115" spans="20:20" x14ac:dyDescent="0.2">
      <c r="T2115" s="8"/>
    </row>
    <row r="2116" spans="20:20" x14ac:dyDescent="0.2">
      <c r="T2116" s="8"/>
    </row>
    <row r="2117" spans="20:20" x14ac:dyDescent="0.2">
      <c r="T2117" s="8"/>
    </row>
    <row r="2118" spans="20:20" x14ac:dyDescent="0.2">
      <c r="T2118" s="8"/>
    </row>
    <row r="2119" spans="20:20" x14ac:dyDescent="0.2">
      <c r="T2119" s="8"/>
    </row>
    <row r="2120" spans="20:20" x14ac:dyDescent="0.2">
      <c r="T2120" s="8"/>
    </row>
    <row r="2121" spans="20:20" x14ac:dyDescent="0.2">
      <c r="T2121" s="8"/>
    </row>
    <row r="2122" spans="20:20" x14ac:dyDescent="0.2">
      <c r="T2122" s="8"/>
    </row>
    <row r="2123" spans="20:20" x14ac:dyDescent="0.2">
      <c r="T2123" s="8"/>
    </row>
    <row r="2124" spans="20:20" x14ac:dyDescent="0.2">
      <c r="T2124" s="8"/>
    </row>
    <row r="2125" spans="20:20" x14ac:dyDescent="0.2">
      <c r="T2125" s="8"/>
    </row>
    <row r="2126" spans="20:20" x14ac:dyDescent="0.2">
      <c r="T2126" s="8"/>
    </row>
    <row r="2127" spans="20:20" x14ac:dyDescent="0.2">
      <c r="T2127" s="8"/>
    </row>
    <row r="2128" spans="20:20" x14ac:dyDescent="0.2">
      <c r="T2128" s="8"/>
    </row>
    <row r="2129" spans="20:20" x14ac:dyDescent="0.2">
      <c r="T2129" s="8"/>
    </row>
    <row r="2130" spans="20:20" x14ac:dyDescent="0.2">
      <c r="T2130" s="8"/>
    </row>
    <row r="2131" spans="20:20" x14ac:dyDescent="0.2">
      <c r="T2131" s="8"/>
    </row>
    <row r="2132" spans="20:20" x14ac:dyDescent="0.2">
      <c r="T2132" s="8"/>
    </row>
    <row r="2133" spans="20:20" x14ac:dyDescent="0.2">
      <c r="T2133" s="8"/>
    </row>
    <row r="2134" spans="20:20" x14ac:dyDescent="0.2">
      <c r="T2134" s="8"/>
    </row>
    <row r="2135" spans="20:20" x14ac:dyDescent="0.2">
      <c r="T2135" s="8"/>
    </row>
    <row r="2136" spans="20:20" x14ac:dyDescent="0.2">
      <c r="T2136" s="8"/>
    </row>
    <row r="2137" spans="20:20" x14ac:dyDescent="0.2">
      <c r="T2137" s="8"/>
    </row>
    <row r="2138" spans="20:20" x14ac:dyDescent="0.2">
      <c r="T2138" s="8"/>
    </row>
    <row r="2139" spans="20:20" x14ac:dyDescent="0.2">
      <c r="T2139" s="8"/>
    </row>
    <row r="2140" spans="20:20" x14ac:dyDescent="0.2">
      <c r="T2140" s="8"/>
    </row>
    <row r="2141" spans="20:20" x14ac:dyDescent="0.2">
      <c r="T2141" s="8"/>
    </row>
    <row r="2142" spans="20:20" x14ac:dyDescent="0.2">
      <c r="T2142" s="8"/>
    </row>
    <row r="2143" spans="20:20" x14ac:dyDescent="0.2">
      <c r="T2143" s="8"/>
    </row>
    <row r="2144" spans="20:20" x14ac:dyDescent="0.2">
      <c r="T2144" s="8"/>
    </row>
    <row r="2145" spans="20:20" x14ac:dyDescent="0.2">
      <c r="T2145" s="8"/>
    </row>
    <row r="2146" spans="20:20" x14ac:dyDescent="0.2">
      <c r="T2146" s="8"/>
    </row>
    <row r="2147" spans="20:20" x14ac:dyDescent="0.2">
      <c r="T2147" s="8"/>
    </row>
    <row r="2148" spans="20:20" x14ac:dyDescent="0.2">
      <c r="T2148" s="8"/>
    </row>
    <row r="2149" spans="20:20" x14ac:dyDescent="0.2">
      <c r="T2149" s="8"/>
    </row>
    <row r="2150" spans="20:20" x14ac:dyDescent="0.2">
      <c r="T2150" s="8"/>
    </row>
    <row r="2151" spans="20:20" x14ac:dyDescent="0.2">
      <c r="T2151" s="8"/>
    </row>
    <row r="2152" spans="20:20" x14ac:dyDescent="0.2">
      <c r="T2152" s="8"/>
    </row>
    <row r="2153" spans="20:20" x14ac:dyDescent="0.2">
      <c r="T2153" s="8"/>
    </row>
    <row r="2154" spans="20:20" x14ac:dyDescent="0.2">
      <c r="T2154" s="8"/>
    </row>
    <row r="2155" spans="20:20" x14ac:dyDescent="0.2">
      <c r="T2155" s="8"/>
    </row>
    <row r="2156" spans="20:20" x14ac:dyDescent="0.2">
      <c r="T2156" s="8"/>
    </row>
    <row r="2157" spans="20:20" x14ac:dyDescent="0.2">
      <c r="T2157" s="8"/>
    </row>
    <row r="2158" spans="20:20" x14ac:dyDescent="0.2">
      <c r="T2158" s="8"/>
    </row>
    <row r="2159" spans="20:20" x14ac:dyDescent="0.2">
      <c r="T2159" s="8"/>
    </row>
    <row r="2160" spans="20:20" x14ac:dyDescent="0.2">
      <c r="T2160" s="8"/>
    </row>
    <row r="2161" spans="20:20" x14ac:dyDescent="0.2">
      <c r="T2161" s="8"/>
    </row>
    <row r="2162" spans="20:20" x14ac:dyDescent="0.2">
      <c r="T2162" s="8"/>
    </row>
    <row r="2163" spans="20:20" x14ac:dyDescent="0.2">
      <c r="T2163" s="8"/>
    </row>
    <row r="2164" spans="20:20" x14ac:dyDescent="0.2">
      <c r="T2164" s="8"/>
    </row>
    <row r="2165" spans="20:20" x14ac:dyDescent="0.2">
      <c r="T2165" s="8"/>
    </row>
    <row r="2166" spans="20:20" x14ac:dyDescent="0.2">
      <c r="T2166" s="8"/>
    </row>
    <row r="2167" spans="20:20" x14ac:dyDescent="0.2">
      <c r="T2167" s="8"/>
    </row>
    <row r="2168" spans="20:20" x14ac:dyDescent="0.2">
      <c r="T2168" s="8"/>
    </row>
    <row r="2169" spans="20:20" x14ac:dyDescent="0.2">
      <c r="T2169" s="8"/>
    </row>
    <row r="2170" spans="20:20" x14ac:dyDescent="0.2">
      <c r="T2170" s="8"/>
    </row>
    <row r="2171" spans="20:20" x14ac:dyDescent="0.2">
      <c r="T2171" s="8"/>
    </row>
    <row r="2172" spans="20:20" x14ac:dyDescent="0.2">
      <c r="T2172" s="8"/>
    </row>
    <row r="2173" spans="20:20" x14ac:dyDescent="0.2">
      <c r="T2173" s="8"/>
    </row>
    <row r="2174" spans="20:20" x14ac:dyDescent="0.2">
      <c r="T2174" s="8"/>
    </row>
    <row r="2175" spans="20:20" x14ac:dyDescent="0.2">
      <c r="T2175" s="8"/>
    </row>
    <row r="2176" spans="20:20" x14ac:dyDescent="0.2">
      <c r="T2176" s="8"/>
    </row>
    <row r="2177" spans="20:20" x14ac:dyDescent="0.2">
      <c r="T2177" s="8"/>
    </row>
    <row r="2178" spans="20:20" x14ac:dyDescent="0.2">
      <c r="T2178" s="8"/>
    </row>
    <row r="2179" spans="20:20" x14ac:dyDescent="0.2">
      <c r="T2179" s="8"/>
    </row>
    <row r="2180" spans="20:20" x14ac:dyDescent="0.2">
      <c r="T2180" s="8"/>
    </row>
    <row r="2181" spans="20:20" x14ac:dyDescent="0.2">
      <c r="T2181" s="8"/>
    </row>
    <row r="2182" spans="20:20" x14ac:dyDescent="0.2">
      <c r="T2182" s="8"/>
    </row>
    <row r="2183" spans="20:20" x14ac:dyDescent="0.2">
      <c r="T2183" s="8"/>
    </row>
    <row r="2184" spans="20:20" x14ac:dyDescent="0.2">
      <c r="T2184" s="8"/>
    </row>
    <row r="2185" spans="20:20" x14ac:dyDescent="0.2">
      <c r="T2185" s="8"/>
    </row>
    <row r="2186" spans="20:20" x14ac:dyDescent="0.2">
      <c r="T2186" s="8"/>
    </row>
    <row r="2187" spans="20:20" x14ac:dyDescent="0.2">
      <c r="T2187" s="8"/>
    </row>
    <row r="2188" spans="20:20" x14ac:dyDescent="0.2">
      <c r="T2188" s="8"/>
    </row>
    <row r="2189" spans="20:20" x14ac:dyDescent="0.2">
      <c r="T2189" s="8"/>
    </row>
    <row r="2190" spans="20:20" x14ac:dyDescent="0.2">
      <c r="T2190" s="8"/>
    </row>
    <row r="2191" spans="20:20" x14ac:dyDescent="0.2">
      <c r="T2191" s="8"/>
    </row>
    <row r="2192" spans="20:20" x14ac:dyDescent="0.2">
      <c r="T2192" s="8"/>
    </row>
    <row r="2193" spans="20:20" x14ac:dyDescent="0.2">
      <c r="T2193" s="8"/>
    </row>
    <row r="2194" spans="20:20" x14ac:dyDescent="0.2">
      <c r="T2194" s="8"/>
    </row>
    <row r="2195" spans="20:20" x14ac:dyDescent="0.2">
      <c r="T2195" s="8"/>
    </row>
    <row r="2196" spans="20:20" x14ac:dyDescent="0.2">
      <c r="T2196" s="8"/>
    </row>
    <row r="2197" spans="20:20" x14ac:dyDescent="0.2">
      <c r="T2197" s="8"/>
    </row>
    <row r="2198" spans="20:20" x14ac:dyDescent="0.2">
      <c r="T2198" s="8"/>
    </row>
    <row r="2199" spans="20:20" x14ac:dyDescent="0.2">
      <c r="T2199" s="8"/>
    </row>
    <row r="2200" spans="20:20" x14ac:dyDescent="0.2">
      <c r="T2200" s="8"/>
    </row>
    <row r="2201" spans="20:20" x14ac:dyDescent="0.2">
      <c r="T2201" s="8"/>
    </row>
    <row r="2202" spans="20:20" x14ac:dyDescent="0.2">
      <c r="T2202" s="8"/>
    </row>
    <row r="2203" spans="20:20" x14ac:dyDescent="0.2">
      <c r="T2203" s="8"/>
    </row>
    <row r="2204" spans="20:20" x14ac:dyDescent="0.2">
      <c r="T2204" s="8"/>
    </row>
    <row r="2205" spans="20:20" x14ac:dyDescent="0.2">
      <c r="T2205" s="8"/>
    </row>
    <row r="2206" spans="20:20" x14ac:dyDescent="0.2">
      <c r="T2206" s="8"/>
    </row>
    <row r="2207" spans="20:20" x14ac:dyDescent="0.2">
      <c r="T2207" s="8"/>
    </row>
    <row r="2208" spans="20:20" x14ac:dyDescent="0.2">
      <c r="T2208" s="8"/>
    </row>
    <row r="2209" spans="20:20" x14ac:dyDescent="0.2">
      <c r="T2209" s="8"/>
    </row>
    <row r="2210" spans="20:20" x14ac:dyDescent="0.2">
      <c r="T2210" s="8"/>
    </row>
    <row r="2211" spans="20:20" x14ac:dyDescent="0.2">
      <c r="T2211" s="8"/>
    </row>
    <row r="2212" spans="20:20" x14ac:dyDescent="0.2">
      <c r="T2212" s="8"/>
    </row>
    <row r="2213" spans="20:20" x14ac:dyDescent="0.2">
      <c r="T2213" s="8"/>
    </row>
    <row r="2214" spans="20:20" x14ac:dyDescent="0.2">
      <c r="T2214" s="8"/>
    </row>
    <row r="2215" spans="20:20" x14ac:dyDescent="0.2">
      <c r="T2215" s="8"/>
    </row>
    <row r="2216" spans="20:20" x14ac:dyDescent="0.2">
      <c r="T2216" s="8"/>
    </row>
    <row r="2217" spans="20:20" x14ac:dyDescent="0.2">
      <c r="T2217" s="8"/>
    </row>
    <row r="2218" spans="20:20" x14ac:dyDescent="0.2">
      <c r="T2218" s="8"/>
    </row>
    <row r="2219" spans="20:20" x14ac:dyDescent="0.2">
      <c r="T2219" s="8"/>
    </row>
    <row r="2220" spans="20:20" x14ac:dyDescent="0.2">
      <c r="T2220" s="8"/>
    </row>
    <row r="2221" spans="20:20" x14ac:dyDescent="0.2">
      <c r="T2221" s="8"/>
    </row>
    <row r="2222" spans="20:20" x14ac:dyDescent="0.2">
      <c r="T2222" s="8"/>
    </row>
    <row r="2223" spans="20:20" x14ac:dyDescent="0.2">
      <c r="T2223" s="8"/>
    </row>
    <row r="2224" spans="20:20" x14ac:dyDescent="0.2">
      <c r="T2224" s="8"/>
    </row>
    <row r="2225" spans="20:20" x14ac:dyDescent="0.2">
      <c r="T2225" s="8"/>
    </row>
    <row r="2226" spans="20:20" x14ac:dyDescent="0.2">
      <c r="T2226" s="8"/>
    </row>
    <row r="2227" spans="20:20" x14ac:dyDescent="0.2">
      <c r="T2227" s="8"/>
    </row>
    <row r="2228" spans="20:20" x14ac:dyDescent="0.2">
      <c r="T2228" s="8"/>
    </row>
    <row r="2229" spans="20:20" x14ac:dyDescent="0.2">
      <c r="T2229" s="8"/>
    </row>
    <row r="2230" spans="20:20" x14ac:dyDescent="0.2">
      <c r="T2230" s="8"/>
    </row>
    <row r="2231" spans="20:20" x14ac:dyDescent="0.2">
      <c r="T2231" s="8"/>
    </row>
    <row r="2232" spans="20:20" x14ac:dyDescent="0.2">
      <c r="T2232" s="8"/>
    </row>
    <row r="2233" spans="20:20" x14ac:dyDescent="0.2">
      <c r="T2233" s="8"/>
    </row>
    <row r="2234" spans="20:20" x14ac:dyDescent="0.2">
      <c r="T2234" s="8"/>
    </row>
    <row r="2235" spans="20:20" x14ac:dyDescent="0.2">
      <c r="T2235" s="8"/>
    </row>
    <row r="2236" spans="20:20" x14ac:dyDescent="0.2">
      <c r="T2236" s="8"/>
    </row>
    <row r="2237" spans="20:20" x14ac:dyDescent="0.2">
      <c r="T2237" s="8"/>
    </row>
    <row r="2238" spans="20:20" x14ac:dyDescent="0.2">
      <c r="T2238" s="8"/>
    </row>
    <row r="2239" spans="20:20" x14ac:dyDescent="0.2">
      <c r="T2239" s="8"/>
    </row>
    <row r="2240" spans="20:20" x14ac:dyDescent="0.2">
      <c r="T2240" s="8"/>
    </row>
    <row r="2241" spans="20:20" x14ac:dyDescent="0.2">
      <c r="T2241" s="8"/>
    </row>
    <row r="2242" spans="20:20" x14ac:dyDescent="0.2">
      <c r="T2242" s="8"/>
    </row>
    <row r="2243" spans="20:20" x14ac:dyDescent="0.2">
      <c r="T2243" s="8"/>
    </row>
    <row r="2244" spans="20:20" x14ac:dyDescent="0.2">
      <c r="T2244" s="8"/>
    </row>
    <row r="2245" spans="20:20" x14ac:dyDescent="0.2">
      <c r="T2245" s="8"/>
    </row>
    <row r="2246" spans="20:20" x14ac:dyDescent="0.2">
      <c r="T2246" s="8"/>
    </row>
    <row r="2247" spans="20:20" x14ac:dyDescent="0.2">
      <c r="T2247" s="8"/>
    </row>
    <row r="2248" spans="20:20" x14ac:dyDescent="0.2">
      <c r="T2248" s="8"/>
    </row>
    <row r="2249" spans="20:20" x14ac:dyDescent="0.2">
      <c r="T2249" s="8"/>
    </row>
    <row r="2250" spans="20:20" x14ac:dyDescent="0.2">
      <c r="T2250" s="8"/>
    </row>
    <row r="2251" spans="20:20" x14ac:dyDescent="0.2">
      <c r="T2251" s="8"/>
    </row>
    <row r="2252" spans="20:20" x14ac:dyDescent="0.2">
      <c r="T2252" s="8"/>
    </row>
    <row r="2253" spans="20:20" x14ac:dyDescent="0.2">
      <c r="T2253" s="8"/>
    </row>
    <row r="2254" spans="20:20" x14ac:dyDescent="0.2">
      <c r="T2254" s="8"/>
    </row>
    <row r="2255" spans="20:20" x14ac:dyDescent="0.2">
      <c r="T2255" s="8"/>
    </row>
    <row r="2256" spans="20:20" x14ac:dyDescent="0.2">
      <c r="T2256" s="8"/>
    </row>
    <row r="2257" spans="20:20" x14ac:dyDescent="0.2">
      <c r="T2257" s="8"/>
    </row>
    <row r="2258" spans="20:20" x14ac:dyDescent="0.2">
      <c r="T2258" s="8"/>
    </row>
    <row r="2259" spans="20:20" x14ac:dyDescent="0.2">
      <c r="T2259" s="8"/>
    </row>
    <row r="2260" spans="20:20" x14ac:dyDescent="0.2">
      <c r="T2260" s="8"/>
    </row>
    <row r="2261" spans="20:20" x14ac:dyDescent="0.2">
      <c r="T2261" s="8"/>
    </row>
    <row r="2262" spans="20:20" x14ac:dyDescent="0.2">
      <c r="T2262" s="8"/>
    </row>
    <row r="2263" spans="20:20" x14ac:dyDescent="0.2">
      <c r="T2263" s="8"/>
    </row>
    <row r="2264" spans="20:20" x14ac:dyDescent="0.2">
      <c r="T2264" s="8"/>
    </row>
    <row r="2265" spans="20:20" x14ac:dyDescent="0.2">
      <c r="T2265" s="8"/>
    </row>
    <row r="2266" spans="20:20" x14ac:dyDescent="0.2">
      <c r="T2266" s="8"/>
    </row>
    <row r="2267" spans="20:20" x14ac:dyDescent="0.2">
      <c r="T2267" s="8"/>
    </row>
    <row r="2268" spans="20:20" x14ac:dyDescent="0.2">
      <c r="T2268" s="8"/>
    </row>
    <row r="2269" spans="20:20" x14ac:dyDescent="0.2">
      <c r="T2269" s="8"/>
    </row>
    <row r="2270" spans="20:20" x14ac:dyDescent="0.2">
      <c r="T2270" s="8"/>
    </row>
    <row r="2271" spans="20:20" x14ac:dyDescent="0.2">
      <c r="T2271" s="8"/>
    </row>
    <row r="2272" spans="20:20" x14ac:dyDescent="0.2">
      <c r="T2272" s="8"/>
    </row>
    <row r="2273" spans="20:20" x14ac:dyDescent="0.2">
      <c r="T2273" s="8"/>
    </row>
    <row r="2274" spans="20:20" x14ac:dyDescent="0.2">
      <c r="T2274" s="8"/>
    </row>
    <row r="2275" spans="20:20" x14ac:dyDescent="0.2">
      <c r="T2275" s="8"/>
    </row>
    <row r="2276" spans="20:20" x14ac:dyDescent="0.2">
      <c r="T2276" s="8"/>
    </row>
    <row r="2277" spans="20:20" x14ac:dyDescent="0.2">
      <c r="T2277" s="8"/>
    </row>
    <row r="2278" spans="20:20" x14ac:dyDescent="0.2">
      <c r="T2278" s="8"/>
    </row>
    <row r="2279" spans="20:20" x14ac:dyDescent="0.2">
      <c r="T2279" s="8"/>
    </row>
    <row r="2280" spans="20:20" x14ac:dyDescent="0.2">
      <c r="T2280" s="8"/>
    </row>
    <row r="2281" spans="20:20" x14ac:dyDescent="0.2">
      <c r="T2281" s="8"/>
    </row>
    <row r="2282" spans="20:20" x14ac:dyDescent="0.2">
      <c r="T2282" s="8"/>
    </row>
    <row r="2283" spans="20:20" x14ac:dyDescent="0.2">
      <c r="T2283" s="8"/>
    </row>
    <row r="2284" spans="20:20" x14ac:dyDescent="0.2">
      <c r="T2284" s="8"/>
    </row>
    <row r="2285" spans="20:20" x14ac:dyDescent="0.2">
      <c r="T2285" s="8"/>
    </row>
    <row r="2286" spans="20:20" x14ac:dyDescent="0.2">
      <c r="T2286" s="8"/>
    </row>
    <row r="2287" spans="20:20" x14ac:dyDescent="0.2">
      <c r="T2287" s="8"/>
    </row>
    <row r="2288" spans="20:20" x14ac:dyDescent="0.2">
      <c r="T2288" s="8"/>
    </row>
    <row r="2289" spans="20:20" x14ac:dyDescent="0.2">
      <c r="T2289" s="8"/>
    </row>
    <row r="2290" spans="20:20" x14ac:dyDescent="0.2">
      <c r="T2290" s="8"/>
    </row>
    <row r="2291" spans="20:20" x14ac:dyDescent="0.2">
      <c r="T2291" s="8"/>
    </row>
    <row r="2292" spans="20:20" x14ac:dyDescent="0.2">
      <c r="T2292" s="8"/>
    </row>
    <row r="2293" spans="20:20" x14ac:dyDescent="0.2">
      <c r="T2293" s="8"/>
    </row>
    <row r="2294" spans="20:20" x14ac:dyDescent="0.2">
      <c r="T2294" s="8"/>
    </row>
    <row r="2295" spans="20:20" x14ac:dyDescent="0.2">
      <c r="T2295" s="8"/>
    </row>
    <row r="2296" spans="20:20" x14ac:dyDescent="0.2">
      <c r="T2296" s="8"/>
    </row>
    <row r="2297" spans="20:20" x14ac:dyDescent="0.2">
      <c r="T2297" s="8"/>
    </row>
    <row r="2298" spans="20:20" x14ac:dyDescent="0.2">
      <c r="T2298" s="8"/>
    </row>
    <row r="2299" spans="20:20" x14ac:dyDescent="0.2">
      <c r="T2299" s="8"/>
    </row>
    <row r="2300" spans="20:20" x14ac:dyDescent="0.2">
      <c r="T2300" s="8"/>
    </row>
    <row r="2301" spans="20:20" x14ac:dyDescent="0.2">
      <c r="T2301" s="8"/>
    </row>
    <row r="2302" spans="20:20" x14ac:dyDescent="0.2">
      <c r="T2302" s="8"/>
    </row>
    <row r="2303" spans="20:20" x14ac:dyDescent="0.2">
      <c r="T2303" s="8"/>
    </row>
    <row r="2304" spans="20:20" x14ac:dyDescent="0.2">
      <c r="T2304" s="8"/>
    </row>
    <row r="2305" spans="20:20" x14ac:dyDescent="0.2">
      <c r="T2305" s="8"/>
    </row>
    <row r="2306" spans="20:20" x14ac:dyDescent="0.2">
      <c r="T2306" s="8"/>
    </row>
    <row r="2307" spans="20:20" x14ac:dyDescent="0.2">
      <c r="T2307" s="8"/>
    </row>
    <row r="2308" spans="20:20" x14ac:dyDescent="0.2">
      <c r="T2308" s="8"/>
    </row>
    <row r="2309" spans="20:20" x14ac:dyDescent="0.2">
      <c r="T2309" s="8"/>
    </row>
    <row r="2310" spans="20:20" x14ac:dyDescent="0.2">
      <c r="T2310" s="8"/>
    </row>
    <row r="2311" spans="20:20" x14ac:dyDescent="0.2">
      <c r="T2311" s="8"/>
    </row>
    <row r="2312" spans="20:20" x14ac:dyDescent="0.2">
      <c r="T2312" s="8"/>
    </row>
    <row r="2313" spans="20:20" x14ac:dyDescent="0.2">
      <c r="T2313" s="8"/>
    </row>
    <row r="2314" spans="20:20" x14ac:dyDescent="0.2">
      <c r="T2314" s="8"/>
    </row>
    <row r="2315" spans="20:20" x14ac:dyDescent="0.2">
      <c r="T2315" s="8"/>
    </row>
    <row r="2316" spans="20:20" x14ac:dyDescent="0.2">
      <c r="T2316" s="8"/>
    </row>
    <row r="2317" spans="20:20" x14ac:dyDescent="0.2">
      <c r="T2317" s="8"/>
    </row>
    <row r="2318" spans="20:20" x14ac:dyDescent="0.2">
      <c r="T2318" s="8"/>
    </row>
    <row r="2319" spans="20:20" x14ac:dyDescent="0.2">
      <c r="T2319" s="8"/>
    </row>
    <row r="2320" spans="20:20" x14ac:dyDescent="0.2">
      <c r="T2320" s="8"/>
    </row>
    <row r="2321" spans="20:20" x14ac:dyDescent="0.2">
      <c r="T2321" s="8"/>
    </row>
    <row r="2322" spans="20:20" x14ac:dyDescent="0.2">
      <c r="T2322" s="8"/>
    </row>
    <row r="2323" spans="20:20" x14ac:dyDescent="0.2">
      <c r="T2323" s="8"/>
    </row>
    <row r="2324" spans="20:20" x14ac:dyDescent="0.2">
      <c r="T2324" s="8"/>
    </row>
    <row r="2325" spans="20:20" x14ac:dyDescent="0.2">
      <c r="T2325" s="8"/>
    </row>
    <row r="2326" spans="20:20" x14ac:dyDescent="0.2">
      <c r="T2326" s="8"/>
    </row>
    <row r="2327" spans="20:20" x14ac:dyDescent="0.2">
      <c r="T2327" s="8"/>
    </row>
    <row r="2328" spans="20:20" x14ac:dyDescent="0.2">
      <c r="T2328" s="8"/>
    </row>
    <row r="2329" spans="20:20" x14ac:dyDescent="0.2">
      <c r="T2329" s="8"/>
    </row>
    <row r="2330" spans="20:20" x14ac:dyDescent="0.2">
      <c r="T2330" s="8"/>
    </row>
    <row r="2331" spans="20:20" x14ac:dyDescent="0.2">
      <c r="T2331" s="8"/>
    </row>
    <row r="2332" spans="20:20" x14ac:dyDescent="0.2">
      <c r="T2332" s="8"/>
    </row>
    <row r="2333" spans="20:20" x14ac:dyDescent="0.2">
      <c r="T2333" s="8"/>
    </row>
    <row r="2334" spans="20:20" x14ac:dyDescent="0.2">
      <c r="T2334" s="8"/>
    </row>
    <row r="2335" spans="20:20" x14ac:dyDescent="0.2">
      <c r="T2335" s="8"/>
    </row>
    <row r="2336" spans="20:20" x14ac:dyDescent="0.2">
      <c r="T2336" s="8"/>
    </row>
    <row r="2337" spans="20:20" x14ac:dyDescent="0.2">
      <c r="T2337" s="8"/>
    </row>
    <row r="2338" spans="20:20" x14ac:dyDescent="0.2">
      <c r="T2338" s="8"/>
    </row>
    <row r="2339" spans="20:20" x14ac:dyDescent="0.2">
      <c r="T2339" s="8"/>
    </row>
    <row r="2340" spans="20:20" x14ac:dyDescent="0.2">
      <c r="T2340" s="8"/>
    </row>
    <row r="2341" spans="20:20" x14ac:dyDescent="0.2">
      <c r="T2341" s="8"/>
    </row>
    <row r="2342" spans="20:20" x14ac:dyDescent="0.2">
      <c r="T2342" s="8"/>
    </row>
    <row r="2343" spans="20:20" x14ac:dyDescent="0.2">
      <c r="T2343" s="8"/>
    </row>
    <row r="2344" spans="20:20" x14ac:dyDescent="0.2">
      <c r="T2344" s="8"/>
    </row>
    <row r="2345" spans="20:20" x14ac:dyDescent="0.2">
      <c r="T2345" s="8"/>
    </row>
    <row r="2346" spans="20:20" x14ac:dyDescent="0.2">
      <c r="T2346" s="8"/>
    </row>
    <row r="2347" spans="20:20" x14ac:dyDescent="0.2">
      <c r="T2347" s="8"/>
    </row>
    <row r="2348" spans="20:20" x14ac:dyDescent="0.2">
      <c r="T2348" s="8"/>
    </row>
    <row r="2349" spans="20:20" x14ac:dyDescent="0.2">
      <c r="T2349" s="8"/>
    </row>
    <row r="2350" spans="20:20" x14ac:dyDescent="0.2">
      <c r="T2350" s="8"/>
    </row>
    <row r="2351" spans="20:20" x14ac:dyDescent="0.2">
      <c r="T2351" s="8"/>
    </row>
    <row r="2352" spans="20:20" x14ac:dyDescent="0.2">
      <c r="T2352" s="8"/>
    </row>
    <row r="2353" spans="20:20" x14ac:dyDescent="0.2">
      <c r="T2353" s="8"/>
    </row>
    <row r="2354" spans="20:20" x14ac:dyDescent="0.2">
      <c r="T2354" s="8"/>
    </row>
    <row r="2355" spans="20:20" x14ac:dyDescent="0.2">
      <c r="T2355" s="8"/>
    </row>
    <row r="2356" spans="20:20" x14ac:dyDescent="0.2">
      <c r="T2356" s="8"/>
    </row>
    <row r="2357" spans="20:20" x14ac:dyDescent="0.2">
      <c r="T2357" s="8"/>
    </row>
    <row r="2358" spans="20:20" x14ac:dyDescent="0.2">
      <c r="T2358" s="8"/>
    </row>
    <row r="2359" spans="20:20" x14ac:dyDescent="0.2">
      <c r="T2359" s="8"/>
    </row>
    <row r="2360" spans="20:20" x14ac:dyDescent="0.2">
      <c r="T2360" s="8"/>
    </row>
    <row r="2361" spans="20:20" x14ac:dyDescent="0.2">
      <c r="T2361" s="8"/>
    </row>
    <row r="2362" spans="20:20" x14ac:dyDescent="0.2">
      <c r="T2362" s="8"/>
    </row>
    <row r="2363" spans="20:20" x14ac:dyDescent="0.2">
      <c r="T2363" s="8"/>
    </row>
    <row r="2364" spans="20:20" x14ac:dyDescent="0.2">
      <c r="T2364" s="8"/>
    </row>
    <row r="2365" spans="20:20" x14ac:dyDescent="0.2">
      <c r="T2365" s="8"/>
    </row>
    <row r="2366" spans="20:20" x14ac:dyDescent="0.2">
      <c r="T2366" s="8"/>
    </row>
    <row r="2367" spans="20:20" x14ac:dyDescent="0.2">
      <c r="T2367" s="8"/>
    </row>
    <row r="2368" spans="20:20" x14ac:dyDescent="0.2">
      <c r="T2368" s="8"/>
    </row>
    <row r="2369" spans="20:20" x14ac:dyDescent="0.2">
      <c r="T2369" s="8"/>
    </row>
    <row r="2370" spans="20:20" x14ac:dyDescent="0.2">
      <c r="T2370" s="8"/>
    </row>
    <row r="2371" spans="20:20" x14ac:dyDescent="0.2">
      <c r="T2371" s="8"/>
    </row>
    <row r="2372" spans="20:20" x14ac:dyDescent="0.2">
      <c r="T2372" s="8"/>
    </row>
    <row r="2373" spans="20:20" x14ac:dyDescent="0.2">
      <c r="T2373" s="8"/>
    </row>
    <row r="2374" spans="20:20" x14ac:dyDescent="0.2">
      <c r="T2374" s="8"/>
    </row>
    <row r="2375" spans="20:20" x14ac:dyDescent="0.2">
      <c r="T2375" s="8"/>
    </row>
    <row r="2376" spans="20:20" x14ac:dyDescent="0.2">
      <c r="T2376" s="8"/>
    </row>
    <row r="2377" spans="20:20" x14ac:dyDescent="0.2">
      <c r="T2377" s="8"/>
    </row>
    <row r="2378" spans="20:20" x14ac:dyDescent="0.2">
      <c r="T2378" s="8"/>
    </row>
    <row r="2379" spans="20:20" x14ac:dyDescent="0.2">
      <c r="T2379" s="8"/>
    </row>
    <row r="2380" spans="20:20" x14ac:dyDescent="0.2">
      <c r="T2380" s="8"/>
    </row>
    <row r="2381" spans="20:20" x14ac:dyDescent="0.2">
      <c r="T2381" s="8"/>
    </row>
    <row r="2382" spans="20:20" x14ac:dyDescent="0.2">
      <c r="T2382" s="8"/>
    </row>
    <row r="2383" spans="20:20" x14ac:dyDescent="0.2">
      <c r="T2383" s="8"/>
    </row>
    <row r="2384" spans="20:20" x14ac:dyDescent="0.2">
      <c r="T2384" s="8"/>
    </row>
    <row r="2385" spans="20:20" x14ac:dyDescent="0.2">
      <c r="T2385" s="8"/>
    </row>
    <row r="2386" spans="20:20" x14ac:dyDescent="0.2">
      <c r="T2386" s="8"/>
    </row>
    <row r="2387" spans="20:20" x14ac:dyDescent="0.2">
      <c r="T2387" s="8"/>
    </row>
    <row r="2388" spans="20:20" x14ac:dyDescent="0.2">
      <c r="T2388" s="8"/>
    </row>
    <row r="2389" spans="20:20" x14ac:dyDescent="0.2">
      <c r="T2389" s="8"/>
    </row>
    <row r="2390" spans="20:20" x14ac:dyDescent="0.2">
      <c r="T2390" s="8"/>
    </row>
    <row r="2391" spans="20:20" x14ac:dyDescent="0.2">
      <c r="T2391" s="8"/>
    </row>
    <row r="2392" spans="20:20" x14ac:dyDescent="0.2">
      <c r="T2392" s="8"/>
    </row>
    <row r="2393" spans="20:20" x14ac:dyDescent="0.2">
      <c r="T2393" s="8"/>
    </row>
    <row r="2394" spans="20:20" x14ac:dyDescent="0.2">
      <c r="T2394" s="8"/>
    </row>
    <row r="2395" spans="20:20" x14ac:dyDescent="0.2">
      <c r="T2395" s="8"/>
    </row>
    <row r="2396" spans="20:20" x14ac:dyDescent="0.2">
      <c r="T2396" s="8"/>
    </row>
    <row r="2397" spans="20:20" x14ac:dyDescent="0.2">
      <c r="T2397" s="8"/>
    </row>
    <row r="2398" spans="20:20" x14ac:dyDescent="0.2">
      <c r="T2398" s="8"/>
    </row>
    <row r="2399" spans="20:20" x14ac:dyDescent="0.2">
      <c r="T2399" s="8"/>
    </row>
    <row r="2400" spans="20:20" x14ac:dyDescent="0.2">
      <c r="T2400" s="8"/>
    </row>
    <row r="2401" spans="20:20" x14ac:dyDescent="0.2">
      <c r="T2401" s="8"/>
    </row>
    <row r="2402" spans="20:20" x14ac:dyDescent="0.2">
      <c r="T2402" s="8"/>
    </row>
    <row r="2403" spans="20:20" x14ac:dyDescent="0.2">
      <c r="T2403" s="8"/>
    </row>
    <row r="2404" spans="20:20" x14ac:dyDescent="0.2">
      <c r="T2404" s="8"/>
    </row>
    <row r="2405" spans="20:20" x14ac:dyDescent="0.2">
      <c r="T2405" s="8"/>
    </row>
    <row r="2406" spans="20:20" x14ac:dyDescent="0.2">
      <c r="T2406" s="8"/>
    </row>
    <row r="2407" spans="20:20" x14ac:dyDescent="0.2">
      <c r="T2407" s="8"/>
    </row>
    <row r="2408" spans="20:20" x14ac:dyDescent="0.2">
      <c r="T2408" s="8"/>
    </row>
    <row r="2409" spans="20:20" x14ac:dyDescent="0.2">
      <c r="T2409" s="8"/>
    </row>
    <row r="2410" spans="20:20" x14ac:dyDescent="0.2">
      <c r="T2410" s="8"/>
    </row>
    <row r="2411" spans="20:20" x14ac:dyDescent="0.2">
      <c r="T2411" s="8"/>
    </row>
    <row r="2412" spans="20:20" x14ac:dyDescent="0.2">
      <c r="T2412" s="8"/>
    </row>
    <row r="2413" spans="20:20" x14ac:dyDescent="0.2">
      <c r="T2413" s="8"/>
    </row>
    <row r="2414" spans="20:20" x14ac:dyDescent="0.2">
      <c r="T2414" s="8"/>
    </row>
    <row r="2415" spans="20:20" x14ac:dyDescent="0.2">
      <c r="T2415" s="8"/>
    </row>
    <row r="2416" spans="20:20" x14ac:dyDescent="0.2">
      <c r="T2416" s="8"/>
    </row>
    <row r="2417" spans="20:20" x14ac:dyDescent="0.2">
      <c r="T2417" s="8"/>
    </row>
    <row r="2418" spans="20:20" x14ac:dyDescent="0.2">
      <c r="T2418" s="8"/>
    </row>
    <row r="2419" spans="20:20" x14ac:dyDescent="0.2">
      <c r="T2419" s="8"/>
    </row>
    <row r="2420" spans="20:20" x14ac:dyDescent="0.2">
      <c r="T2420" s="8"/>
    </row>
    <row r="2421" spans="20:20" x14ac:dyDescent="0.2">
      <c r="T2421" s="8"/>
    </row>
    <row r="2422" spans="20:20" x14ac:dyDescent="0.2">
      <c r="T2422" s="8"/>
    </row>
    <row r="2423" spans="20:20" x14ac:dyDescent="0.2">
      <c r="T2423" s="8"/>
    </row>
    <row r="2424" spans="20:20" x14ac:dyDescent="0.2">
      <c r="T2424" s="8"/>
    </row>
    <row r="2425" spans="20:20" x14ac:dyDescent="0.2">
      <c r="T2425" s="8"/>
    </row>
    <row r="2426" spans="20:20" x14ac:dyDescent="0.2">
      <c r="T2426" s="8"/>
    </row>
    <row r="2427" spans="20:20" x14ac:dyDescent="0.2">
      <c r="T2427" s="8"/>
    </row>
    <row r="2428" spans="20:20" x14ac:dyDescent="0.2">
      <c r="T2428" s="8"/>
    </row>
    <row r="2429" spans="20:20" x14ac:dyDescent="0.2">
      <c r="T2429" s="8"/>
    </row>
    <row r="2430" spans="20:20" x14ac:dyDescent="0.2">
      <c r="T2430" s="8"/>
    </row>
    <row r="2431" spans="20:20" x14ac:dyDescent="0.2">
      <c r="T2431" s="8"/>
    </row>
    <row r="2432" spans="20:20" x14ac:dyDescent="0.2">
      <c r="T2432" s="8"/>
    </row>
    <row r="2433" spans="20:20" x14ac:dyDescent="0.2">
      <c r="T2433" s="8"/>
    </row>
    <row r="2434" spans="20:20" x14ac:dyDescent="0.2">
      <c r="T2434" s="8"/>
    </row>
    <row r="2435" spans="20:20" x14ac:dyDescent="0.2">
      <c r="T2435" s="8"/>
    </row>
    <row r="2436" spans="20:20" x14ac:dyDescent="0.2">
      <c r="T2436" s="8"/>
    </row>
    <row r="2437" spans="20:20" x14ac:dyDescent="0.2">
      <c r="T2437" s="8"/>
    </row>
    <row r="2438" spans="20:20" x14ac:dyDescent="0.2">
      <c r="T2438" s="8"/>
    </row>
    <row r="2439" spans="20:20" x14ac:dyDescent="0.2">
      <c r="T2439" s="8"/>
    </row>
    <row r="2440" spans="20:20" x14ac:dyDescent="0.2">
      <c r="T2440" s="8"/>
    </row>
    <row r="2441" spans="20:20" x14ac:dyDescent="0.2">
      <c r="T2441" s="8"/>
    </row>
    <row r="2442" spans="20:20" x14ac:dyDescent="0.2">
      <c r="T2442" s="8"/>
    </row>
    <row r="2443" spans="20:20" x14ac:dyDescent="0.2">
      <c r="T2443" s="8"/>
    </row>
    <row r="2444" spans="20:20" x14ac:dyDescent="0.2">
      <c r="T2444" s="8"/>
    </row>
    <row r="2445" spans="20:20" x14ac:dyDescent="0.2">
      <c r="T2445" s="8"/>
    </row>
    <row r="2446" spans="20:20" x14ac:dyDescent="0.2">
      <c r="T2446" s="8"/>
    </row>
    <row r="2447" spans="20:20" x14ac:dyDescent="0.2">
      <c r="T2447" s="8"/>
    </row>
    <row r="2448" spans="20:20" x14ac:dyDescent="0.2">
      <c r="T2448" s="8"/>
    </row>
    <row r="2449" spans="20:20" x14ac:dyDescent="0.2">
      <c r="T2449" s="8"/>
    </row>
    <row r="2450" spans="20:20" x14ac:dyDescent="0.2">
      <c r="T2450" s="8"/>
    </row>
    <row r="2451" spans="20:20" x14ac:dyDescent="0.2">
      <c r="T2451" s="8"/>
    </row>
    <row r="2452" spans="20:20" x14ac:dyDescent="0.2">
      <c r="T2452" s="8"/>
    </row>
    <row r="2453" spans="20:20" x14ac:dyDescent="0.2">
      <c r="T2453" s="8"/>
    </row>
    <row r="2454" spans="20:20" x14ac:dyDescent="0.2">
      <c r="T2454" s="8"/>
    </row>
    <row r="2455" spans="20:20" x14ac:dyDescent="0.2">
      <c r="T2455" s="8"/>
    </row>
    <row r="2456" spans="20:20" x14ac:dyDescent="0.2">
      <c r="T2456" s="8"/>
    </row>
    <row r="2457" spans="20:20" x14ac:dyDescent="0.2">
      <c r="T2457" s="8"/>
    </row>
    <row r="2458" spans="20:20" x14ac:dyDescent="0.2">
      <c r="T2458" s="8"/>
    </row>
    <row r="2459" spans="20:20" x14ac:dyDescent="0.2">
      <c r="T2459" s="8"/>
    </row>
    <row r="2460" spans="20:20" x14ac:dyDescent="0.2">
      <c r="T2460" s="8"/>
    </row>
    <row r="2461" spans="20:20" x14ac:dyDescent="0.2">
      <c r="T2461" s="8"/>
    </row>
    <row r="2462" spans="20:20" x14ac:dyDescent="0.2">
      <c r="T2462" s="8"/>
    </row>
    <row r="2463" spans="20:20" x14ac:dyDescent="0.2">
      <c r="T2463" s="8"/>
    </row>
    <row r="2464" spans="20:20" x14ac:dyDescent="0.2">
      <c r="T2464" s="8"/>
    </row>
    <row r="2465" spans="20:20" x14ac:dyDescent="0.2">
      <c r="T2465" s="8"/>
    </row>
    <row r="2466" spans="20:20" x14ac:dyDescent="0.2">
      <c r="T2466" s="8"/>
    </row>
    <row r="2467" spans="20:20" x14ac:dyDescent="0.2">
      <c r="T2467" s="8"/>
    </row>
    <row r="2468" spans="20:20" x14ac:dyDescent="0.2">
      <c r="T2468" s="8"/>
    </row>
    <row r="2469" spans="20:20" x14ac:dyDescent="0.2">
      <c r="T2469" s="8"/>
    </row>
    <row r="2470" spans="20:20" x14ac:dyDescent="0.2">
      <c r="T2470" s="8"/>
    </row>
    <row r="2471" spans="20:20" x14ac:dyDescent="0.2">
      <c r="T2471" s="8"/>
    </row>
    <row r="2472" spans="20:20" x14ac:dyDescent="0.2">
      <c r="T2472" s="8"/>
    </row>
    <row r="2473" spans="20:20" x14ac:dyDescent="0.2">
      <c r="T2473" s="8"/>
    </row>
    <row r="2474" spans="20:20" x14ac:dyDescent="0.2">
      <c r="T2474" s="8"/>
    </row>
    <row r="2475" spans="20:20" x14ac:dyDescent="0.2">
      <c r="T2475" s="8"/>
    </row>
    <row r="2476" spans="20:20" x14ac:dyDescent="0.2">
      <c r="T2476" s="8"/>
    </row>
    <row r="2477" spans="20:20" x14ac:dyDescent="0.2">
      <c r="T2477" s="8"/>
    </row>
    <row r="2478" spans="20:20" x14ac:dyDescent="0.2">
      <c r="T2478" s="8"/>
    </row>
    <row r="2479" spans="20:20" x14ac:dyDescent="0.2">
      <c r="T2479" s="8"/>
    </row>
    <row r="2480" spans="20:20" x14ac:dyDescent="0.2">
      <c r="T2480" s="8"/>
    </row>
    <row r="2481" spans="20:20" x14ac:dyDescent="0.2">
      <c r="T2481" s="8"/>
    </row>
    <row r="2482" spans="20:20" x14ac:dyDescent="0.2">
      <c r="T2482" s="8"/>
    </row>
    <row r="2483" spans="20:20" x14ac:dyDescent="0.2">
      <c r="T2483" s="8"/>
    </row>
    <row r="2484" spans="20:20" x14ac:dyDescent="0.2">
      <c r="T2484" s="8"/>
    </row>
    <row r="2485" spans="20:20" x14ac:dyDescent="0.2">
      <c r="T2485" s="8"/>
    </row>
    <row r="2486" spans="20:20" x14ac:dyDescent="0.2">
      <c r="T2486" s="8"/>
    </row>
    <row r="2487" spans="20:20" x14ac:dyDescent="0.2">
      <c r="T2487" s="8"/>
    </row>
    <row r="2488" spans="20:20" x14ac:dyDescent="0.2">
      <c r="T2488" s="8"/>
    </row>
    <row r="2489" spans="20:20" x14ac:dyDescent="0.2">
      <c r="T2489" s="8"/>
    </row>
    <row r="2490" spans="20:20" x14ac:dyDescent="0.2">
      <c r="T2490" s="8"/>
    </row>
    <row r="2491" spans="20:20" x14ac:dyDescent="0.2">
      <c r="T2491" s="8"/>
    </row>
    <row r="2492" spans="20:20" x14ac:dyDescent="0.2">
      <c r="T2492" s="8"/>
    </row>
    <row r="2493" spans="20:20" x14ac:dyDescent="0.2">
      <c r="T2493" s="8"/>
    </row>
    <row r="2494" spans="20:20" x14ac:dyDescent="0.2">
      <c r="T2494" s="8"/>
    </row>
    <row r="2495" spans="20:20" x14ac:dyDescent="0.2">
      <c r="T2495" s="8"/>
    </row>
    <row r="2496" spans="20:20" x14ac:dyDescent="0.2">
      <c r="T2496" s="8"/>
    </row>
    <row r="2497" spans="20:20" x14ac:dyDescent="0.2">
      <c r="T2497" s="8"/>
    </row>
    <row r="2498" spans="20:20" x14ac:dyDescent="0.2">
      <c r="T2498" s="8"/>
    </row>
    <row r="2499" spans="20:20" x14ac:dyDescent="0.2">
      <c r="T2499" s="8"/>
    </row>
    <row r="2500" spans="20:20" x14ac:dyDescent="0.2">
      <c r="T2500" s="8"/>
    </row>
    <row r="2501" spans="20:20" x14ac:dyDescent="0.2">
      <c r="T2501" s="8"/>
    </row>
    <row r="2502" spans="20:20" x14ac:dyDescent="0.2">
      <c r="T2502" s="8"/>
    </row>
    <row r="2503" spans="20:20" x14ac:dyDescent="0.2">
      <c r="T2503" s="8"/>
    </row>
    <row r="2504" spans="20:20" x14ac:dyDescent="0.2">
      <c r="T2504" s="8"/>
    </row>
    <row r="2505" spans="20:20" x14ac:dyDescent="0.2">
      <c r="T2505" s="8"/>
    </row>
    <row r="2506" spans="20:20" x14ac:dyDescent="0.2">
      <c r="T2506" s="8"/>
    </row>
    <row r="2507" spans="20:20" x14ac:dyDescent="0.2">
      <c r="T2507" s="8"/>
    </row>
    <row r="2508" spans="20:20" x14ac:dyDescent="0.2">
      <c r="T2508" s="8"/>
    </row>
    <row r="2509" spans="20:20" x14ac:dyDescent="0.2">
      <c r="T2509" s="8"/>
    </row>
    <row r="2510" spans="20:20" x14ac:dyDescent="0.2">
      <c r="T2510" s="8"/>
    </row>
    <row r="2511" spans="20:20" x14ac:dyDescent="0.2">
      <c r="T2511" s="8"/>
    </row>
    <row r="2512" spans="20:20" x14ac:dyDescent="0.2">
      <c r="T2512" s="8"/>
    </row>
    <row r="2513" spans="20:20" x14ac:dyDescent="0.2">
      <c r="T2513" s="8"/>
    </row>
    <row r="2514" spans="20:20" x14ac:dyDescent="0.2">
      <c r="T2514" s="8"/>
    </row>
    <row r="2515" spans="20:20" x14ac:dyDescent="0.2">
      <c r="T2515" s="8"/>
    </row>
    <row r="2516" spans="20:20" x14ac:dyDescent="0.2">
      <c r="T2516" s="8"/>
    </row>
    <row r="2517" spans="20:20" x14ac:dyDescent="0.2">
      <c r="T2517" s="8"/>
    </row>
    <row r="2518" spans="20:20" x14ac:dyDescent="0.2">
      <c r="T2518" s="8"/>
    </row>
    <row r="2519" spans="20:20" x14ac:dyDescent="0.2">
      <c r="T2519" s="8"/>
    </row>
    <row r="2520" spans="20:20" x14ac:dyDescent="0.2">
      <c r="T2520" s="8"/>
    </row>
    <row r="2521" spans="20:20" x14ac:dyDescent="0.2">
      <c r="T2521" s="8"/>
    </row>
    <row r="2522" spans="20:20" x14ac:dyDescent="0.2">
      <c r="T2522" s="8"/>
    </row>
    <row r="2523" spans="20:20" x14ac:dyDescent="0.2">
      <c r="T2523" s="8"/>
    </row>
    <row r="2524" spans="20:20" x14ac:dyDescent="0.2">
      <c r="T2524" s="8"/>
    </row>
    <row r="2525" spans="20:20" x14ac:dyDescent="0.2">
      <c r="T2525" s="8"/>
    </row>
    <row r="2526" spans="20:20" x14ac:dyDescent="0.2">
      <c r="T2526" s="8"/>
    </row>
    <row r="2527" spans="20:20" x14ac:dyDescent="0.2">
      <c r="T2527" s="8"/>
    </row>
    <row r="2528" spans="20:20" x14ac:dyDescent="0.2">
      <c r="T2528" s="8"/>
    </row>
    <row r="2529" spans="20:20" x14ac:dyDescent="0.2">
      <c r="T2529" s="8"/>
    </row>
    <row r="2530" spans="20:20" x14ac:dyDescent="0.2">
      <c r="T2530" s="8"/>
    </row>
    <row r="2531" spans="20:20" x14ac:dyDescent="0.2">
      <c r="T2531" s="8"/>
    </row>
    <row r="2532" spans="20:20" x14ac:dyDescent="0.2">
      <c r="T2532" s="8"/>
    </row>
    <row r="2533" spans="20:20" x14ac:dyDescent="0.2">
      <c r="T2533" s="8"/>
    </row>
    <row r="2534" spans="20:20" x14ac:dyDescent="0.2">
      <c r="T2534" s="8"/>
    </row>
    <row r="2535" spans="20:20" x14ac:dyDescent="0.2">
      <c r="T2535" s="8"/>
    </row>
    <row r="2536" spans="20:20" x14ac:dyDescent="0.2">
      <c r="T2536" s="8"/>
    </row>
    <row r="2537" spans="20:20" x14ac:dyDescent="0.2">
      <c r="T2537" s="8"/>
    </row>
    <row r="2538" spans="20:20" x14ac:dyDescent="0.2">
      <c r="T2538" s="8"/>
    </row>
    <row r="2539" spans="20:20" x14ac:dyDescent="0.2">
      <c r="T2539" s="8"/>
    </row>
    <row r="2540" spans="20:20" x14ac:dyDescent="0.2">
      <c r="T2540" s="8"/>
    </row>
    <row r="2541" spans="20:20" x14ac:dyDescent="0.2">
      <c r="T2541" s="8"/>
    </row>
    <row r="2542" spans="20:20" x14ac:dyDescent="0.2">
      <c r="T2542" s="8"/>
    </row>
    <row r="2543" spans="20:20" x14ac:dyDescent="0.2">
      <c r="T2543" s="8"/>
    </row>
    <row r="2544" spans="20:20" x14ac:dyDescent="0.2">
      <c r="T2544" s="8"/>
    </row>
    <row r="2545" spans="20:20" x14ac:dyDescent="0.2">
      <c r="T2545" s="8"/>
    </row>
    <row r="2546" spans="20:20" x14ac:dyDescent="0.2">
      <c r="T2546" s="8"/>
    </row>
    <row r="2547" spans="20:20" x14ac:dyDescent="0.2">
      <c r="T2547" s="8"/>
    </row>
    <row r="2548" spans="20:20" x14ac:dyDescent="0.2">
      <c r="T2548" s="8"/>
    </row>
    <row r="2549" spans="20:20" x14ac:dyDescent="0.2">
      <c r="T2549" s="8"/>
    </row>
    <row r="2550" spans="20:20" x14ac:dyDescent="0.2">
      <c r="T2550" s="8"/>
    </row>
    <row r="2551" spans="20:20" x14ac:dyDescent="0.2">
      <c r="T2551" s="8"/>
    </row>
    <row r="2552" spans="20:20" x14ac:dyDescent="0.2">
      <c r="T2552" s="8"/>
    </row>
    <row r="2553" spans="20:20" x14ac:dyDescent="0.2">
      <c r="T2553" s="8"/>
    </row>
    <row r="2554" spans="20:20" x14ac:dyDescent="0.2">
      <c r="T2554" s="8"/>
    </row>
    <row r="2555" spans="20:20" x14ac:dyDescent="0.2">
      <c r="T2555" s="8"/>
    </row>
    <row r="2556" spans="20:20" x14ac:dyDescent="0.2">
      <c r="T2556" s="8"/>
    </row>
    <row r="2557" spans="20:20" x14ac:dyDescent="0.2">
      <c r="T2557" s="8"/>
    </row>
    <row r="2558" spans="20:20" x14ac:dyDescent="0.2">
      <c r="T2558" s="8"/>
    </row>
    <row r="2559" spans="20:20" x14ac:dyDescent="0.2">
      <c r="T2559" s="8"/>
    </row>
    <row r="2560" spans="20:20" x14ac:dyDescent="0.2">
      <c r="T2560" s="8"/>
    </row>
    <row r="2561" spans="20:20" x14ac:dyDescent="0.2">
      <c r="T2561" s="8"/>
    </row>
    <row r="2562" spans="20:20" x14ac:dyDescent="0.2">
      <c r="T2562" s="8"/>
    </row>
    <row r="2563" spans="20:20" x14ac:dyDescent="0.2">
      <c r="T2563" s="8"/>
    </row>
    <row r="2564" spans="20:20" x14ac:dyDescent="0.2">
      <c r="T2564" s="8"/>
    </row>
    <row r="2565" spans="20:20" x14ac:dyDescent="0.2">
      <c r="T2565" s="8"/>
    </row>
    <row r="2566" spans="20:20" x14ac:dyDescent="0.2">
      <c r="T2566" s="8"/>
    </row>
    <row r="2567" spans="20:20" x14ac:dyDescent="0.2">
      <c r="T2567" s="8"/>
    </row>
    <row r="2568" spans="20:20" x14ac:dyDescent="0.2">
      <c r="T2568" s="8"/>
    </row>
    <row r="2569" spans="20:20" x14ac:dyDescent="0.2">
      <c r="T2569" s="8"/>
    </row>
    <row r="2570" spans="20:20" x14ac:dyDescent="0.2">
      <c r="T2570" s="8"/>
    </row>
    <row r="2571" spans="20:20" x14ac:dyDescent="0.2">
      <c r="T2571" s="8"/>
    </row>
    <row r="2572" spans="20:20" x14ac:dyDescent="0.2">
      <c r="T2572" s="8"/>
    </row>
    <row r="2573" spans="20:20" x14ac:dyDescent="0.2">
      <c r="T2573" s="8"/>
    </row>
    <row r="2574" spans="20:20" x14ac:dyDescent="0.2">
      <c r="T2574" s="8"/>
    </row>
    <row r="2575" spans="20:20" x14ac:dyDescent="0.2">
      <c r="T2575" s="8"/>
    </row>
    <row r="2576" spans="20:20" x14ac:dyDescent="0.2">
      <c r="T2576" s="8"/>
    </row>
    <row r="2577" spans="20:20" x14ac:dyDescent="0.2">
      <c r="T2577" s="8"/>
    </row>
    <row r="2578" spans="20:20" x14ac:dyDescent="0.2">
      <c r="T2578" s="8"/>
    </row>
    <row r="2579" spans="20:20" x14ac:dyDescent="0.2">
      <c r="T2579" s="8"/>
    </row>
    <row r="2580" spans="20:20" x14ac:dyDescent="0.2">
      <c r="T2580" s="8"/>
    </row>
    <row r="2581" spans="20:20" x14ac:dyDescent="0.2">
      <c r="T2581" s="8"/>
    </row>
    <row r="2582" spans="20:20" x14ac:dyDescent="0.2">
      <c r="T2582" s="8"/>
    </row>
    <row r="2583" spans="20:20" x14ac:dyDescent="0.2">
      <c r="T2583" s="8"/>
    </row>
    <row r="2584" spans="20:20" x14ac:dyDescent="0.2">
      <c r="T2584" s="8"/>
    </row>
    <row r="2585" spans="20:20" x14ac:dyDescent="0.2">
      <c r="T2585" s="8"/>
    </row>
    <row r="2586" spans="20:20" x14ac:dyDescent="0.2">
      <c r="T2586" s="8"/>
    </row>
    <row r="2587" spans="20:20" x14ac:dyDescent="0.2">
      <c r="T2587" s="8"/>
    </row>
    <row r="2588" spans="20:20" x14ac:dyDescent="0.2">
      <c r="T2588" s="8"/>
    </row>
    <row r="2589" spans="20:20" x14ac:dyDescent="0.2">
      <c r="T2589" s="8"/>
    </row>
    <row r="2590" spans="20:20" x14ac:dyDescent="0.2">
      <c r="T2590" s="8"/>
    </row>
    <row r="2591" spans="20:20" x14ac:dyDescent="0.2">
      <c r="T2591" s="8"/>
    </row>
    <row r="2592" spans="20:20" x14ac:dyDescent="0.2">
      <c r="T2592" s="8"/>
    </row>
    <row r="2593" spans="20:20" x14ac:dyDescent="0.2">
      <c r="T2593" s="8"/>
    </row>
    <row r="2594" spans="20:20" x14ac:dyDescent="0.2">
      <c r="T2594" s="8"/>
    </row>
    <row r="2595" spans="20:20" x14ac:dyDescent="0.2">
      <c r="T2595" s="8"/>
    </row>
    <row r="2596" spans="20:20" x14ac:dyDescent="0.2">
      <c r="T2596" s="8"/>
    </row>
    <row r="2597" spans="20:20" x14ac:dyDescent="0.2">
      <c r="T2597" s="8"/>
    </row>
    <row r="2598" spans="20:20" x14ac:dyDescent="0.2">
      <c r="T2598" s="8"/>
    </row>
    <row r="2599" spans="20:20" x14ac:dyDescent="0.2">
      <c r="T2599" s="8"/>
    </row>
    <row r="2600" spans="20:20" x14ac:dyDescent="0.2">
      <c r="T2600" s="8"/>
    </row>
    <row r="2601" spans="20:20" x14ac:dyDescent="0.2">
      <c r="T2601" s="8"/>
    </row>
    <row r="2602" spans="20:20" x14ac:dyDescent="0.2">
      <c r="T2602" s="8"/>
    </row>
    <row r="2603" spans="20:20" x14ac:dyDescent="0.2">
      <c r="T2603" s="8"/>
    </row>
    <row r="2604" spans="20:20" x14ac:dyDescent="0.2">
      <c r="T2604" s="8"/>
    </row>
    <row r="2605" spans="20:20" x14ac:dyDescent="0.2">
      <c r="T2605" s="8"/>
    </row>
    <row r="2606" spans="20:20" x14ac:dyDescent="0.2">
      <c r="T2606" s="8"/>
    </row>
    <row r="2607" spans="20:20" x14ac:dyDescent="0.2">
      <c r="T2607" s="8"/>
    </row>
    <row r="2608" spans="20:20" x14ac:dyDescent="0.2">
      <c r="T2608" s="8"/>
    </row>
    <row r="2609" spans="20:20" x14ac:dyDescent="0.2">
      <c r="T2609" s="8"/>
    </row>
    <row r="2610" spans="20:20" x14ac:dyDescent="0.2">
      <c r="T2610" s="8"/>
    </row>
    <row r="2611" spans="20:20" x14ac:dyDescent="0.2">
      <c r="T2611" s="8"/>
    </row>
    <row r="2612" spans="20:20" x14ac:dyDescent="0.2">
      <c r="T2612" s="8"/>
    </row>
    <row r="2613" spans="20:20" x14ac:dyDescent="0.2">
      <c r="T2613" s="8"/>
    </row>
    <row r="2614" spans="20:20" x14ac:dyDescent="0.2">
      <c r="T2614" s="8"/>
    </row>
    <row r="2615" spans="20:20" x14ac:dyDescent="0.2">
      <c r="T2615" s="8"/>
    </row>
    <row r="2616" spans="20:20" x14ac:dyDescent="0.2">
      <c r="T2616" s="8"/>
    </row>
    <row r="2617" spans="20:20" x14ac:dyDescent="0.2">
      <c r="T2617" s="8"/>
    </row>
    <row r="2618" spans="20:20" x14ac:dyDescent="0.2">
      <c r="T2618" s="8"/>
    </row>
    <row r="2619" spans="20:20" x14ac:dyDescent="0.2">
      <c r="T2619" s="8"/>
    </row>
    <row r="2620" spans="20:20" x14ac:dyDescent="0.2">
      <c r="T2620" s="8"/>
    </row>
    <row r="2621" spans="20:20" x14ac:dyDescent="0.2">
      <c r="T2621" s="8"/>
    </row>
    <row r="2622" spans="20:20" x14ac:dyDescent="0.2">
      <c r="T2622" s="8"/>
    </row>
    <row r="2623" spans="20:20" x14ac:dyDescent="0.2">
      <c r="T2623" s="8"/>
    </row>
    <row r="2624" spans="20:20" x14ac:dyDescent="0.2">
      <c r="T2624" s="8"/>
    </row>
    <row r="2625" spans="20:20" x14ac:dyDescent="0.2">
      <c r="T2625" s="8"/>
    </row>
    <row r="2626" spans="20:20" x14ac:dyDescent="0.2">
      <c r="T2626" s="8"/>
    </row>
    <row r="2627" spans="20:20" x14ac:dyDescent="0.2">
      <c r="T2627" s="8"/>
    </row>
    <row r="2628" spans="20:20" x14ac:dyDescent="0.2">
      <c r="T2628" s="8"/>
    </row>
    <row r="2629" spans="20:20" x14ac:dyDescent="0.2">
      <c r="T2629" s="8"/>
    </row>
    <row r="2630" spans="20:20" x14ac:dyDescent="0.2">
      <c r="T2630" s="8"/>
    </row>
    <row r="2631" spans="20:20" x14ac:dyDescent="0.2">
      <c r="T2631" s="8"/>
    </row>
    <row r="2632" spans="20:20" x14ac:dyDescent="0.2">
      <c r="T2632" s="8"/>
    </row>
    <row r="2633" spans="20:20" x14ac:dyDescent="0.2">
      <c r="T2633" s="8"/>
    </row>
    <row r="2634" spans="20:20" x14ac:dyDescent="0.2">
      <c r="T2634" s="8"/>
    </row>
    <row r="2635" spans="20:20" x14ac:dyDescent="0.2">
      <c r="T2635" s="8"/>
    </row>
    <row r="2636" spans="20:20" x14ac:dyDescent="0.2">
      <c r="T2636" s="8"/>
    </row>
    <row r="2637" spans="20:20" x14ac:dyDescent="0.2">
      <c r="T2637" s="8"/>
    </row>
    <row r="2638" spans="20:20" x14ac:dyDescent="0.2">
      <c r="T2638" s="8"/>
    </row>
    <row r="2639" spans="20:20" x14ac:dyDescent="0.2">
      <c r="T2639" s="8"/>
    </row>
    <row r="2640" spans="20:20" x14ac:dyDescent="0.2">
      <c r="T2640" s="8"/>
    </row>
    <row r="2641" spans="20:20" x14ac:dyDescent="0.2">
      <c r="T2641" s="8"/>
    </row>
    <row r="2642" spans="20:20" x14ac:dyDescent="0.2">
      <c r="T2642" s="8"/>
    </row>
    <row r="2643" spans="20:20" x14ac:dyDescent="0.2">
      <c r="T2643" s="8"/>
    </row>
    <row r="2644" spans="20:20" x14ac:dyDescent="0.2">
      <c r="T2644" s="8"/>
    </row>
    <row r="2645" spans="20:20" x14ac:dyDescent="0.2">
      <c r="T2645" s="8"/>
    </row>
    <row r="2646" spans="20:20" x14ac:dyDescent="0.2">
      <c r="T2646" s="8"/>
    </row>
    <row r="2647" spans="20:20" x14ac:dyDescent="0.2">
      <c r="T2647" s="8"/>
    </row>
    <row r="2648" spans="20:20" x14ac:dyDescent="0.2">
      <c r="T2648" s="8"/>
    </row>
    <row r="2649" spans="20:20" x14ac:dyDescent="0.2">
      <c r="T2649" s="8"/>
    </row>
    <row r="2650" spans="20:20" x14ac:dyDescent="0.2">
      <c r="T2650" s="8"/>
    </row>
    <row r="2651" spans="20:20" x14ac:dyDescent="0.2">
      <c r="T2651" s="8"/>
    </row>
    <row r="2652" spans="20:20" x14ac:dyDescent="0.2">
      <c r="T2652" s="8"/>
    </row>
    <row r="2653" spans="20:20" x14ac:dyDescent="0.2">
      <c r="T2653" s="8"/>
    </row>
    <row r="2654" spans="20:20" x14ac:dyDescent="0.2">
      <c r="T2654" s="8"/>
    </row>
    <row r="2655" spans="20:20" x14ac:dyDescent="0.2">
      <c r="T2655" s="8"/>
    </row>
    <row r="2656" spans="20:20" x14ac:dyDescent="0.2">
      <c r="T2656" s="8"/>
    </row>
    <row r="2657" spans="20:20" x14ac:dyDescent="0.2">
      <c r="T2657" s="8"/>
    </row>
    <row r="2658" spans="20:20" x14ac:dyDescent="0.2">
      <c r="T2658" s="8"/>
    </row>
    <row r="2659" spans="20:20" x14ac:dyDescent="0.2">
      <c r="T2659" s="8"/>
    </row>
    <row r="2660" spans="20:20" x14ac:dyDescent="0.2">
      <c r="T2660" s="8"/>
    </row>
    <row r="2661" spans="20:20" x14ac:dyDescent="0.2">
      <c r="T2661" s="8"/>
    </row>
    <row r="2662" spans="20:20" x14ac:dyDescent="0.2">
      <c r="T2662" s="8"/>
    </row>
    <row r="2663" spans="20:20" x14ac:dyDescent="0.2">
      <c r="T2663" s="8"/>
    </row>
    <row r="2664" spans="20:20" x14ac:dyDescent="0.2">
      <c r="T2664" s="8"/>
    </row>
    <row r="2665" spans="20:20" x14ac:dyDescent="0.2">
      <c r="T2665" s="8"/>
    </row>
    <row r="2666" spans="20:20" x14ac:dyDescent="0.2">
      <c r="T2666" s="8"/>
    </row>
    <row r="2667" spans="20:20" x14ac:dyDescent="0.2">
      <c r="T2667" s="8"/>
    </row>
    <row r="2668" spans="20:20" x14ac:dyDescent="0.2">
      <c r="T2668" s="8"/>
    </row>
    <row r="2669" spans="20:20" x14ac:dyDescent="0.2">
      <c r="T2669" s="8"/>
    </row>
    <row r="2670" spans="20:20" x14ac:dyDescent="0.2">
      <c r="T2670" s="8"/>
    </row>
    <row r="2671" spans="20:20" x14ac:dyDescent="0.2">
      <c r="T2671" s="8"/>
    </row>
    <row r="2672" spans="20:20" x14ac:dyDescent="0.2">
      <c r="T2672" s="8"/>
    </row>
    <row r="2673" spans="20:20" x14ac:dyDescent="0.2">
      <c r="T2673" s="8"/>
    </row>
    <row r="2674" spans="20:20" x14ac:dyDescent="0.2">
      <c r="T2674" s="8"/>
    </row>
    <row r="2675" spans="20:20" x14ac:dyDescent="0.2">
      <c r="T2675" s="8"/>
    </row>
    <row r="2676" spans="20:20" x14ac:dyDescent="0.2">
      <c r="T2676" s="8"/>
    </row>
    <row r="2677" spans="20:20" x14ac:dyDescent="0.2">
      <c r="T2677" s="8"/>
    </row>
    <row r="2678" spans="20:20" x14ac:dyDescent="0.2">
      <c r="T2678" s="8"/>
    </row>
    <row r="2679" spans="20:20" x14ac:dyDescent="0.2">
      <c r="T2679" s="8"/>
    </row>
    <row r="2680" spans="20:20" x14ac:dyDescent="0.2">
      <c r="T2680" s="8"/>
    </row>
    <row r="2681" spans="20:20" x14ac:dyDescent="0.2">
      <c r="T2681" s="8"/>
    </row>
    <row r="2682" spans="20:20" x14ac:dyDescent="0.2">
      <c r="T2682" s="8"/>
    </row>
    <row r="2683" spans="20:20" x14ac:dyDescent="0.2">
      <c r="T2683" s="8"/>
    </row>
    <row r="2684" spans="20:20" x14ac:dyDescent="0.2">
      <c r="T2684" s="8"/>
    </row>
    <row r="2685" spans="20:20" x14ac:dyDescent="0.2">
      <c r="T2685" s="8"/>
    </row>
    <row r="2686" spans="20:20" x14ac:dyDescent="0.2">
      <c r="T2686" s="8"/>
    </row>
    <row r="2687" spans="20:20" x14ac:dyDescent="0.2">
      <c r="T2687" s="8"/>
    </row>
    <row r="2688" spans="20:20" x14ac:dyDescent="0.2">
      <c r="T2688" s="8"/>
    </row>
    <row r="2689" spans="20:20" x14ac:dyDescent="0.2">
      <c r="T2689" s="8"/>
    </row>
    <row r="2690" spans="20:20" x14ac:dyDescent="0.2">
      <c r="T2690" s="8"/>
    </row>
    <row r="2691" spans="20:20" x14ac:dyDescent="0.2">
      <c r="T2691" s="8"/>
    </row>
    <row r="2692" spans="20:20" x14ac:dyDescent="0.2">
      <c r="T2692" s="8"/>
    </row>
    <row r="2693" spans="20:20" x14ac:dyDescent="0.2">
      <c r="T2693" s="8"/>
    </row>
    <row r="2694" spans="20:20" x14ac:dyDescent="0.2">
      <c r="T2694" s="8"/>
    </row>
    <row r="2695" spans="20:20" x14ac:dyDescent="0.2">
      <c r="T2695" s="8"/>
    </row>
    <row r="2696" spans="20:20" x14ac:dyDescent="0.2">
      <c r="T2696" s="8"/>
    </row>
    <row r="2697" spans="20:20" x14ac:dyDescent="0.2">
      <c r="T2697" s="8"/>
    </row>
    <row r="2698" spans="20:20" x14ac:dyDescent="0.2">
      <c r="T2698" s="8"/>
    </row>
    <row r="2699" spans="20:20" x14ac:dyDescent="0.2">
      <c r="T2699" s="8"/>
    </row>
    <row r="2700" spans="20:20" x14ac:dyDescent="0.2">
      <c r="T2700" s="8"/>
    </row>
    <row r="2701" spans="20:20" x14ac:dyDescent="0.2">
      <c r="T2701" s="8"/>
    </row>
    <row r="2702" spans="20:20" x14ac:dyDescent="0.2">
      <c r="T2702" s="8"/>
    </row>
    <row r="2703" spans="20:20" x14ac:dyDescent="0.2">
      <c r="T2703" s="8"/>
    </row>
    <row r="2704" spans="20:20" x14ac:dyDescent="0.2">
      <c r="T2704" s="8"/>
    </row>
    <row r="2705" spans="20:20" x14ac:dyDescent="0.2">
      <c r="T2705" s="8"/>
    </row>
    <row r="2706" spans="20:20" x14ac:dyDescent="0.2">
      <c r="T2706" s="8"/>
    </row>
    <row r="2707" spans="20:20" x14ac:dyDescent="0.2">
      <c r="T2707" s="8"/>
    </row>
    <row r="2708" spans="20:20" x14ac:dyDescent="0.2">
      <c r="T2708" s="8"/>
    </row>
    <row r="2709" spans="20:20" x14ac:dyDescent="0.2">
      <c r="T2709" s="8"/>
    </row>
    <row r="2710" spans="20:20" x14ac:dyDescent="0.2">
      <c r="T2710" s="8"/>
    </row>
    <row r="2711" spans="20:20" x14ac:dyDescent="0.2">
      <c r="T2711" s="8"/>
    </row>
    <row r="2712" spans="20:20" x14ac:dyDescent="0.2">
      <c r="T2712" s="8"/>
    </row>
    <row r="2713" spans="20:20" x14ac:dyDescent="0.2">
      <c r="T2713" s="8"/>
    </row>
    <row r="2714" spans="20:20" x14ac:dyDescent="0.2">
      <c r="T2714" s="8"/>
    </row>
    <row r="2715" spans="20:20" x14ac:dyDescent="0.2">
      <c r="T2715" s="8"/>
    </row>
    <row r="2716" spans="20:20" x14ac:dyDescent="0.2">
      <c r="T2716" s="8"/>
    </row>
    <row r="2717" spans="20:20" x14ac:dyDescent="0.2">
      <c r="T2717" s="8"/>
    </row>
    <row r="2718" spans="20:20" x14ac:dyDescent="0.2">
      <c r="T2718" s="8"/>
    </row>
    <row r="2719" spans="20:20" x14ac:dyDescent="0.2">
      <c r="T2719" s="8"/>
    </row>
    <row r="2720" spans="20:20" x14ac:dyDescent="0.2">
      <c r="T2720" s="8"/>
    </row>
    <row r="2721" spans="20:20" x14ac:dyDescent="0.2">
      <c r="T2721" s="8"/>
    </row>
    <row r="2722" spans="20:20" x14ac:dyDescent="0.2">
      <c r="T2722" s="8"/>
    </row>
    <row r="2723" spans="20:20" x14ac:dyDescent="0.2">
      <c r="T2723" s="8"/>
    </row>
    <row r="2724" spans="20:20" x14ac:dyDescent="0.2">
      <c r="T2724" s="8"/>
    </row>
    <row r="2725" spans="20:20" x14ac:dyDescent="0.2">
      <c r="T2725" s="8"/>
    </row>
    <row r="2726" spans="20:20" x14ac:dyDescent="0.2">
      <c r="T2726" s="8"/>
    </row>
    <row r="2727" spans="20:20" x14ac:dyDescent="0.2">
      <c r="T2727" s="8"/>
    </row>
    <row r="2728" spans="20:20" x14ac:dyDescent="0.2">
      <c r="T2728" s="8"/>
    </row>
    <row r="2729" spans="20:20" x14ac:dyDescent="0.2">
      <c r="T2729" s="8"/>
    </row>
    <row r="2730" spans="20:20" x14ac:dyDescent="0.2">
      <c r="T2730" s="8"/>
    </row>
    <row r="2731" spans="20:20" x14ac:dyDescent="0.2">
      <c r="T2731" s="8"/>
    </row>
    <row r="2732" spans="20:20" x14ac:dyDescent="0.2">
      <c r="T2732" s="8"/>
    </row>
    <row r="2733" spans="20:20" x14ac:dyDescent="0.2">
      <c r="T2733" s="8"/>
    </row>
    <row r="2734" spans="20:20" x14ac:dyDescent="0.2">
      <c r="T2734" s="8"/>
    </row>
    <row r="2735" spans="20:20" x14ac:dyDescent="0.2">
      <c r="T2735" s="8"/>
    </row>
    <row r="2736" spans="20:20" x14ac:dyDescent="0.2">
      <c r="T2736" s="8"/>
    </row>
    <row r="2737" spans="20:20" x14ac:dyDescent="0.2">
      <c r="T2737" s="8"/>
    </row>
    <row r="2738" spans="20:20" x14ac:dyDescent="0.2">
      <c r="T2738" s="8"/>
    </row>
    <row r="2739" spans="20:20" x14ac:dyDescent="0.2">
      <c r="T2739" s="8"/>
    </row>
    <row r="2740" spans="20:20" x14ac:dyDescent="0.2">
      <c r="T2740" s="8"/>
    </row>
    <row r="2741" spans="20:20" x14ac:dyDescent="0.2">
      <c r="T2741" s="8"/>
    </row>
    <row r="2742" spans="20:20" x14ac:dyDescent="0.2">
      <c r="T2742" s="8"/>
    </row>
    <row r="2743" spans="20:20" x14ac:dyDescent="0.2">
      <c r="T2743" s="8"/>
    </row>
    <row r="2744" spans="20:20" x14ac:dyDescent="0.2">
      <c r="T2744" s="8"/>
    </row>
    <row r="2745" spans="20:20" x14ac:dyDescent="0.2">
      <c r="T2745" s="8"/>
    </row>
    <row r="2746" spans="20:20" x14ac:dyDescent="0.2">
      <c r="T2746" s="8"/>
    </row>
    <row r="2747" spans="20:20" x14ac:dyDescent="0.2">
      <c r="T2747" s="8"/>
    </row>
    <row r="2748" spans="20:20" x14ac:dyDescent="0.2">
      <c r="T2748" s="8"/>
    </row>
    <row r="2749" spans="20:20" x14ac:dyDescent="0.2">
      <c r="T2749" s="8"/>
    </row>
    <row r="2750" spans="20:20" x14ac:dyDescent="0.2">
      <c r="T2750" s="8"/>
    </row>
    <row r="2751" spans="20:20" x14ac:dyDescent="0.2">
      <c r="T2751" s="8"/>
    </row>
    <row r="2752" spans="20:20" x14ac:dyDescent="0.2">
      <c r="T2752" s="8"/>
    </row>
    <row r="2753" spans="20:20" x14ac:dyDescent="0.2">
      <c r="T2753" s="8"/>
    </row>
    <row r="2754" spans="20:20" x14ac:dyDescent="0.2">
      <c r="T2754" s="8"/>
    </row>
    <row r="2755" spans="20:20" x14ac:dyDescent="0.2">
      <c r="T2755" s="8"/>
    </row>
    <row r="2756" spans="20:20" x14ac:dyDescent="0.2">
      <c r="T2756" s="8"/>
    </row>
    <row r="2757" spans="20:20" x14ac:dyDescent="0.2">
      <c r="T2757" s="8"/>
    </row>
    <row r="2758" spans="20:20" x14ac:dyDescent="0.2">
      <c r="T2758" s="8"/>
    </row>
    <row r="2759" spans="20:20" x14ac:dyDescent="0.2">
      <c r="T2759" s="8"/>
    </row>
    <row r="2760" spans="20:20" x14ac:dyDescent="0.2">
      <c r="T2760" s="8"/>
    </row>
    <row r="2761" spans="20:20" x14ac:dyDescent="0.2">
      <c r="T2761" s="8"/>
    </row>
    <row r="2762" spans="20:20" x14ac:dyDescent="0.2">
      <c r="T2762" s="8"/>
    </row>
    <row r="2763" spans="20:20" x14ac:dyDescent="0.2">
      <c r="T2763" s="8"/>
    </row>
    <row r="2764" spans="20:20" x14ac:dyDescent="0.2">
      <c r="T2764" s="8"/>
    </row>
    <row r="2765" spans="20:20" x14ac:dyDescent="0.2">
      <c r="T2765" s="8"/>
    </row>
    <row r="2766" spans="20:20" x14ac:dyDescent="0.2">
      <c r="T2766" s="8"/>
    </row>
    <row r="2767" spans="20:20" x14ac:dyDescent="0.2">
      <c r="T2767" s="8"/>
    </row>
    <row r="2768" spans="20:20" x14ac:dyDescent="0.2">
      <c r="T2768" s="8"/>
    </row>
    <row r="2769" spans="20:20" x14ac:dyDescent="0.2">
      <c r="T2769" s="8"/>
    </row>
    <row r="2770" spans="20:20" x14ac:dyDescent="0.2">
      <c r="T2770" s="8"/>
    </row>
    <row r="2771" spans="20:20" x14ac:dyDescent="0.2">
      <c r="T2771" s="8"/>
    </row>
    <row r="2772" spans="20:20" x14ac:dyDescent="0.2">
      <c r="T2772" s="8"/>
    </row>
    <row r="2773" spans="20:20" x14ac:dyDescent="0.2">
      <c r="T2773" s="8"/>
    </row>
    <row r="2774" spans="20:20" x14ac:dyDescent="0.2">
      <c r="T2774" s="8"/>
    </row>
    <row r="2775" spans="20:20" x14ac:dyDescent="0.2">
      <c r="T2775" s="8"/>
    </row>
    <row r="2776" spans="20:20" x14ac:dyDescent="0.2">
      <c r="T2776" s="8"/>
    </row>
    <row r="2777" spans="20:20" x14ac:dyDescent="0.2">
      <c r="T2777" s="8"/>
    </row>
    <row r="2778" spans="20:20" x14ac:dyDescent="0.2">
      <c r="T2778" s="8"/>
    </row>
    <row r="2779" spans="20:20" x14ac:dyDescent="0.2">
      <c r="T2779" s="8"/>
    </row>
    <row r="2780" spans="20:20" x14ac:dyDescent="0.2">
      <c r="T2780" s="8"/>
    </row>
    <row r="2781" spans="20:20" x14ac:dyDescent="0.2">
      <c r="T2781" s="8"/>
    </row>
    <row r="2782" spans="20:20" x14ac:dyDescent="0.2">
      <c r="T2782" s="8"/>
    </row>
    <row r="2783" spans="20:20" x14ac:dyDescent="0.2">
      <c r="T2783" s="8"/>
    </row>
    <row r="2784" spans="20:20" x14ac:dyDescent="0.2">
      <c r="T2784" s="8"/>
    </row>
    <row r="2785" spans="20:20" x14ac:dyDescent="0.2">
      <c r="T2785" s="8"/>
    </row>
    <row r="2786" spans="20:20" x14ac:dyDescent="0.2">
      <c r="T2786" s="8"/>
    </row>
    <row r="2787" spans="20:20" x14ac:dyDescent="0.2">
      <c r="T2787" s="8"/>
    </row>
    <row r="2788" spans="20:20" x14ac:dyDescent="0.2">
      <c r="T2788" s="8"/>
    </row>
    <row r="2789" spans="20:20" x14ac:dyDescent="0.2">
      <c r="T2789" s="8"/>
    </row>
    <row r="2790" spans="20:20" x14ac:dyDescent="0.2">
      <c r="T2790" s="8"/>
    </row>
    <row r="2791" spans="20:20" x14ac:dyDescent="0.2">
      <c r="T2791" s="8"/>
    </row>
    <row r="2792" spans="20:20" x14ac:dyDescent="0.2">
      <c r="T2792" s="8"/>
    </row>
    <row r="2793" spans="20:20" x14ac:dyDescent="0.2">
      <c r="T2793" s="8"/>
    </row>
    <row r="2794" spans="20:20" x14ac:dyDescent="0.2">
      <c r="T2794" s="8"/>
    </row>
    <row r="2795" spans="20:20" x14ac:dyDescent="0.2">
      <c r="T2795" s="8"/>
    </row>
    <row r="2796" spans="20:20" x14ac:dyDescent="0.2">
      <c r="T2796" s="8"/>
    </row>
    <row r="2797" spans="20:20" x14ac:dyDescent="0.2">
      <c r="T2797" s="8"/>
    </row>
    <row r="2798" spans="20:20" x14ac:dyDescent="0.2">
      <c r="T2798" s="8"/>
    </row>
    <row r="2799" spans="20:20" x14ac:dyDescent="0.2">
      <c r="T2799" s="8"/>
    </row>
    <row r="2800" spans="20:20" x14ac:dyDescent="0.2">
      <c r="T2800" s="8"/>
    </row>
    <row r="2801" spans="20:20" x14ac:dyDescent="0.2">
      <c r="T2801" s="8"/>
    </row>
    <row r="2802" spans="20:20" x14ac:dyDescent="0.2">
      <c r="T2802" s="8"/>
    </row>
    <row r="2803" spans="20:20" x14ac:dyDescent="0.2">
      <c r="T2803" s="8"/>
    </row>
    <row r="2804" spans="20:20" x14ac:dyDescent="0.2">
      <c r="T2804" s="8"/>
    </row>
    <row r="2805" spans="20:20" x14ac:dyDescent="0.2">
      <c r="T2805" s="8"/>
    </row>
    <row r="2806" spans="20:20" x14ac:dyDescent="0.2">
      <c r="T2806" s="8"/>
    </row>
    <row r="2807" spans="20:20" x14ac:dyDescent="0.2">
      <c r="T2807" s="8"/>
    </row>
    <row r="2808" spans="20:20" x14ac:dyDescent="0.2">
      <c r="T2808" s="8"/>
    </row>
    <row r="2809" spans="20:20" x14ac:dyDescent="0.2">
      <c r="T2809" s="8"/>
    </row>
    <row r="2810" spans="20:20" x14ac:dyDescent="0.2">
      <c r="T2810" s="8"/>
    </row>
    <row r="2811" spans="20:20" x14ac:dyDescent="0.2">
      <c r="T2811" s="8"/>
    </row>
    <row r="2812" spans="20:20" x14ac:dyDescent="0.2">
      <c r="T2812" s="8"/>
    </row>
    <row r="2813" spans="20:20" x14ac:dyDescent="0.2">
      <c r="T2813" s="8"/>
    </row>
    <row r="2814" spans="20:20" x14ac:dyDescent="0.2">
      <c r="T2814" s="8"/>
    </row>
    <row r="2815" spans="20:20" x14ac:dyDescent="0.2">
      <c r="T2815" s="8"/>
    </row>
    <row r="2816" spans="20:20" x14ac:dyDescent="0.2">
      <c r="T2816" s="8"/>
    </row>
    <row r="2817" spans="20:20" x14ac:dyDescent="0.2">
      <c r="T2817" s="8"/>
    </row>
    <row r="2818" spans="20:20" x14ac:dyDescent="0.2">
      <c r="T2818" s="8"/>
    </row>
    <row r="2819" spans="20:20" x14ac:dyDescent="0.2">
      <c r="T2819" s="8"/>
    </row>
    <row r="2820" spans="20:20" x14ac:dyDescent="0.2">
      <c r="T2820" s="8"/>
    </row>
    <row r="2821" spans="20:20" x14ac:dyDescent="0.2">
      <c r="T2821" s="8"/>
    </row>
    <row r="2822" spans="20:20" x14ac:dyDescent="0.2">
      <c r="T2822" s="8"/>
    </row>
    <row r="2823" spans="20:20" x14ac:dyDescent="0.2">
      <c r="T2823" s="8"/>
    </row>
    <row r="2824" spans="20:20" x14ac:dyDescent="0.2">
      <c r="T2824" s="8"/>
    </row>
    <row r="2825" spans="20:20" x14ac:dyDescent="0.2">
      <c r="T2825" s="8"/>
    </row>
    <row r="2826" spans="20:20" x14ac:dyDescent="0.2">
      <c r="T2826" s="8"/>
    </row>
    <row r="2827" spans="20:20" x14ac:dyDescent="0.2">
      <c r="T2827" s="8"/>
    </row>
    <row r="2828" spans="20:20" x14ac:dyDescent="0.2">
      <c r="T2828" s="8"/>
    </row>
    <row r="2829" spans="20:20" x14ac:dyDescent="0.2">
      <c r="T2829" s="8"/>
    </row>
    <row r="2830" spans="20:20" x14ac:dyDescent="0.2">
      <c r="T2830" s="8"/>
    </row>
    <row r="2831" spans="20:20" x14ac:dyDescent="0.2">
      <c r="T2831" s="8"/>
    </row>
    <row r="2832" spans="20:20" x14ac:dyDescent="0.2">
      <c r="T2832" s="8"/>
    </row>
    <row r="2833" spans="20:20" x14ac:dyDescent="0.2">
      <c r="T2833" s="8"/>
    </row>
    <row r="2834" spans="20:20" x14ac:dyDescent="0.2">
      <c r="T2834" s="8"/>
    </row>
    <row r="2835" spans="20:20" x14ac:dyDescent="0.2">
      <c r="T2835" s="8"/>
    </row>
    <row r="2836" spans="20:20" x14ac:dyDescent="0.2">
      <c r="T2836" s="8"/>
    </row>
    <row r="2837" spans="20:20" x14ac:dyDescent="0.2">
      <c r="T2837" s="8"/>
    </row>
    <row r="2838" spans="20:20" x14ac:dyDescent="0.2">
      <c r="T2838" s="8"/>
    </row>
    <row r="2839" spans="20:20" x14ac:dyDescent="0.2">
      <c r="T2839" s="8"/>
    </row>
    <row r="2840" spans="20:20" x14ac:dyDescent="0.2">
      <c r="T2840" s="8"/>
    </row>
    <row r="2841" spans="20:20" x14ac:dyDescent="0.2">
      <c r="T2841" s="8"/>
    </row>
    <row r="2842" spans="20:20" x14ac:dyDescent="0.2">
      <c r="T2842" s="8"/>
    </row>
    <row r="2843" spans="20:20" x14ac:dyDescent="0.2">
      <c r="T2843" s="8"/>
    </row>
    <row r="2844" spans="20:20" x14ac:dyDescent="0.2">
      <c r="T2844" s="8"/>
    </row>
    <row r="2845" spans="20:20" x14ac:dyDescent="0.2">
      <c r="T2845" s="8"/>
    </row>
    <row r="2846" spans="20:20" x14ac:dyDescent="0.2">
      <c r="T2846" s="8"/>
    </row>
    <row r="2847" spans="20:20" x14ac:dyDescent="0.2">
      <c r="T2847" s="8"/>
    </row>
    <row r="2848" spans="20:20" x14ac:dyDescent="0.2">
      <c r="T2848" s="8"/>
    </row>
    <row r="2849" spans="20:20" x14ac:dyDescent="0.2">
      <c r="T2849" s="8"/>
    </row>
    <row r="2850" spans="20:20" x14ac:dyDescent="0.2">
      <c r="T2850" s="8"/>
    </row>
    <row r="2851" spans="20:20" x14ac:dyDescent="0.2">
      <c r="T2851" s="8"/>
    </row>
    <row r="2852" spans="20:20" x14ac:dyDescent="0.2">
      <c r="T2852" s="8"/>
    </row>
    <row r="2853" spans="20:20" x14ac:dyDescent="0.2">
      <c r="T2853" s="8"/>
    </row>
    <row r="2854" spans="20:20" x14ac:dyDescent="0.2">
      <c r="T2854" s="8"/>
    </row>
    <row r="2855" spans="20:20" x14ac:dyDescent="0.2">
      <c r="T2855" s="8"/>
    </row>
    <row r="2856" spans="20:20" x14ac:dyDescent="0.2">
      <c r="T2856" s="8"/>
    </row>
    <row r="2857" spans="20:20" x14ac:dyDescent="0.2">
      <c r="T2857" s="8"/>
    </row>
    <row r="2858" spans="20:20" x14ac:dyDescent="0.2">
      <c r="T2858" s="8"/>
    </row>
    <row r="2859" spans="20:20" x14ac:dyDescent="0.2">
      <c r="T2859" s="8"/>
    </row>
    <row r="2860" spans="20:20" x14ac:dyDescent="0.2">
      <c r="T2860" s="8"/>
    </row>
    <row r="2861" spans="20:20" x14ac:dyDescent="0.2">
      <c r="T2861" s="8"/>
    </row>
    <row r="2862" spans="20:20" x14ac:dyDescent="0.2">
      <c r="T2862" s="8"/>
    </row>
    <row r="2863" spans="20:20" x14ac:dyDescent="0.2">
      <c r="T2863" s="8"/>
    </row>
    <row r="2864" spans="20:20" x14ac:dyDescent="0.2">
      <c r="T2864" s="8"/>
    </row>
    <row r="2865" spans="20:20" x14ac:dyDescent="0.2">
      <c r="T2865" s="8"/>
    </row>
    <row r="2866" spans="20:20" x14ac:dyDescent="0.2">
      <c r="T2866" s="8"/>
    </row>
    <row r="2867" spans="20:20" x14ac:dyDescent="0.2">
      <c r="T2867" s="8"/>
    </row>
    <row r="2868" spans="20:20" x14ac:dyDescent="0.2">
      <c r="T2868" s="8"/>
    </row>
    <row r="2869" spans="20:20" x14ac:dyDescent="0.2">
      <c r="T2869" s="8"/>
    </row>
    <row r="2870" spans="20:20" x14ac:dyDescent="0.2">
      <c r="T2870" s="8"/>
    </row>
    <row r="2871" spans="20:20" x14ac:dyDescent="0.2">
      <c r="T2871" s="8"/>
    </row>
    <row r="2872" spans="20:20" x14ac:dyDescent="0.2">
      <c r="T2872" s="8"/>
    </row>
    <row r="2873" spans="20:20" x14ac:dyDescent="0.2">
      <c r="T2873" s="8"/>
    </row>
    <row r="2874" spans="20:20" x14ac:dyDescent="0.2">
      <c r="T2874" s="8"/>
    </row>
    <row r="2875" spans="20:20" x14ac:dyDescent="0.2">
      <c r="T2875" s="8"/>
    </row>
    <row r="2876" spans="20:20" x14ac:dyDescent="0.2">
      <c r="T2876" s="8"/>
    </row>
    <row r="2877" spans="20:20" x14ac:dyDescent="0.2">
      <c r="T2877" s="8"/>
    </row>
    <row r="2878" spans="20:20" x14ac:dyDescent="0.2">
      <c r="T2878" s="8"/>
    </row>
    <row r="2879" spans="20:20" x14ac:dyDescent="0.2">
      <c r="T2879" s="8"/>
    </row>
    <row r="2880" spans="20:20" x14ac:dyDescent="0.2">
      <c r="T2880" s="8"/>
    </row>
    <row r="2881" spans="20:20" x14ac:dyDescent="0.2">
      <c r="T2881" s="8"/>
    </row>
    <row r="2882" spans="20:20" x14ac:dyDescent="0.2">
      <c r="T2882" s="8"/>
    </row>
    <row r="2883" spans="20:20" x14ac:dyDescent="0.2">
      <c r="T2883" s="8"/>
    </row>
    <row r="2884" spans="20:20" x14ac:dyDescent="0.2">
      <c r="T2884" s="8"/>
    </row>
    <row r="2885" spans="20:20" x14ac:dyDescent="0.2">
      <c r="T2885" s="8"/>
    </row>
    <row r="2886" spans="20:20" x14ac:dyDescent="0.2">
      <c r="T2886" s="8"/>
    </row>
    <row r="2887" spans="20:20" x14ac:dyDescent="0.2">
      <c r="T2887" s="8"/>
    </row>
    <row r="2888" spans="20:20" x14ac:dyDescent="0.2">
      <c r="T2888" s="8"/>
    </row>
    <row r="2889" spans="20:20" x14ac:dyDescent="0.2">
      <c r="T2889" s="8"/>
    </row>
    <row r="2890" spans="20:20" x14ac:dyDescent="0.2">
      <c r="T2890" s="8"/>
    </row>
    <row r="2891" spans="20:20" x14ac:dyDescent="0.2">
      <c r="T2891" s="8"/>
    </row>
    <row r="2892" spans="20:20" x14ac:dyDescent="0.2">
      <c r="T2892" s="8"/>
    </row>
    <row r="2893" spans="20:20" x14ac:dyDescent="0.2">
      <c r="T2893" s="8"/>
    </row>
    <row r="2894" spans="20:20" x14ac:dyDescent="0.2">
      <c r="T2894" s="8"/>
    </row>
    <row r="2895" spans="20:20" x14ac:dyDescent="0.2">
      <c r="T2895" s="8"/>
    </row>
    <row r="2896" spans="20:20" x14ac:dyDescent="0.2">
      <c r="T2896" s="8"/>
    </row>
    <row r="2897" spans="20:20" x14ac:dyDescent="0.2">
      <c r="T2897" s="8"/>
    </row>
    <row r="2898" spans="20:20" x14ac:dyDescent="0.2">
      <c r="T2898" s="8"/>
    </row>
    <row r="2899" spans="20:20" x14ac:dyDescent="0.2">
      <c r="T2899" s="8"/>
    </row>
    <row r="2900" spans="20:20" x14ac:dyDescent="0.2">
      <c r="T2900" s="8"/>
    </row>
    <row r="2901" spans="20:20" x14ac:dyDescent="0.2">
      <c r="T2901" s="8"/>
    </row>
    <row r="2902" spans="20:20" x14ac:dyDescent="0.2">
      <c r="T2902" s="8"/>
    </row>
    <row r="2903" spans="20:20" x14ac:dyDescent="0.2">
      <c r="T2903" s="8"/>
    </row>
    <row r="2904" spans="20:20" x14ac:dyDescent="0.2">
      <c r="T2904" s="8"/>
    </row>
    <row r="2905" spans="20:20" x14ac:dyDescent="0.2">
      <c r="T2905" s="8"/>
    </row>
    <row r="2906" spans="20:20" x14ac:dyDescent="0.2">
      <c r="T2906" s="8"/>
    </row>
    <row r="2907" spans="20:20" x14ac:dyDescent="0.2">
      <c r="T2907" s="8"/>
    </row>
    <row r="2908" spans="20:20" x14ac:dyDescent="0.2">
      <c r="T2908" s="8"/>
    </row>
    <row r="2909" spans="20:20" x14ac:dyDescent="0.2">
      <c r="T2909" s="8"/>
    </row>
    <row r="2910" spans="20:20" x14ac:dyDescent="0.2">
      <c r="T2910" s="8"/>
    </row>
    <row r="2911" spans="20:20" x14ac:dyDescent="0.2">
      <c r="T2911" s="8"/>
    </row>
    <row r="2912" spans="20:20" x14ac:dyDescent="0.2">
      <c r="T2912" s="8"/>
    </row>
    <row r="2913" spans="20:20" x14ac:dyDescent="0.2">
      <c r="T2913" s="8"/>
    </row>
    <row r="2914" spans="20:20" x14ac:dyDescent="0.2">
      <c r="T2914" s="8"/>
    </row>
    <row r="2915" spans="20:20" x14ac:dyDescent="0.2">
      <c r="T2915" s="8"/>
    </row>
    <row r="2916" spans="20:20" x14ac:dyDescent="0.2">
      <c r="T2916" s="8"/>
    </row>
    <row r="2917" spans="20:20" x14ac:dyDescent="0.2">
      <c r="T2917" s="8"/>
    </row>
    <row r="2918" spans="20:20" x14ac:dyDescent="0.2">
      <c r="T2918" s="8"/>
    </row>
    <row r="2919" spans="20:20" x14ac:dyDescent="0.2">
      <c r="T2919" s="8"/>
    </row>
    <row r="2920" spans="20:20" x14ac:dyDescent="0.2">
      <c r="T2920" s="8"/>
    </row>
    <row r="2921" spans="20:20" x14ac:dyDescent="0.2">
      <c r="T2921" s="8"/>
    </row>
    <row r="2922" spans="20:20" x14ac:dyDescent="0.2">
      <c r="T2922" s="8"/>
    </row>
    <row r="2923" spans="20:20" x14ac:dyDescent="0.2">
      <c r="T2923" s="8"/>
    </row>
    <row r="2924" spans="20:20" x14ac:dyDescent="0.2">
      <c r="T2924" s="8"/>
    </row>
    <row r="2925" spans="20:20" x14ac:dyDescent="0.2">
      <c r="T2925" s="8"/>
    </row>
    <row r="2926" spans="20:20" x14ac:dyDescent="0.2">
      <c r="T2926" s="8"/>
    </row>
    <row r="2927" spans="20:20" x14ac:dyDescent="0.2">
      <c r="T2927" s="8"/>
    </row>
    <row r="2928" spans="20:20" x14ac:dyDescent="0.2">
      <c r="T2928" s="8"/>
    </row>
    <row r="2929" spans="20:20" x14ac:dyDescent="0.2">
      <c r="T2929" s="8"/>
    </row>
    <row r="2930" spans="20:20" x14ac:dyDescent="0.2">
      <c r="T2930" s="8"/>
    </row>
    <row r="2931" spans="20:20" x14ac:dyDescent="0.2">
      <c r="T2931" s="8"/>
    </row>
    <row r="2932" spans="20:20" x14ac:dyDescent="0.2">
      <c r="T2932" s="8"/>
    </row>
    <row r="2933" spans="20:20" x14ac:dyDescent="0.2">
      <c r="T2933" s="8"/>
    </row>
    <row r="2934" spans="20:20" x14ac:dyDescent="0.2">
      <c r="T2934" s="8"/>
    </row>
    <row r="2935" spans="20:20" x14ac:dyDescent="0.2">
      <c r="T2935" s="8"/>
    </row>
    <row r="2936" spans="20:20" x14ac:dyDescent="0.2">
      <c r="T2936" s="8"/>
    </row>
    <row r="2937" spans="20:20" x14ac:dyDescent="0.2">
      <c r="T2937" s="8"/>
    </row>
    <row r="2938" spans="20:20" x14ac:dyDescent="0.2">
      <c r="T2938" s="8"/>
    </row>
    <row r="2939" spans="20:20" x14ac:dyDescent="0.2">
      <c r="T2939" s="8"/>
    </row>
    <row r="2940" spans="20:20" x14ac:dyDescent="0.2">
      <c r="T2940" s="8"/>
    </row>
    <row r="2941" spans="20:20" x14ac:dyDescent="0.2">
      <c r="T2941" s="8"/>
    </row>
    <row r="2942" spans="20:20" x14ac:dyDescent="0.2">
      <c r="T2942" s="8"/>
    </row>
    <row r="2943" spans="20:20" x14ac:dyDescent="0.2">
      <c r="T2943" s="8"/>
    </row>
    <row r="2944" spans="20:20" x14ac:dyDescent="0.2">
      <c r="T2944" s="8"/>
    </row>
    <row r="2945" spans="20:20" x14ac:dyDescent="0.2">
      <c r="T2945" s="8"/>
    </row>
    <row r="2946" spans="20:20" x14ac:dyDescent="0.2">
      <c r="T2946" s="8"/>
    </row>
    <row r="2947" spans="20:20" x14ac:dyDescent="0.2">
      <c r="T2947" s="8"/>
    </row>
    <row r="2948" spans="20:20" x14ac:dyDescent="0.2">
      <c r="T2948" s="8"/>
    </row>
    <row r="2949" spans="20:20" x14ac:dyDescent="0.2">
      <c r="T2949" s="8"/>
    </row>
    <row r="2950" spans="20:20" x14ac:dyDescent="0.2">
      <c r="T2950" s="8"/>
    </row>
    <row r="2951" spans="20:20" x14ac:dyDescent="0.2">
      <c r="T2951" s="8"/>
    </row>
    <row r="2952" spans="20:20" x14ac:dyDescent="0.2">
      <c r="T2952" s="8"/>
    </row>
    <row r="2953" spans="20:20" x14ac:dyDescent="0.2">
      <c r="T2953" s="8"/>
    </row>
    <row r="2954" spans="20:20" x14ac:dyDescent="0.2">
      <c r="T2954" s="8"/>
    </row>
    <row r="2955" spans="20:20" x14ac:dyDescent="0.2">
      <c r="T2955" s="8"/>
    </row>
    <row r="2956" spans="20:20" x14ac:dyDescent="0.2">
      <c r="T2956" s="8"/>
    </row>
    <row r="2957" spans="20:20" x14ac:dyDescent="0.2">
      <c r="T2957" s="8"/>
    </row>
    <row r="2958" spans="20:20" x14ac:dyDescent="0.2">
      <c r="T2958" s="8"/>
    </row>
    <row r="2959" spans="20:20" x14ac:dyDescent="0.2">
      <c r="T2959" s="8"/>
    </row>
    <row r="2960" spans="20:20" x14ac:dyDescent="0.2">
      <c r="T2960" s="8"/>
    </row>
    <row r="2961" spans="20:20" x14ac:dyDescent="0.2">
      <c r="T2961" s="8"/>
    </row>
    <row r="2962" spans="20:20" x14ac:dyDescent="0.2">
      <c r="T2962" s="8"/>
    </row>
    <row r="2963" spans="20:20" x14ac:dyDescent="0.2">
      <c r="T2963" s="8"/>
    </row>
    <row r="2964" spans="20:20" x14ac:dyDescent="0.2">
      <c r="T2964" s="8"/>
    </row>
    <row r="2965" spans="20:20" x14ac:dyDescent="0.2">
      <c r="T2965" s="8"/>
    </row>
    <row r="2966" spans="20:20" x14ac:dyDescent="0.2">
      <c r="T2966" s="8"/>
    </row>
    <row r="2967" spans="20:20" x14ac:dyDescent="0.2">
      <c r="T2967" s="8"/>
    </row>
    <row r="2968" spans="20:20" x14ac:dyDescent="0.2">
      <c r="T2968" s="8"/>
    </row>
    <row r="2969" spans="20:20" x14ac:dyDescent="0.2">
      <c r="T2969" s="8"/>
    </row>
    <row r="2970" spans="20:20" x14ac:dyDescent="0.2">
      <c r="T2970" s="8"/>
    </row>
    <row r="2971" spans="20:20" x14ac:dyDescent="0.2">
      <c r="T2971" s="8"/>
    </row>
    <row r="2972" spans="20:20" x14ac:dyDescent="0.2">
      <c r="T2972" s="8"/>
    </row>
    <row r="2973" spans="20:20" x14ac:dyDescent="0.2">
      <c r="T2973" s="8"/>
    </row>
    <row r="2974" spans="20:20" x14ac:dyDescent="0.2">
      <c r="T2974" s="8"/>
    </row>
    <row r="2975" spans="20:20" x14ac:dyDescent="0.2">
      <c r="T2975" s="8"/>
    </row>
    <row r="2976" spans="20:20" x14ac:dyDescent="0.2">
      <c r="T2976" s="8"/>
    </row>
    <row r="2977" spans="20:20" x14ac:dyDescent="0.2">
      <c r="T2977" s="8"/>
    </row>
    <row r="2978" spans="20:20" x14ac:dyDescent="0.2">
      <c r="T2978" s="8"/>
    </row>
    <row r="2979" spans="20:20" x14ac:dyDescent="0.2">
      <c r="T2979" s="8"/>
    </row>
    <row r="2980" spans="20:20" x14ac:dyDescent="0.2">
      <c r="T2980" s="8"/>
    </row>
    <row r="2981" spans="20:20" x14ac:dyDescent="0.2">
      <c r="T2981" s="8"/>
    </row>
    <row r="2982" spans="20:20" x14ac:dyDescent="0.2">
      <c r="T2982" s="8"/>
    </row>
    <row r="2983" spans="20:20" x14ac:dyDescent="0.2">
      <c r="T2983" s="8"/>
    </row>
    <row r="2984" spans="20:20" x14ac:dyDescent="0.2">
      <c r="T2984" s="8"/>
    </row>
    <row r="2985" spans="20:20" x14ac:dyDescent="0.2">
      <c r="T2985" s="8"/>
    </row>
    <row r="2986" spans="20:20" x14ac:dyDescent="0.2">
      <c r="T2986" s="8"/>
    </row>
    <row r="2987" spans="20:20" x14ac:dyDescent="0.2">
      <c r="T2987" s="8"/>
    </row>
    <row r="2988" spans="20:20" x14ac:dyDescent="0.2">
      <c r="T2988" s="8"/>
    </row>
    <row r="2989" spans="20:20" x14ac:dyDescent="0.2">
      <c r="T2989" s="8"/>
    </row>
    <row r="2990" spans="20:20" x14ac:dyDescent="0.2">
      <c r="T2990" s="8"/>
    </row>
    <row r="2991" spans="20:20" x14ac:dyDescent="0.2">
      <c r="T2991" s="8"/>
    </row>
    <row r="2992" spans="20:20" x14ac:dyDescent="0.2">
      <c r="T2992" s="8"/>
    </row>
  </sheetData>
  <conditionalFormatting sqref="E6:E1009 H22:H1991">
    <cfRule type="containsText" dxfId="1" priority="1" stopIfTrue="1" operator="containsText" text="AGOTADO">
      <formula>NOT(ISERROR(SEARCH("AGOTADO",E6)))</formula>
    </cfRule>
    <cfRule type="containsText" dxfId="0" priority="2" operator="containsText" text="MENOR AL MINIMO">
      <formula>NOT(ISERROR(SEARCH("MENOR AL MINIMO",E6)))</formula>
    </cfRule>
  </conditionalFormatting>
  <dataValidations count="1">
    <dataValidation type="list" allowBlank="1" showInputMessage="1" showErrorMessage="1" sqref="C3" xr:uid="{4B7858CA-6FAB-0845-BE23-9AF0DCB3A4AA}">
      <formula1>INDIRECT("SUCURSALES")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0882-D8EF-0C4A-96E4-BE4B00CEB5ED}">
  <dimension ref="B1:AA100"/>
  <sheetViews>
    <sheetView showGridLines="0" workbookViewId="0">
      <selection activeCell="F4" sqref="F4"/>
    </sheetView>
  </sheetViews>
  <sheetFormatPr baseColWidth="10" defaultColWidth="10.875" defaultRowHeight="15" x14ac:dyDescent="0.2"/>
  <cols>
    <col min="1" max="1" width="4.875" style="1" customWidth="1"/>
    <col min="2" max="2" width="28.875" style="1" customWidth="1"/>
    <col min="3" max="15" width="14.875" style="1" customWidth="1"/>
    <col min="16" max="16384" width="10.875" style="1"/>
  </cols>
  <sheetData>
    <row r="1" spans="2:27" s="3" customFormat="1" ht="39.950000000000003" customHeight="1" x14ac:dyDescent="0.2"/>
    <row r="2" spans="2:27" s="2" customFormat="1" ht="29.1" customHeight="1" x14ac:dyDescent="0.2"/>
    <row r="3" spans="2:27" s="7" customFormat="1" ht="27.95" customHeight="1" x14ac:dyDescent="0.2">
      <c r="F3" s="19"/>
    </row>
    <row r="4" spans="2:27" s="7" customFormat="1" ht="21.95" customHeight="1" x14ac:dyDescent="0.2">
      <c r="B4" s="54" t="s">
        <v>8</v>
      </c>
      <c r="C4" s="17" t="s">
        <v>940</v>
      </c>
      <c r="E4" s="8" t="s">
        <v>0</v>
      </c>
      <c r="F4" s="17" t="s">
        <v>905</v>
      </c>
    </row>
    <row r="5" spans="2:27" s="8" customFormat="1" ht="30" customHeight="1" thickBot="1" x14ac:dyDescent="0.25">
      <c r="B5" s="7"/>
      <c r="C5" s="7"/>
      <c r="D5" s="7"/>
      <c r="E5" s="7"/>
      <c r="F5" s="53"/>
      <c r="J5" s="10"/>
      <c r="K5" s="9"/>
      <c r="L5" s="9"/>
      <c r="N5" s="9"/>
      <c r="O5" s="9"/>
    </row>
    <row r="6" spans="2:27" s="8" customFormat="1" ht="30" customHeight="1" thickTop="1" thickBot="1" x14ac:dyDescent="0.3">
      <c r="B6" s="47" t="s">
        <v>10</v>
      </c>
      <c r="C6" s="71">
        <f>COUNTIF(PRODUCTOS[PRODUCTO], "&lt;&gt;")</f>
        <v>997</v>
      </c>
      <c r="D6" s="71"/>
      <c r="E6" s="10"/>
      <c r="F6" s="10"/>
      <c r="J6" s="26"/>
    </row>
    <row r="7" spans="2:27" s="8" customFormat="1" ht="30" customHeight="1" thickTop="1" thickBot="1" x14ac:dyDescent="0.3">
      <c r="B7" s="48" t="s">
        <v>11</v>
      </c>
      <c r="C7" s="71">
        <f>IF(F4="",
    IF(C4="",
        SUM(INICIAL[CANTIDAD]) + SUM(ENTRADAS[CANTIDAD]) - SUM(SALIDAS[CANTIDAD]),
        SUMIF(ENTRADAS[SUCURSAL], C4, ENTRADAS[CANTIDAD]) - SUMIF(SALIDAS[SUCURSAL], C4, SALIDAS[CANTIDAD]) + SUMIF(INICIAL[SUCURSAL], C4, INICIAL[CANTIDAD])
    ),
    IF(C4="",
        SUMIF(ENTRADAS[PRODUCTO], F4, ENTRADAS[CANTIDAD]) - SUMIF(SALIDAS[PRODUCTO], F4, SALIDAS[CANTIDAD]) + SUMIF(INICIAL[PRODUCTO], F4, INICIAL[CANTIDAD]),
        SUMIFS(ENTRADAS[CANTIDAD], ENTRADAS[SUCURSAL], C4, ENTRADAS[PRODUCTO], F4) - SUMIFS(SALIDAS[CANTIDAD], SALIDAS[SUCURSAL], C4, SALIDAS[PRODUCTO], F4) + SUMIFS(INICIAL[CANTIDAD], INICIAL[SUCURSAL], C4, INICIAL[PRODUCTO], F4)
    )
)</f>
        <v>252</v>
      </c>
      <c r="D7" s="71"/>
      <c r="E7" s="26"/>
      <c r="F7" s="45"/>
      <c r="J7" s="26"/>
    </row>
    <row r="8" spans="2:27" s="8" customFormat="1" ht="30" customHeight="1" thickTop="1" thickBot="1" x14ac:dyDescent="0.3">
      <c r="B8" s="42"/>
      <c r="D8" s="44"/>
      <c r="E8" s="26"/>
      <c r="F8" s="45"/>
      <c r="J8" s="26"/>
    </row>
    <row r="9" spans="2:27" s="8" customFormat="1" ht="30" customHeight="1" thickTop="1" thickBot="1" x14ac:dyDescent="0.3">
      <c r="B9" s="46" t="s">
        <v>15</v>
      </c>
      <c r="C9" s="50" t="s">
        <v>16</v>
      </c>
      <c r="D9" s="51" t="s">
        <v>17</v>
      </c>
      <c r="E9" s="50" t="s">
        <v>18</v>
      </c>
      <c r="F9" s="51" t="s">
        <v>19</v>
      </c>
      <c r="G9" s="50" t="s">
        <v>20</v>
      </c>
      <c r="H9" s="51" t="s">
        <v>21</v>
      </c>
      <c r="I9" s="50" t="s">
        <v>22</v>
      </c>
      <c r="J9" s="51" t="s">
        <v>23</v>
      </c>
      <c r="K9" s="52" t="s">
        <v>24</v>
      </c>
      <c r="L9" s="51" t="s">
        <v>25</v>
      </c>
      <c r="M9" s="51" t="s">
        <v>26</v>
      </c>
      <c r="N9" s="51" t="s">
        <v>27</v>
      </c>
      <c r="O9" s="50" t="s">
        <v>14</v>
      </c>
      <c r="Y9" s="8" t="s">
        <v>16</v>
      </c>
      <c r="Z9" s="8">
        <f>C10</f>
        <v>0</v>
      </c>
      <c r="AA9" s="8">
        <f>C11</f>
        <v>0</v>
      </c>
    </row>
    <row r="10" spans="2:27" s="8" customFormat="1" ht="30" customHeight="1" thickTop="1" thickBot="1" x14ac:dyDescent="0.3">
      <c r="B10" s="46" t="s">
        <v>12</v>
      </c>
      <c r="C10" s="49">
        <f>IF(C4="",
    IF(F4="",
        SUMIFS(ENTRADAS[CANTIDAD], ENTRADAS[FECHA], "&gt;=01/01/2025", ENTRADAS[FECHA], "&lt;=31/01/2025"),
        SUMIFS(ENTRADAS[CANTIDAD], ENTRADAS[FECHA], "&gt;=01/01/2025", ENTRADAS[FECHA], "&lt;=31/01/2025", ENTRADAS[PRODUCTO], F4)
    ),
    IF(F4="",
        SUMIFS(ENTRADAS[CANTIDAD], ENTRADAS[FECHA], "&gt;=01/01/2025", ENTRADAS[FECHA], "&lt;=31/01/2025", ENTRADAS[SUCURSAL], C4),
        SUMIFS(ENTRADAS[CANTIDAD], ENTRADAS[FECHA], "&gt;=01/01/2025", ENTRADAS[FECHA], "&lt;=31/01/2025", ENTRADAS[SUCURSAL], C4, ENTRADAS[PRODUCTO], F4)
    )
)</f>
        <v>0</v>
      </c>
      <c r="D10" s="49">
        <f>IF(C4="",
    IF(F4="",
        SUMIFS(ENTRADAS[CANTIDAD], ENTRADAS[FECHA], "&gt;=01/02/2025", ENTRADAS[FECHA], "&lt;=28/02/2025"),
        SUMIFS(ENTRADAS[CANTIDAD], ENTRADAS[FECHA], "&gt;=01/02/2025", ENTRADAS[FECHA], "&lt;=28/02/2025", ENTRADAS[PRODUCTO], F4)
    ),
    IF(F4="",
        SUMIFS(ENTRADAS[CANTIDAD], ENTRADAS[FECHA], "&gt;=01/02/2025", ENTRADAS[FECHA], "&lt;=28/02/2025", ENTRADAS[SUCURSAL], C4),
        SUMIFS(ENTRADAS[CANTIDAD], ENTRADAS[FECHA], "&gt;=01/02/2025", ENTRADAS[FECHA], "&lt;=28/02/2025", ENTRADAS[SUCURSAL], C4, ENTRADAS[PRODUCTO], F4)
    )
)</f>
        <v>0</v>
      </c>
      <c r="E10" s="49">
        <f>IF(C4="",
    IF(F4="",
        SUMIFS(ENTRADAS[CANTIDAD], ENTRADAS[FECHA], "&gt;=01/03/2025", ENTRADAS[FECHA], "&lt;=31/03/2025"),
        SUMIFS(ENTRADAS[CANTIDAD], ENTRADAS[FECHA], "&gt;=01/03/2025", ENTRADAS[FECHA], "&lt;=31/03/2025", ENTRADAS[PRODUCTO], F4)
    ),
    IF(F4="",
        SUMIFS(ENTRADAS[CANTIDAD], ENTRADAS[FECHA], "&gt;=01/03/2025", ENTRADAS[FECHA], "&lt;=31/03/2025", ENTRADAS[SUCURSAL], C4),
        SUMIFS(ENTRADAS[CANTIDAD], ENTRADAS[FECHA], "&gt;=01/03/2025", ENTRADAS[FECHA], "&lt;=31/03/2025", ENTRADAS[SUCURSAL], C4, ENTRADAS[PRODUCTO], F4)
    )
)</f>
        <v>0</v>
      </c>
      <c r="F10" s="49">
        <f>IF(C4="",
    IF(F4="",
        SUMIFS(ENTRADAS[CANTIDAD], ENTRADAS[FECHA], "&gt;=01/04/2025", ENTRADAS[FECHA], "&lt;=30/04/2025"),
        SUMIFS(ENTRADAS[CANTIDAD], ENTRADAS[FECHA], "&gt;=01/04/2025", ENTRADAS[FECHA], "&lt;=30/04/2025", ENTRADAS[PRODUCTO], F4)
    ),
    IF(F4="",
        SUMIFS(ENTRADAS[CANTIDAD], ENTRADAS[FECHA], "&gt;=01/04/2025", ENTRADAS[FECHA], "&lt;=30/04/2025", ENTRADAS[SUCURSAL], C4),
        SUMIFS(ENTRADAS[CANTIDAD], ENTRADAS[FECHA], "&gt;=01/04/2025", ENTRADAS[FECHA], "&lt;=30/04/2025", ENTRADAS[SUCURSAL], C4, ENTRADAS[PRODUCTO], F4)
    )
)</f>
        <v>0</v>
      </c>
      <c r="G10" s="49">
        <f>IF(C4="",
    IF(F4="",
        SUMIFS(ENTRADAS[CANTIDAD], ENTRADAS[FECHA], "&gt;=01/05/2025", ENTRADAS[FECHA], "&lt;=31/05/2025"),
        SUMIFS(ENTRADAS[CANTIDAD], ENTRADAS[FECHA], "&gt;=01/05/2025", ENTRADAS[FECHA], "&lt;=31/05/2025", ENTRADAS[PRODUCTO], F4)
    ),
    IF(F4="",
        SUMIFS(ENTRADAS[CANTIDAD], ENTRADAS[FECHA], "&gt;=01/05/2025", ENTRADAS[FECHA], "&lt;=31/05/2025", ENTRADAS[SUCURSAL], C4),
        SUMIFS(ENTRADAS[CANTIDAD], ENTRADAS[FECHA], "&gt;=01/05/2025", ENTRADAS[FECHA], "&lt;=31/05/2025", ENTRADAS[SUCURSAL], C4, ENTRADAS[PRODUCTO], F4)
    )
)</f>
        <v>0</v>
      </c>
      <c r="H10" s="49">
        <f>IF(C4="",
    IF(F4="",
        SUMIFS(ENTRADAS[CANTIDAD], ENTRADAS[FECHA], "&gt;=01/06/2025", ENTRADAS[FECHA], "&lt;=30/06/2025"),
        SUMIFS(ENTRADAS[CANTIDAD], ENTRADAS[FECHA], "&gt;=01/06/2025", ENTRADAS[FECHA], "&lt;=30/06/2025", ENTRADAS[PRODUCTO], F4)
    ),
    IF(F4="",
        SUMIFS(ENTRADAS[CANTIDAD], ENTRADAS[FECHA], "&gt;=01/06/2025", ENTRADAS[FECHA], "&lt;=30/06/2025", ENTRADAS[SUCURSAL], C4),
        SUMIFS(ENTRADAS[CANTIDAD], ENTRADAS[FECHA], "&gt;=01/06/2025", ENTRADAS[FECHA], "&lt;=30/06/2025", ENTRADAS[SUCURSAL], C4, ENTRADAS[PRODUCTO], F4)
    )
)</f>
        <v>0</v>
      </c>
      <c r="I10" s="49">
        <f>IF(C4="",
    IF(F4="",
        SUMIFS(ENTRADAS[CANTIDAD], ENTRADAS[FECHA], "&gt;=01/07/2025", ENTRADAS[FECHA], "&lt;=31/07/2025"),
        SUMIFS(ENTRADAS[CANTIDAD], ENTRADAS[FECHA], "&gt;=01/07/2025", ENTRADAS[FECHA], "&lt;=31/07/2025", ENTRADAS[PRODUCTO], F4)
    ),
    IF(F4="",
        SUMIFS(ENTRADAS[CANTIDAD], ENTRADAS[FECHA], "&gt;=01/07/2025", ENTRADAS[FECHA], "&lt;=31/07/2025", ENTRADAS[SUCURSAL], C4),
        SUMIFS(ENTRADAS[CANTIDAD], ENTRADAS[FECHA], "&gt;=01/07/2025", ENTRADAS[FECHA], "&lt;=31/07/2025", ENTRADAS[SUCURSAL], C4, ENTRADAS[PRODUCTO], F4)
    )
)</f>
        <v>0</v>
      </c>
      <c r="J10" s="49">
        <f>IF(C4="",
    IF(F4="",
        SUMIFS(ENTRADAS[CANTIDAD], ENTRADAS[FECHA], "&gt;=01/08/2025", ENTRADAS[FECHA], "&lt;=31/08/2025"),
        SUMIFS(ENTRADAS[CANTIDAD], ENTRADAS[FECHA], "&gt;=01/08/2025", ENTRADAS[FECHA], "&lt;=31/08/2025", ENTRADAS[PRODUCTO], F4)
    ),
    IF(F4="",
        SUMIFS(ENTRADAS[CANTIDAD], ENTRADAS[FECHA], "&gt;=01/08/2025", ENTRADAS[FECHA], "&lt;=31/08/2025", ENTRADAS[SUCURSAL], C4),
        SUMIFS(ENTRADAS[CANTIDAD], ENTRADAS[FECHA], "&gt;=01/08/2025", ENTRADAS[FECHA], "&lt;=31/08/2025", ENTRADAS[SUCURSAL], C4, ENTRADAS[PRODUCTO], F4)
    )
)</f>
        <v>0</v>
      </c>
      <c r="K10" s="49">
        <f>IF(C4="",
    IF(F4="",
        SUMIFS(ENTRADAS[CANTIDAD], ENTRADAS[FECHA], "&gt;=01/09/2025", ENTRADAS[FECHA], "&lt;=30/09/2025"),
        SUMIFS(ENTRADAS[CANTIDAD], ENTRADAS[FECHA], "&gt;=01/09/2025", ENTRADAS[FECHA], "&lt;=30/09/2025", ENTRADAS[PRODUCTO], F4)
    ),
    IF(F4="",
        SUMIFS(ENTRADAS[CANTIDAD], ENTRADAS[FECHA], "&gt;=01/09/2025", ENTRADAS[FECHA], "&lt;=30/09/2025", ENTRADAS[SUCURSAL], C4),
        SUMIFS(ENTRADAS[CANTIDAD], ENTRADAS[FECHA], "&gt;=01/09/2025", ENTRADAS[FECHA], "&lt;=30/09/2025", ENTRADAS[SUCURSAL], C4, ENTRADAS[PRODUCTO], F4)
    )
)</f>
        <v>0</v>
      </c>
      <c r="L10" s="49">
        <f>IF(C4="",
    IF(F4="",
        SUMIFS(ENTRADAS[CANTIDAD], ENTRADAS[FECHA], "&gt;=01/10/2025", ENTRADAS[FECHA], "&lt;=31/10/2025"),
        SUMIFS(ENTRADAS[CANTIDAD], ENTRADAS[FECHA], "&gt;=01/10/2025", ENTRADAS[FECHA], "&lt;=31/10/2025", ENTRADAS[PRODUCTO], F4)
    ),
    IF(F4="",
        SUMIFS(ENTRADAS[CANTIDAD], ENTRADAS[FECHA], "&gt;=01/10/2025", ENTRADAS[FECHA], "&lt;=31/10/2025", ENTRADAS[SUCURSAL], C4),
        SUMIFS(ENTRADAS[CANTIDAD], ENTRADAS[FECHA], "&gt;=01/10/2025", ENTRADAS[FECHA], "&lt;=31/10/2025", ENTRADAS[SUCURSAL], C4, ENTRADAS[PRODUCTO], F4)
    )
)</f>
        <v>0</v>
      </c>
      <c r="M10" s="49">
        <f>IF(C4="",
    IF(F4="",
        SUMIFS(ENTRADAS[CANTIDAD], ENTRADAS[FECHA], "&gt;=01/11/2025", ENTRADAS[FECHA], "&lt;=30/11/2025"),
        SUMIFS(ENTRADAS[CANTIDAD], ENTRADAS[FECHA], "&gt;=01/11/2025", ENTRADAS[FECHA], "&lt;=30/11/2025", ENTRADAS[PRODUCTO], F4)
    ),
    IF(F4="",
        SUMIFS(ENTRADAS[CANTIDAD], ENTRADAS[FECHA], "&gt;=01/11/2025", ENTRADAS[FECHA], "&lt;=30/11/2025", ENTRADAS[SUCURSAL], C4),
        SUMIFS(ENTRADAS[CANTIDAD], ENTRADAS[FECHA], "&gt;=01/11/2025", ENTRADAS[FECHA], "&lt;=30/11/2025", ENTRADAS[SUCURSAL], C4, ENTRADAS[PRODUCTO], F4)
    )
)</f>
        <v>0</v>
      </c>
      <c r="N10" s="49">
        <f>IF(C4="",
    IF(F4="",
        SUMIFS(ENTRADAS[CANTIDAD], ENTRADAS[FECHA], "&gt;=01/12/2025", ENTRADAS[FECHA], "&lt;=31/12/2025"),
        SUMIFS(ENTRADAS[CANTIDAD], ENTRADAS[FECHA], "&gt;=01/12/2025", ENTRADAS[FECHA], "&lt;=31/12/2025", ENTRADAS[PRODUCTO], F4)
    ),
    IF(F4="",
        SUMIFS(ENTRADAS[CANTIDAD], ENTRADAS[FECHA], "&gt;=01/12/2025", ENTRADAS[FECHA], "&lt;=31/12/2025", ENTRADAS[SUCURSAL], C4),
        SUMIFS(ENTRADAS[CANTIDAD], ENTRADAS[FECHA], "&gt;=01/12/2025", ENTRADAS[FECHA], "&lt;=31/12/2025", ENTRADAS[SUCURSAL], C4, ENTRADAS[PRODUCTO], F4)
    )
)</f>
        <v>0</v>
      </c>
      <c r="O10" s="49">
        <f>SUM(C10:N10)</f>
        <v>0</v>
      </c>
      <c r="Y10" s="8" t="s">
        <v>17</v>
      </c>
      <c r="Z10" s="8">
        <f>D$10</f>
        <v>0</v>
      </c>
      <c r="AA10" s="8">
        <f>D11</f>
        <v>0</v>
      </c>
    </row>
    <row r="11" spans="2:27" s="8" customFormat="1" ht="30" customHeight="1" thickTop="1" thickBot="1" x14ac:dyDescent="0.3">
      <c r="B11" s="46" t="s">
        <v>13</v>
      </c>
      <c r="C11" s="49">
        <f>IF(C4="",
    IF(F4="",
        SUMIFS(SALIDAS[CANTIDAD], SALIDAS[FECHA], "&gt;=01/01/2025", SALIDAS[FECHA], "&lt;=31/01/2025"),
        SUMIFS(SALIDAS[CANTIDAD], SALIDAS[FECHA], "&gt;=01/01/2025", SALIDAS[FECHA], "&lt;=31/01/2025", SALIDAS[PRODUCTO], F4)
    ),
    IF(F4="",
        SUMIFS(SALIDAS[CANTIDAD], SALIDAS[FECHA], "&gt;=01/01/2025", SALIDAS[FECHA], "&lt;=31/01/2025", SALIDAS[SUCURSAL], C4),
        SUMIFS(SALIDAS[CANTIDAD], SALIDAS[FECHA], "&gt;=01/01/2025", SALIDAS[FECHA], "&lt;=31/01/2025", SALIDAS[SUCURSAL], C4, SALIDAS[PRODUCTO], F4)
    )
)</f>
        <v>0</v>
      </c>
      <c r="D11" s="49">
        <f>IF(C4="",
    IF(F4="",
        SUMIFS(SALIDAS[CANTIDAD], SALIDAS[FECHA], "&gt;=01/02/2025", SALIDAS[FECHA], "&lt;=28/02/2025"),
        SUMIFS(SALIDAS[CANTIDAD], SALIDAS[FECHA], "&gt;=01/02/2025", SALIDAS[FECHA], "&lt;=28/02/2025", SALIDAS[PRODUCTO], F4)
    ),
    IF(F4="",
        SUMIFS(SALIDAS[CANTIDAD], SALIDAS[FECHA], "&gt;=01/02/2025", SALIDAS[FECHA], "&lt;=28/02/2025", SALIDAS[SUCURSAL], C4),
        SUMIFS(SALIDAS[CANTIDAD], SALIDAS[FECHA], "&gt;=01/02/2025", SALIDAS[FECHA], "&lt;=28/02/2025", SALIDAS[SUCURSAL], C4, SALIDAS[PRODUCTO], F4)
    )
)</f>
        <v>0</v>
      </c>
      <c r="E11" s="49">
        <f>IF(C4="",
    IF(F4="",
        SUMIFS(SALIDAS[CANTIDAD], SALIDAS[FECHA], "&gt;=01/03/2025", SALIDAS[FECHA], "&lt;=31/03/2025"),
        SUMIFS(SALIDAS[CANTIDAD], SALIDAS[FECHA], "&gt;=01/03/2025", SALIDAS[FECHA], "&lt;=31/03/2025", SALIDAS[PRODUCTO], F4)
    ),
    IF(F4="",
        SUMIFS(SALIDAS[CANTIDAD], SALIDAS[FECHA], "&gt;=01/03/2025", SALIDAS[FECHA], "&lt;=31/03/2025", SALIDAS[SUCURSAL], C4),
        SUMIFS(SALIDAS[CANTIDAD], SALIDAS[FECHA], "&gt;=01/03/2025", SALIDAS[FECHA], "&lt;=31/03/2025", SALIDAS[SUCURSAL], C4, SALIDAS[PRODUCTO], F4)
    )
)</f>
        <v>0</v>
      </c>
      <c r="F11" s="49">
        <f>IF(C4="",
    IF(F4="",
        SUMIFS(SALIDAS[CANTIDAD], SALIDAS[FECHA], "&gt;=01/04/2025", SALIDAS[FECHA], "&lt;=30/04/2025"),
        SUMIFS(SALIDAS[CANTIDAD], SALIDAS[FECHA], "&gt;=01/04/2025", SALIDAS[FECHA], "&lt;=30/04/2025", SALIDAS[PRODUCTO], F4)
    ),
    IF(F4="",
        SUMIFS(SALIDAS[CANTIDAD], SALIDAS[FECHA], "&gt;=01/04/2025", SALIDAS[FECHA], "&lt;=30/04/2025", SALIDAS[SUCURSAL], C4),
        SUMIFS(SALIDAS[CANTIDAD], SALIDAS[FECHA], "&gt;=01/04/2025", SALIDAS[FECHA], "&lt;=30/04/2025", SALIDAS[SUCURSAL], C4, SALIDAS[PRODUCTO], F4)
    )
)</f>
        <v>0</v>
      </c>
      <c r="G11" s="49">
        <f>IF(C4="",
    IF(F4="",
        SUMIFS(SALIDAS[CANTIDAD], SALIDAS[FECHA], "&gt;=01/05/2025", SALIDAS[FECHA], "&lt;=31/05/2025"),
        SUMIFS(SALIDAS[CANTIDAD], SALIDAS[FECHA], "&gt;=01/05/2025", SALIDAS[FECHA], "&lt;=31/05/2025", SALIDAS[PRODUCTO], F4)
    ),
    IF(F4="",
        SUMIFS(SALIDAS[CANTIDAD], SALIDAS[FECHA], "&gt;=01/05/2025", SALIDAS[FECHA], "&lt;=31/05/2025", SALIDAS[SUCURSAL], C4),
        SUMIFS(SALIDAS[CANTIDAD], SALIDAS[FECHA], "&gt;=01/05/2025", SALIDAS[FECHA], "&lt;=31/05/2025", SALIDAS[SUCURSAL], C4, SALIDAS[PRODUCTO], F4)
    )
)</f>
        <v>0</v>
      </c>
      <c r="H11" s="49">
        <f>IF(C4="",
    IF(F4="",
        SUMIFS(SALIDAS[CANTIDAD], SALIDAS[FECHA], "&gt;=01/06/2025", SALIDAS[FECHA], "&lt;=30/06/2025"),
        SUMIFS(SALIDAS[CANTIDAD], SALIDAS[FECHA], "&gt;=01/06/2025", SALIDAS[FECHA], "&lt;=30/06/2025", SALIDAS[PRODUCTO], F4)
    ),
    IF(F4="",
        SUMIFS(SALIDAS[CANTIDAD], SALIDAS[FECHA], "&gt;=01/06/2025", SALIDAS[FECHA], "&lt;=30/06/2025", SALIDAS[SUCURSAL], C4),
        SUMIFS(SALIDAS[CANTIDAD], SALIDAS[FECHA], "&gt;=01/06/2025", SALIDAS[FECHA], "&lt;=30/06/2025", SALIDAS[SUCURSAL], C4, SALIDAS[PRODUCTO], F4)
    )
)</f>
        <v>0</v>
      </c>
      <c r="I11" s="49">
        <f>IF(C4="",
    IF(F4="",
        SUMIFS(SALIDAS[CANTIDAD], SALIDAS[FECHA], "&gt;=01/07/2025", SALIDAS[FECHA], "&lt;=31/07/2025"),
        SUMIFS(SALIDAS[CANTIDAD], SALIDAS[FECHA], "&gt;=01/07/2025", SALIDAS[FECHA], "&lt;=31/07/2025", SALIDAS[PRODUCTO], F4)
    ),
    IF(F4="",
        SUMIFS(SALIDAS[CANTIDAD], SALIDAS[FECHA], "&gt;=01/07/2025", SALIDAS[FECHA], "&lt;=31/07/2025", SALIDAS[SUCURSAL], C4),
        SUMIFS(SALIDAS[CANTIDAD], SALIDAS[FECHA], "&gt;=01/07/2025", SALIDAS[FECHA], "&lt;=31/07/2025", SALIDAS[SUCURSAL], C4, SALIDAS[PRODUCTO], F4)
    )
)</f>
        <v>0</v>
      </c>
      <c r="J11" s="49">
        <f>IF(C4="",
    IF(F4="",
        SUMIFS(SALIDAS[CANTIDAD], SALIDAS[FECHA], "&gt;=01/08/2025", SALIDAS[FECHA], "&lt;=31/08/2025"),
        SUMIFS(SALIDAS[CANTIDAD], SALIDAS[FECHA], "&gt;=01/08/2025", SALIDAS[FECHA], "&lt;=31/08/2025", SALIDAS[PRODUCTO], F4)
    ),
    IF(F4="",
        SUMIFS(SALIDAS[CANTIDAD], SALIDAS[FECHA], "&gt;=01/08/2025", SALIDAS[FECHA], "&lt;=31/08/2025", SALIDAS[SUCURSAL], C4),
        SUMIFS(SALIDAS[CANTIDAD], SALIDAS[FECHA], "&gt;=01/08/2025", SALIDAS[FECHA], "&lt;=31/08/2025", SALIDAS[SUCURSAL], C4, SALIDAS[PRODUCTO], F4)
    )
)</f>
        <v>0</v>
      </c>
      <c r="K11" s="49">
        <f>IF(C4="",
    IF(F4="",
        SUMIFS(SALIDAS[CANTIDAD], SALIDAS[FECHA], "&gt;=01/09/2025", SALIDAS[FECHA], "&lt;=30/09/2025"),
        SUMIFS(SALIDAS[CANTIDAD], SALIDAS[FECHA], "&gt;=01/09/2025", SALIDAS[FECHA], "&lt;=30/09/2025", SALIDAS[PRODUCTO], F4)
    ),
    IF(F4="",
        SUMIFS(SALIDAS[CANTIDAD], SALIDAS[FECHA], "&gt;=01/09/2025", SALIDAS[FECHA], "&lt;=30/09/2025", SALIDAS[SUCURSAL], C4),
        SUMIFS(SALIDAS[CANTIDAD], SALIDAS[FECHA], "&gt;=01/09/2025", SALIDAS[FECHA], "&lt;=30/09/2025", SALIDAS[SUCURSAL], C4, SALIDAS[PRODUCTO], F4)
    )
)</f>
        <v>0</v>
      </c>
      <c r="L11" s="49">
        <f>IF(C4="",
    IF(F4="",
        SUMIFS(SALIDAS[CANTIDAD], SALIDAS[FECHA], "&gt;=01/10/2025", SALIDAS[FECHA], "&lt;=31/10/2025"),
        SUMIFS(SALIDAS[CANTIDAD], SALIDAS[FECHA], "&gt;=01/10/2025", SALIDAS[FECHA], "&lt;=31/10/2025", SALIDAS[PRODUCTO], F4)
    ),
    IF(F4="",
        SUMIFS(SALIDAS[CANTIDAD], SALIDAS[FECHA], "&gt;=01/10/2025", SALIDAS[FECHA], "&lt;=31/10/2025", SALIDAS[SUCURSAL], C4),
        SUMIFS(SALIDAS[CANTIDAD], SALIDAS[FECHA], "&gt;=01/10/2025", SALIDAS[FECHA], "&lt;=31/10/2025", SALIDAS[SUCURSAL], C4, SALIDAS[PRODUCTO], F4)
    )
)</f>
        <v>0</v>
      </c>
      <c r="M11" s="49">
        <f>IF(C4="",
    IF(F4="",
        SUMIFS(SALIDAS[CANTIDAD], SALIDAS[FECHA], "&gt;=01/11/2025", SALIDAS[FECHA], "&lt;=30/11/2025"),
        SUMIFS(SALIDAS[CANTIDAD], SALIDAS[FECHA], "&gt;=01/11/2025", SALIDAS[FECHA], "&lt;=30/11/2025", SALIDAS[PRODUCTO], F4)
    ),
    IF(F4="",
        SUMIFS(SALIDAS[CANTIDAD], SALIDAS[FECHA], "&gt;=01/11/2025", SALIDAS[FECHA], "&lt;=30/11/2025", SALIDAS[SUCURSAL], C4),
        SUMIFS(SALIDAS[CANTIDAD], SALIDAS[FECHA], "&gt;=01/11/2025", SALIDAS[FECHA], "&lt;=30/11/2025", SALIDAS[SUCURSAL], C4, SALIDAS[PRODUCTO], F4)
    )
)</f>
        <v>0</v>
      </c>
      <c r="N11" s="49">
        <f>IF(C4="",
    IF(F4="",
        SUMIFS(SALIDAS[CANTIDAD], SALIDAS[FECHA], "&gt;=01/12/2025", SALIDAS[FECHA], "&lt;=31/12/2025"),
        SUMIFS(SALIDAS[CANTIDAD], SALIDAS[FECHA], "&gt;=01/12/2025", SALIDAS[FECHA], "&lt;=31/12/2025", SALIDAS[PRODUCTO], F4)
    ),
    IF(F4="",
        SUMIFS(SALIDAS[CANTIDAD], SALIDAS[FECHA], "&gt;=01/12/2025", SALIDAS[FECHA], "&lt;=31/12/2025", SALIDAS[SUCURSAL], C4),
        SUMIFS(SALIDAS[CANTIDAD], SALIDAS[FECHA], "&gt;=01/12/2025", SALIDAS[FECHA], "&lt;=31/12/2025", SALIDAS[SUCURSAL], C4, SALIDAS[PRODUCTO], F4)
    )
)</f>
        <v>0</v>
      </c>
      <c r="O11" s="49">
        <f t="shared" ref="O11:O12" si="0">SUM(C11:N11)</f>
        <v>0</v>
      </c>
      <c r="Y11" s="8" t="s">
        <v>18</v>
      </c>
      <c r="Z11" s="8">
        <f>E$10</f>
        <v>0</v>
      </c>
      <c r="AA11" s="8">
        <f>E11</f>
        <v>0</v>
      </c>
    </row>
    <row r="12" spans="2:27" s="8" customFormat="1" ht="30" customHeight="1" thickTop="1" thickBot="1" x14ac:dyDescent="0.3">
      <c r="B12" s="46" t="s">
        <v>14</v>
      </c>
      <c r="C12" s="49">
        <f>C10-C11</f>
        <v>0</v>
      </c>
      <c r="D12" s="49">
        <f t="shared" ref="D12:N12" si="1">D10-D11</f>
        <v>0</v>
      </c>
      <c r="E12" s="49">
        <f t="shared" si="1"/>
        <v>0</v>
      </c>
      <c r="F12" s="49">
        <f t="shared" si="1"/>
        <v>0</v>
      </c>
      <c r="G12" s="49">
        <f t="shared" si="1"/>
        <v>0</v>
      </c>
      <c r="H12" s="49">
        <f t="shared" si="1"/>
        <v>0</v>
      </c>
      <c r="I12" s="49">
        <f t="shared" si="1"/>
        <v>0</v>
      </c>
      <c r="J12" s="49">
        <f t="shared" si="1"/>
        <v>0</v>
      </c>
      <c r="K12" s="49">
        <f t="shared" si="1"/>
        <v>0</v>
      </c>
      <c r="L12" s="49">
        <f t="shared" si="1"/>
        <v>0</v>
      </c>
      <c r="M12" s="49">
        <f t="shared" si="1"/>
        <v>0</v>
      </c>
      <c r="N12" s="49">
        <f t="shared" si="1"/>
        <v>0</v>
      </c>
      <c r="O12" s="49">
        <f t="shared" si="0"/>
        <v>0</v>
      </c>
      <c r="Y12" s="8" t="s">
        <v>19</v>
      </c>
      <c r="Z12" s="8">
        <f>F$10</f>
        <v>0</v>
      </c>
      <c r="AA12" s="8">
        <f>F$11</f>
        <v>0</v>
      </c>
    </row>
    <row r="13" spans="2:27" s="8" customFormat="1" ht="30" customHeight="1" thickTop="1" x14ac:dyDescent="0.25">
      <c r="B13" s="42"/>
      <c r="D13" s="44"/>
      <c r="E13" s="26"/>
      <c r="F13" s="45"/>
      <c r="J13" s="26"/>
      <c r="Y13" s="8" t="s">
        <v>20</v>
      </c>
      <c r="Z13" s="8">
        <f>G$10</f>
        <v>0</v>
      </c>
      <c r="AA13" s="8">
        <f>G$11</f>
        <v>0</v>
      </c>
    </row>
    <row r="14" spans="2:27" s="8" customFormat="1" ht="30" customHeight="1" x14ac:dyDescent="0.25">
      <c r="B14" s="42"/>
      <c r="D14" s="44"/>
      <c r="E14" s="26"/>
      <c r="F14" s="45"/>
      <c r="J14" s="26"/>
      <c r="Y14" s="8" t="s">
        <v>21</v>
      </c>
      <c r="Z14" s="8">
        <f>H$10</f>
        <v>0</v>
      </c>
      <c r="AA14" s="8">
        <f>H$11</f>
        <v>0</v>
      </c>
    </row>
    <row r="15" spans="2:27" s="8" customFormat="1" ht="30" customHeight="1" x14ac:dyDescent="0.25">
      <c r="B15" s="42"/>
      <c r="D15" s="44"/>
      <c r="E15" s="26"/>
      <c r="F15" s="45"/>
      <c r="J15" s="26"/>
      <c r="Y15" s="8" t="s">
        <v>22</v>
      </c>
      <c r="Z15" s="8">
        <f>I$10</f>
        <v>0</v>
      </c>
      <c r="AA15" s="8">
        <f>I$11</f>
        <v>0</v>
      </c>
    </row>
    <row r="16" spans="2:27" s="8" customFormat="1" ht="30" customHeight="1" x14ac:dyDescent="0.25">
      <c r="B16" s="42"/>
      <c r="D16" s="44"/>
      <c r="E16" s="26"/>
      <c r="F16" s="45"/>
      <c r="Y16" s="8" t="s">
        <v>23</v>
      </c>
      <c r="Z16" s="8">
        <f>J$10</f>
        <v>0</v>
      </c>
      <c r="AA16" s="8">
        <f>J$11</f>
        <v>0</v>
      </c>
    </row>
    <row r="17" spans="2:27" s="8" customFormat="1" ht="30" customHeight="1" x14ac:dyDescent="0.25">
      <c r="B17" s="42"/>
      <c r="D17" s="26"/>
      <c r="E17" s="26"/>
      <c r="F17" s="43"/>
      <c r="Y17" s="8" t="s">
        <v>24</v>
      </c>
      <c r="Z17" s="8">
        <f>K$10</f>
        <v>0</v>
      </c>
      <c r="AA17" s="8">
        <f>K$11</f>
        <v>0</v>
      </c>
    </row>
    <row r="18" spans="2:27" s="8" customFormat="1" ht="30" customHeight="1" x14ac:dyDescent="0.25">
      <c r="B18" s="42"/>
      <c r="D18" s="26"/>
      <c r="E18" s="26"/>
      <c r="F18" s="43"/>
      <c r="Y18" s="8" t="s">
        <v>25</v>
      </c>
      <c r="Z18" s="8">
        <f>L$10</f>
        <v>0</v>
      </c>
      <c r="AA18" s="8">
        <f>L11</f>
        <v>0</v>
      </c>
    </row>
    <row r="19" spans="2:27" s="8" customFormat="1" ht="30" customHeight="1" x14ac:dyDescent="0.25">
      <c r="B19" s="42"/>
      <c r="D19" s="26"/>
      <c r="E19" s="26"/>
      <c r="F19" s="43"/>
      <c r="Y19" s="8" t="s">
        <v>26</v>
      </c>
      <c r="Z19" s="8">
        <f>M$10</f>
        <v>0</v>
      </c>
      <c r="AA19" s="8">
        <f>M11</f>
        <v>0</v>
      </c>
    </row>
    <row r="20" spans="2:27" s="8" customFormat="1" ht="30" customHeight="1" x14ac:dyDescent="0.25">
      <c r="B20" s="42"/>
      <c r="D20" s="26"/>
      <c r="E20" s="26"/>
      <c r="F20" s="43"/>
      <c r="Y20" s="8" t="s">
        <v>27</v>
      </c>
      <c r="Z20" s="8">
        <f>N$10</f>
        <v>0</v>
      </c>
      <c r="AA20" s="8">
        <f>N11</f>
        <v>0</v>
      </c>
    </row>
    <row r="21" spans="2:27" s="8" customFormat="1" ht="30" customHeight="1" x14ac:dyDescent="0.25">
      <c r="B21" s="42"/>
      <c r="D21" s="26"/>
      <c r="E21" s="26"/>
      <c r="F21" s="43"/>
    </row>
    <row r="22" spans="2:27" s="8" customFormat="1" ht="30" customHeight="1" x14ac:dyDescent="0.25"/>
    <row r="23" spans="2:27" s="8" customFormat="1" ht="30" customHeight="1" x14ac:dyDescent="0.25"/>
    <row r="24" spans="2:27" s="8" customFormat="1" ht="30" customHeight="1" x14ac:dyDescent="0.25"/>
    <row r="25" spans="2:27" s="8" customFormat="1" ht="30" customHeight="1" x14ac:dyDescent="0.25"/>
    <row r="26" spans="2:27" s="8" customFormat="1" ht="30" customHeight="1" x14ac:dyDescent="0.25"/>
    <row r="27" spans="2:27" s="8" customFormat="1" ht="30" customHeight="1" x14ac:dyDescent="0.25"/>
    <row r="28" spans="2:27" s="8" customFormat="1" ht="30" customHeight="1" x14ac:dyDescent="0.25"/>
    <row r="29" spans="2:27" s="8" customFormat="1" ht="30" customHeight="1" x14ac:dyDescent="0.25"/>
    <row r="30" spans="2:27" s="8" customFormat="1" ht="30" customHeight="1" x14ac:dyDescent="0.25"/>
    <row r="31" spans="2:27" s="8" customFormat="1" ht="30" customHeight="1" x14ac:dyDescent="0.25"/>
    <row r="32" spans="2:27" s="8" customFormat="1" ht="30" customHeight="1" x14ac:dyDescent="0.25"/>
    <row r="33" s="8" customFormat="1" ht="30" customHeight="1" x14ac:dyDescent="0.25"/>
    <row r="34" s="8" customFormat="1" ht="30" customHeight="1" x14ac:dyDescent="0.25"/>
    <row r="35" s="8" customFormat="1" ht="30" customHeight="1" x14ac:dyDescent="0.25"/>
    <row r="36" s="8" customFormat="1" ht="30" customHeight="1" x14ac:dyDescent="0.25"/>
    <row r="37" s="8" customFormat="1" ht="30" customHeight="1" x14ac:dyDescent="0.25"/>
    <row r="38" s="8" customFormat="1" ht="30" customHeight="1" x14ac:dyDescent="0.25"/>
    <row r="39" s="8" customFormat="1" ht="30" customHeight="1" x14ac:dyDescent="0.25"/>
    <row r="40" s="8" customFormat="1" ht="30" customHeight="1" x14ac:dyDescent="0.25"/>
    <row r="41" s="8" customFormat="1" ht="30" customHeight="1" x14ac:dyDescent="0.25"/>
    <row r="42" s="8" customFormat="1" ht="30" customHeight="1" x14ac:dyDescent="0.25"/>
    <row r="43" s="8" customFormat="1" ht="30" customHeight="1" x14ac:dyDescent="0.25"/>
    <row r="44" s="8" customFormat="1" ht="30" customHeight="1" x14ac:dyDescent="0.25"/>
    <row r="45" s="8" customFormat="1" ht="30" customHeight="1" x14ac:dyDescent="0.25"/>
    <row r="46" s="8" customFormat="1" ht="30" customHeight="1" x14ac:dyDescent="0.25"/>
    <row r="47" s="8" customFormat="1" ht="30" customHeight="1" x14ac:dyDescent="0.25"/>
    <row r="48" s="8" customFormat="1" ht="30" customHeight="1" x14ac:dyDescent="0.25"/>
    <row r="49" s="8" customFormat="1" ht="30" customHeight="1" x14ac:dyDescent="0.25"/>
    <row r="50" s="8" customFormat="1" ht="30" customHeight="1" x14ac:dyDescent="0.25"/>
    <row r="51" s="8" customFormat="1" ht="30" customHeight="1" x14ac:dyDescent="0.25"/>
    <row r="52" s="8" customFormat="1" ht="30" customHeight="1" x14ac:dyDescent="0.25"/>
    <row r="53" s="8" customFormat="1" ht="30" customHeight="1" x14ac:dyDescent="0.25"/>
    <row r="54" s="8" customFormat="1" ht="30" customHeight="1" x14ac:dyDescent="0.25"/>
    <row r="55" s="8" customFormat="1" ht="30" customHeight="1" x14ac:dyDescent="0.25"/>
    <row r="56" s="8" customFormat="1" ht="30" customHeight="1" x14ac:dyDescent="0.25"/>
    <row r="57" s="8" customFormat="1" ht="30" customHeight="1" x14ac:dyDescent="0.25"/>
    <row r="58" s="8" customFormat="1" ht="30" customHeight="1" x14ac:dyDescent="0.25"/>
    <row r="59" s="8" customFormat="1" ht="30" customHeight="1" x14ac:dyDescent="0.25"/>
    <row r="60" s="8" customFormat="1" ht="30" customHeight="1" x14ac:dyDescent="0.25"/>
    <row r="61" s="8" customFormat="1" ht="30" customHeight="1" x14ac:dyDescent="0.25"/>
    <row r="62" s="8" customFormat="1" ht="30" customHeight="1" x14ac:dyDescent="0.25"/>
    <row r="63" s="8" customFormat="1" ht="30" customHeight="1" x14ac:dyDescent="0.25"/>
    <row r="64" s="8" customFormat="1" ht="30" customHeight="1" x14ac:dyDescent="0.25"/>
    <row r="65" s="8" customFormat="1" ht="30" customHeight="1" x14ac:dyDescent="0.25"/>
    <row r="66" s="8" customFormat="1" ht="30" customHeight="1" x14ac:dyDescent="0.25"/>
    <row r="67" s="8" customFormat="1" ht="30" customHeight="1" x14ac:dyDescent="0.25"/>
    <row r="68" s="8" customFormat="1" ht="30" customHeight="1" x14ac:dyDescent="0.25"/>
    <row r="69" s="8" customFormat="1" ht="30" customHeight="1" x14ac:dyDescent="0.25"/>
    <row r="70" s="8" customFormat="1" ht="30" customHeight="1" x14ac:dyDescent="0.25"/>
    <row r="71" s="8" customFormat="1" ht="30" customHeight="1" x14ac:dyDescent="0.25"/>
    <row r="72" s="8" customFormat="1" ht="30" customHeight="1" x14ac:dyDescent="0.25"/>
    <row r="73" s="8" customFormat="1" ht="30" customHeight="1" x14ac:dyDescent="0.25"/>
    <row r="74" s="8" customFormat="1" ht="30" customHeight="1" x14ac:dyDescent="0.25"/>
    <row r="75" s="8" customFormat="1" ht="30" customHeight="1" x14ac:dyDescent="0.25"/>
    <row r="76" s="8" customFormat="1" ht="30" customHeight="1" x14ac:dyDescent="0.25"/>
    <row r="77" s="8" customFormat="1" ht="30" customHeight="1" x14ac:dyDescent="0.25"/>
    <row r="78" s="8" customFormat="1" ht="30" customHeight="1" x14ac:dyDescent="0.25"/>
    <row r="79" s="8" customFormat="1" ht="30" customHeight="1" x14ac:dyDescent="0.25"/>
    <row r="80" s="8" customFormat="1" ht="30" customHeight="1" x14ac:dyDescent="0.25"/>
    <row r="81" s="8" customFormat="1" ht="30" customHeight="1" x14ac:dyDescent="0.25"/>
    <row r="82" s="8" customFormat="1" ht="30" customHeight="1" x14ac:dyDescent="0.25"/>
    <row r="83" s="8" customFormat="1" ht="30" customHeight="1" x14ac:dyDescent="0.25"/>
    <row r="84" s="8" customFormat="1" ht="30" customHeight="1" x14ac:dyDescent="0.25"/>
    <row r="85" s="8" customFormat="1" ht="30" customHeight="1" x14ac:dyDescent="0.25"/>
    <row r="86" s="8" customFormat="1" ht="30" customHeight="1" x14ac:dyDescent="0.25"/>
    <row r="87" s="8" customFormat="1" ht="30" customHeight="1" x14ac:dyDescent="0.25"/>
    <row r="88" s="8" customFormat="1" ht="30" customHeight="1" x14ac:dyDescent="0.25"/>
    <row r="89" s="8" customFormat="1" ht="30" customHeight="1" x14ac:dyDescent="0.25"/>
    <row r="90" s="8" customFormat="1" ht="30" customHeight="1" x14ac:dyDescent="0.25"/>
    <row r="91" s="8" customFormat="1" ht="30" customHeight="1" x14ac:dyDescent="0.25"/>
    <row r="92" s="8" customFormat="1" ht="30" customHeight="1" x14ac:dyDescent="0.25"/>
    <row r="93" s="8" customFormat="1" ht="30" customHeight="1" x14ac:dyDescent="0.25"/>
    <row r="94" s="8" customFormat="1" ht="30" customHeight="1" x14ac:dyDescent="0.25"/>
    <row r="95" s="8" customFormat="1" ht="30" customHeight="1" x14ac:dyDescent="0.25"/>
    <row r="96" s="8" customFormat="1" ht="30" customHeight="1" x14ac:dyDescent="0.25"/>
    <row r="97" s="8" customFormat="1" ht="30" customHeight="1" x14ac:dyDescent="0.25"/>
    <row r="98" s="8" customFormat="1" ht="30" customHeight="1" x14ac:dyDescent="0.25"/>
    <row r="99" s="8" customFormat="1" ht="30" customHeight="1" x14ac:dyDescent="0.25"/>
    <row r="100" s="8" customFormat="1" ht="30" customHeight="1" x14ac:dyDescent="0.25"/>
  </sheetData>
  <mergeCells count="2">
    <mergeCell ref="C6:D6"/>
    <mergeCell ref="C7:D7"/>
  </mergeCells>
  <phoneticPr fontId="5" type="noConversion"/>
  <conditionalFormatting sqref="E7:E8 E13:E16 I22:I2000">
    <cfRule type="containsText" dxfId="3" priority="1" stopIfTrue="1" operator="containsText" text="AGOTADO">
      <formula>NOT(ISERROR(SEARCH("AGOTADO",E7)))</formula>
    </cfRule>
    <cfRule type="containsText" dxfId="2" priority="2" operator="containsText" text="MENOR AL MINIMO">
      <formula>NOT(ISERROR(SEARCH("MENOR AL MINIMO",E7)))</formula>
    </cfRule>
  </conditionalFormatting>
  <dataValidations count="2">
    <dataValidation type="list" allowBlank="1" showInputMessage="1" showErrorMessage="1" sqref="C4" xr:uid="{CC840271-9AE0-EB4D-B9DB-9B5412EDD990}">
      <formula1>INDIRECT("SUCURSALES")</formula1>
    </dataValidation>
    <dataValidation type="list" allowBlank="1" showInputMessage="1" showErrorMessage="1" sqref="F4" xr:uid="{215D0358-540D-F64F-AADB-25201A3C5226}">
      <formula1>INDIRECT("PRODUCTOS[PRODUCTO]")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ADFA-B057-C742-92E3-2E41E5CB6F3E}">
  <dimension ref="B1:Q100"/>
  <sheetViews>
    <sheetView showGridLines="0" workbookViewId="0">
      <selection activeCell="D12" sqref="D12"/>
    </sheetView>
  </sheetViews>
  <sheetFormatPr baseColWidth="10" defaultColWidth="10.875" defaultRowHeight="15" x14ac:dyDescent="0.2"/>
  <cols>
    <col min="1" max="1" width="4.875" style="1" customWidth="1"/>
    <col min="2" max="2" width="15.875" style="1" customWidth="1"/>
    <col min="3" max="3" width="40.875" style="1" customWidth="1"/>
    <col min="4" max="5" width="21.875" style="1" customWidth="1"/>
    <col min="6" max="6" width="6.875" style="1" customWidth="1"/>
    <col min="7" max="12" width="40.875" style="1" customWidth="1"/>
    <col min="13" max="13" width="10.875" style="1"/>
    <col min="14" max="15" width="40.875" style="1" customWidth="1"/>
    <col min="16" max="16" width="10.875" style="1"/>
    <col min="17" max="17" width="40.875" style="1" customWidth="1"/>
    <col min="18" max="16384" width="10.875" style="1"/>
  </cols>
  <sheetData>
    <row r="1" spans="2:17" s="3" customFormat="1" ht="39.950000000000003" customHeight="1" x14ac:dyDescent="0.2"/>
    <row r="2" spans="2:17" s="2" customFormat="1" ht="29.1" customHeight="1" x14ac:dyDescent="0.2"/>
    <row r="3" spans="2:17" s="7" customFormat="1" x14ac:dyDescent="0.2"/>
    <row r="4" spans="2:17" s="7" customFormat="1" x14ac:dyDescent="0.2"/>
    <row r="5" spans="2:17" s="8" customFormat="1" ht="30" customHeight="1" x14ac:dyDescent="0.2">
      <c r="B5" s="58"/>
      <c r="C5" s="58"/>
      <c r="D5" s="58"/>
      <c r="E5" s="58"/>
      <c r="F5" s="58"/>
      <c r="G5" s="58"/>
      <c r="H5" s="58"/>
      <c r="I5" s="10"/>
      <c r="J5" s="10"/>
      <c r="K5" s="10"/>
      <c r="M5" s="9"/>
      <c r="N5" s="9"/>
      <c r="P5" s="9"/>
      <c r="Q5" s="9"/>
    </row>
    <row r="6" spans="2:17" s="8" customFormat="1" ht="30" customHeight="1" x14ac:dyDescent="0.25">
      <c r="B6" s="72" t="s">
        <v>31</v>
      </c>
      <c r="C6" s="72"/>
      <c r="D6" s="72"/>
      <c r="E6" s="72"/>
      <c r="F6" s="72"/>
      <c r="G6" s="72"/>
      <c r="H6" s="72"/>
    </row>
    <row r="7" spans="2:17" s="8" customFormat="1" ht="30" customHeight="1" x14ac:dyDescent="0.25">
      <c r="B7" s="73" t="s">
        <v>32</v>
      </c>
      <c r="C7" s="73"/>
      <c r="D7" s="59"/>
      <c r="E7" s="59"/>
      <c r="F7" s="59"/>
      <c r="G7" s="59"/>
      <c r="H7" s="59"/>
    </row>
    <row r="8" spans="2:17" s="8" customFormat="1" ht="30" customHeight="1" x14ac:dyDescent="0.25">
      <c r="B8" s="73" t="s">
        <v>33</v>
      </c>
      <c r="C8" s="73"/>
      <c r="D8" s="73"/>
      <c r="E8" s="73"/>
      <c r="F8" s="73"/>
      <c r="G8" s="59"/>
      <c r="H8" s="59"/>
    </row>
    <row r="9" spans="2:17" s="8" customFormat="1" ht="30" customHeight="1" x14ac:dyDescent="0.25">
      <c r="B9" s="74" t="s">
        <v>34</v>
      </c>
      <c r="C9" s="74"/>
      <c r="D9" s="74"/>
      <c r="E9" s="74"/>
      <c r="F9" s="74"/>
      <c r="G9" s="59"/>
      <c r="H9" s="59"/>
    </row>
    <row r="10" spans="2:17" s="8" customFormat="1" ht="30" customHeight="1" x14ac:dyDescent="0.25">
      <c r="D10" s="26"/>
      <c r="E10" s="45"/>
    </row>
    <row r="11" spans="2:17" s="8" customFormat="1" ht="30" customHeight="1" x14ac:dyDescent="0.25">
      <c r="D11" s="26"/>
      <c r="E11" s="45"/>
    </row>
    <row r="12" spans="2:17" s="8" customFormat="1" ht="30" customHeight="1" x14ac:dyDescent="0.25">
      <c r="D12" s="26"/>
      <c r="E12" s="45"/>
    </row>
    <row r="13" spans="2:17" s="8" customFormat="1" ht="30" customHeight="1" x14ac:dyDescent="0.25">
      <c r="D13" s="26"/>
      <c r="E13" s="45"/>
    </row>
    <row r="14" spans="2:17" s="8" customFormat="1" ht="30" customHeight="1" x14ac:dyDescent="0.25">
      <c r="D14" s="26"/>
      <c r="E14" s="45"/>
    </row>
    <row r="15" spans="2:17" s="8" customFormat="1" ht="30" customHeight="1" x14ac:dyDescent="0.25">
      <c r="D15" s="26"/>
      <c r="E15" s="45"/>
    </row>
    <row r="16" spans="2:17" s="8" customFormat="1" ht="30" customHeight="1" x14ac:dyDescent="0.25"/>
    <row r="17" s="8" customFormat="1" ht="30" customHeight="1" x14ac:dyDescent="0.25"/>
    <row r="18" s="8" customFormat="1" ht="30" customHeight="1" x14ac:dyDescent="0.25"/>
    <row r="19" s="8" customFormat="1" ht="30" customHeight="1" x14ac:dyDescent="0.25"/>
    <row r="20" s="8" customFormat="1" ht="30" customHeight="1" x14ac:dyDescent="0.25"/>
    <row r="21" s="8" customFormat="1" ht="30" customHeight="1" x14ac:dyDescent="0.25"/>
    <row r="22" s="8" customFormat="1" ht="30" customHeight="1" x14ac:dyDescent="0.25"/>
    <row r="23" s="8" customFormat="1" ht="30" customHeight="1" x14ac:dyDescent="0.25"/>
    <row r="24" s="8" customFormat="1" ht="30" customHeight="1" x14ac:dyDescent="0.25"/>
    <row r="25" s="8" customFormat="1" ht="30" customHeight="1" x14ac:dyDescent="0.25"/>
    <row r="26" s="8" customFormat="1" ht="30" customHeight="1" x14ac:dyDescent="0.25"/>
    <row r="27" s="8" customFormat="1" ht="30" customHeight="1" x14ac:dyDescent="0.25"/>
    <row r="28" s="8" customFormat="1" ht="30" customHeight="1" x14ac:dyDescent="0.25"/>
    <row r="29" s="8" customFormat="1" ht="30" customHeight="1" x14ac:dyDescent="0.25"/>
    <row r="30" s="8" customFormat="1" ht="30" customHeight="1" x14ac:dyDescent="0.25"/>
    <row r="31" s="8" customFormat="1" ht="30" customHeight="1" x14ac:dyDescent="0.25"/>
    <row r="32" s="8" customFormat="1" ht="30" customHeight="1" x14ac:dyDescent="0.25"/>
    <row r="33" s="8" customFormat="1" ht="30" customHeight="1" x14ac:dyDescent="0.25"/>
    <row r="34" s="8" customFormat="1" ht="30" customHeight="1" x14ac:dyDescent="0.25"/>
    <row r="35" s="8" customFormat="1" ht="30" customHeight="1" x14ac:dyDescent="0.25"/>
    <row r="36" s="8" customFormat="1" ht="30" customHeight="1" x14ac:dyDescent="0.25"/>
    <row r="37" s="8" customFormat="1" ht="30" customHeight="1" x14ac:dyDescent="0.25"/>
    <row r="38" s="8" customFormat="1" ht="30" customHeight="1" x14ac:dyDescent="0.25"/>
    <row r="39" s="8" customFormat="1" ht="30" customHeight="1" x14ac:dyDescent="0.25"/>
    <row r="40" s="8" customFormat="1" ht="30" customHeight="1" x14ac:dyDescent="0.25"/>
    <row r="41" s="8" customFormat="1" ht="30" customHeight="1" x14ac:dyDescent="0.25"/>
    <row r="42" s="8" customFormat="1" ht="30" customHeight="1" x14ac:dyDescent="0.25"/>
    <row r="43" s="8" customFormat="1" ht="30" customHeight="1" x14ac:dyDescent="0.25"/>
    <row r="44" s="8" customFormat="1" ht="30" customHeight="1" x14ac:dyDescent="0.25"/>
    <row r="45" s="8" customFormat="1" ht="30" customHeight="1" x14ac:dyDescent="0.25"/>
    <row r="46" s="8" customFormat="1" ht="30" customHeight="1" x14ac:dyDescent="0.25"/>
    <row r="47" s="8" customFormat="1" ht="30" customHeight="1" x14ac:dyDescent="0.25"/>
    <row r="48" s="8" customFormat="1" ht="30" customHeight="1" x14ac:dyDescent="0.25"/>
    <row r="49" s="8" customFormat="1" ht="30" customHeight="1" x14ac:dyDescent="0.25"/>
    <row r="50" s="8" customFormat="1" ht="30" customHeight="1" x14ac:dyDescent="0.25"/>
    <row r="51" s="8" customFormat="1" ht="30" customHeight="1" x14ac:dyDescent="0.25"/>
    <row r="52" s="8" customFormat="1" ht="30" customHeight="1" x14ac:dyDescent="0.25"/>
    <row r="53" s="8" customFormat="1" ht="30" customHeight="1" x14ac:dyDescent="0.25"/>
    <row r="54" s="8" customFormat="1" ht="30" customHeight="1" x14ac:dyDescent="0.25"/>
    <row r="55" s="8" customFormat="1" ht="30" customHeight="1" x14ac:dyDescent="0.25"/>
    <row r="56" s="8" customFormat="1" ht="30" customHeight="1" x14ac:dyDescent="0.25"/>
    <row r="57" s="8" customFormat="1" ht="30" customHeight="1" x14ac:dyDescent="0.25"/>
    <row r="58" s="8" customFormat="1" ht="30" customHeight="1" x14ac:dyDescent="0.25"/>
    <row r="59" s="8" customFormat="1" ht="30" customHeight="1" x14ac:dyDescent="0.25"/>
    <row r="60" s="8" customFormat="1" ht="30" customHeight="1" x14ac:dyDescent="0.25"/>
    <row r="61" s="8" customFormat="1" ht="30" customHeight="1" x14ac:dyDescent="0.25"/>
    <row r="62" s="8" customFormat="1" ht="30" customHeight="1" x14ac:dyDescent="0.25"/>
    <row r="63" s="8" customFormat="1" ht="30" customHeight="1" x14ac:dyDescent="0.25"/>
    <row r="64" s="8" customFormat="1" ht="30" customHeight="1" x14ac:dyDescent="0.25"/>
    <row r="65" s="8" customFormat="1" ht="30" customHeight="1" x14ac:dyDescent="0.25"/>
    <row r="66" s="8" customFormat="1" ht="30" customHeight="1" x14ac:dyDescent="0.25"/>
    <row r="67" s="8" customFormat="1" ht="30" customHeight="1" x14ac:dyDescent="0.25"/>
    <row r="68" s="8" customFormat="1" ht="30" customHeight="1" x14ac:dyDescent="0.25"/>
    <row r="69" s="8" customFormat="1" ht="30" customHeight="1" x14ac:dyDescent="0.25"/>
    <row r="70" s="8" customFormat="1" ht="30" customHeight="1" x14ac:dyDescent="0.25"/>
    <row r="71" s="8" customFormat="1" ht="30" customHeight="1" x14ac:dyDescent="0.25"/>
    <row r="72" s="8" customFormat="1" ht="30" customHeight="1" x14ac:dyDescent="0.25"/>
    <row r="73" s="8" customFormat="1" ht="30" customHeight="1" x14ac:dyDescent="0.25"/>
    <row r="74" s="8" customFormat="1" ht="30" customHeight="1" x14ac:dyDescent="0.25"/>
    <row r="75" s="8" customFormat="1" ht="30" customHeight="1" x14ac:dyDescent="0.25"/>
    <row r="76" s="8" customFormat="1" ht="30" customHeight="1" x14ac:dyDescent="0.25"/>
    <row r="77" s="8" customFormat="1" ht="30" customHeight="1" x14ac:dyDescent="0.25"/>
    <row r="78" s="8" customFormat="1" ht="30" customHeight="1" x14ac:dyDescent="0.25"/>
    <row r="79" s="8" customFormat="1" ht="30" customHeight="1" x14ac:dyDescent="0.25"/>
    <row r="80" s="8" customFormat="1" ht="30" customHeight="1" x14ac:dyDescent="0.25"/>
    <row r="81" s="8" customFormat="1" ht="30" customHeight="1" x14ac:dyDescent="0.25"/>
    <row r="82" s="8" customFormat="1" ht="30" customHeight="1" x14ac:dyDescent="0.25"/>
    <row r="83" s="8" customFormat="1" ht="30" customHeight="1" x14ac:dyDescent="0.25"/>
    <row r="84" s="8" customFormat="1" ht="30" customHeight="1" x14ac:dyDescent="0.25"/>
    <row r="85" s="8" customFormat="1" ht="30" customHeight="1" x14ac:dyDescent="0.25"/>
    <row r="86" s="8" customFormat="1" ht="30" customHeight="1" x14ac:dyDescent="0.25"/>
    <row r="87" s="8" customFormat="1" ht="30" customHeight="1" x14ac:dyDescent="0.25"/>
    <row r="88" s="8" customFormat="1" ht="30" customHeight="1" x14ac:dyDescent="0.25"/>
    <row r="89" s="8" customFormat="1" ht="30" customHeight="1" x14ac:dyDescent="0.25"/>
    <row r="90" s="8" customFormat="1" ht="30" customHeight="1" x14ac:dyDescent="0.25"/>
    <row r="91" s="8" customFormat="1" ht="30" customHeight="1" x14ac:dyDescent="0.25"/>
    <row r="92" s="8" customFormat="1" ht="30" customHeight="1" x14ac:dyDescent="0.25"/>
    <row r="93" s="8" customFormat="1" ht="30" customHeight="1" x14ac:dyDescent="0.25"/>
    <row r="94" s="8" customFormat="1" ht="30" customHeight="1" x14ac:dyDescent="0.25"/>
    <row r="95" s="8" customFormat="1" ht="30" customHeight="1" x14ac:dyDescent="0.25"/>
    <row r="96" s="8" customFormat="1" ht="30" customHeight="1" x14ac:dyDescent="0.25"/>
    <row r="97" s="8" customFormat="1" ht="30" customHeight="1" x14ac:dyDescent="0.25"/>
    <row r="98" s="8" customFormat="1" ht="30" customHeight="1" x14ac:dyDescent="0.25"/>
    <row r="99" s="8" customFormat="1" ht="30" customHeight="1" x14ac:dyDescent="0.25"/>
    <row r="100" s="8" customFormat="1" ht="30" customHeight="1" x14ac:dyDescent="0.25"/>
  </sheetData>
  <mergeCells count="4">
    <mergeCell ref="B6:H6"/>
    <mergeCell ref="B8:F8"/>
    <mergeCell ref="B9:F9"/>
    <mergeCell ref="B7:C7"/>
  </mergeCells>
  <dataValidations count="1">
    <dataValidation type="list" allowBlank="1" showInputMessage="1" showErrorMessage="1" sqref="I6:I8" xr:uid="{D40E300B-F1E7-E045-86AB-7A98BCC2BC0A}">
      <formula1>"Cliente, Proveedor"</formula1>
    </dataValidation>
  </dataValidations>
  <hyperlinks>
    <hyperlink ref="B6" r:id="rId1" display="https://mishojasdecalculo.com/tutorial-control-financiero/" xr:uid="{846F87D6-74ED-A54B-9090-8B7BC3C6E921}"/>
    <hyperlink ref="B7" r:id="rId2" display="https://mishojasdecalculo.com/plantillas/" xr:uid="{58C04CBF-9021-164F-9CB9-19ADB5C9619D}"/>
    <hyperlink ref="B8" r:id="rId3" display="https://mishojasdecalculo.com/servicios/" xr:uid="{725E7DD3-975A-A34F-AB1A-6655C79644B2}"/>
    <hyperlink ref="B6:H6" r:id="rId4" display="ENLACE VIDEO DE GUÍA" xr:uid="{F9DBD0B4-F304-3249-9381-3A442A0F9551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Inicial</vt:lpstr>
      <vt:lpstr>Entradas</vt:lpstr>
      <vt:lpstr>Salidas</vt:lpstr>
      <vt:lpstr>Datos</vt:lpstr>
      <vt:lpstr>Dashboard</vt:lpstr>
      <vt:lpstr>Reporte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mishojasdecalculo.com</dc:creator>
  <cp:keywords/>
  <dc:description/>
  <cp:lastModifiedBy>NÚCLEO DE INGENIERIA HIDRÁULICA Y ELÉCTRICA</cp:lastModifiedBy>
  <dcterms:created xsi:type="dcterms:W3CDTF">2024-12-04T01:51:39Z</dcterms:created>
  <dcterms:modified xsi:type="dcterms:W3CDTF">2026-04-13T22:14:34Z</dcterms:modified>
  <cp:category/>
</cp:coreProperties>
</file>